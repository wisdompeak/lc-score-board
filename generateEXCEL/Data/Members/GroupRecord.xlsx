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xr:revisionPtr revIDLastSave="2856" documentId="11_0298EBC76BB87D5DC6156D091BC9FF2D06537307" xr6:coauthVersionLast="47" xr6:coauthVersionMax="47" xr10:uidLastSave="{51A07370-3D6C-4247-BA4A-F165515F792F}"/>
  <bookViews>
    <workbookView xWindow="0" yWindow="0" windowWidth="16384" windowHeight="8192" tabRatio="500" xr2:uid="{00000000-000D-0000-FFFF-FFFF00000000}"/>
  </bookViews>
  <sheets>
    <sheet name="Current" sheetId="1" r:id="rId1"/>
    <sheet name="Quited" sheetId="2" r:id="rId2"/>
    <sheet name="Sheet1" sheetId="4" r:id="rId3"/>
    <sheet name="Sheet3" sheetId="3" r:id="rId4"/>
    <sheet name="Sheet2" sheetId="5" r:id="rId5"/>
    <sheet name="Sheet4" sheetId="6" r:id="rId6"/>
    <sheet name="Sheet5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47" i="2" l="1"/>
  <c r="E1346" i="2"/>
  <c r="E1345" i="2"/>
  <c r="E1343" i="2"/>
  <c r="E1344" i="2"/>
  <c r="E1342" i="2"/>
  <c r="E1341" i="2"/>
  <c r="E1339" i="2"/>
  <c r="E1340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4" i="2"/>
  <c r="E1319" i="2"/>
  <c r="E1318" i="2"/>
  <c r="E1317" i="2"/>
  <c r="E1316" i="2"/>
  <c r="E1315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4" i="2"/>
  <c r="E1285" i="2"/>
  <c r="E1286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1" i="2"/>
  <c r="E1262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7" i="2"/>
  <c r="E1248" i="2"/>
  <c r="E1246" i="2"/>
  <c r="E1244" i="2"/>
  <c r="E1245" i="2"/>
  <c r="E1243" i="2"/>
  <c r="E1242" i="2"/>
  <c r="E1241" i="2"/>
  <c r="E1240" i="2"/>
  <c r="E1239" i="2"/>
  <c r="E1238" i="2"/>
  <c r="E1237" i="2"/>
  <c r="E1236" i="2"/>
  <c r="E1235" i="2"/>
  <c r="E1231" i="2"/>
  <c r="E1232" i="2"/>
  <c r="E1233" i="2"/>
  <c r="E1234" i="2"/>
  <c r="E1230" i="2"/>
  <c r="E1229" i="2"/>
  <c r="E1228" i="2"/>
  <c r="E1227" i="2"/>
  <c r="E1226" i="2"/>
  <c r="E1225" i="2"/>
  <c r="E1224" i="2"/>
  <c r="E1222" i="2"/>
  <c r="E1223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7" i="2"/>
  <c r="E1208" i="2"/>
  <c r="E1206" i="2"/>
  <c r="E1205" i="2"/>
  <c r="E1204" i="2"/>
  <c r="E1203" i="2"/>
  <c r="E1202" i="2"/>
  <c r="E1201" i="2"/>
  <c r="E1200" i="2"/>
  <c r="E1199" i="2"/>
  <c r="E1195" i="2"/>
  <c r="E1196" i="2"/>
  <c r="E1197" i="2"/>
  <c r="E1198" i="2"/>
  <c r="E1194" i="2"/>
  <c r="E1193" i="2"/>
  <c r="E1192" i="2"/>
  <c r="E2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  <c r="E736" i="3"/>
  <c r="E350" i="3"/>
  <c r="E392" i="3"/>
  <c r="E68" i="3"/>
  <c r="E766" i="3"/>
  <c r="E397" i="3"/>
  <c r="E690" i="3"/>
  <c r="E821" i="3"/>
  <c r="E951" i="3"/>
  <c r="E408" i="3"/>
  <c r="E811" i="3"/>
  <c r="E198" i="3"/>
  <c r="E298" i="3"/>
  <c r="E866" i="3"/>
  <c r="E875" i="3"/>
  <c r="E269" i="3"/>
  <c r="E752" i="3"/>
  <c r="E304" i="3"/>
  <c r="E617" i="3"/>
  <c r="E588" i="3"/>
  <c r="E751" i="3"/>
  <c r="E282" i="3"/>
  <c r="E727" i="3"/>
  <c r="E514" i="3"/>
  <c r="E744" i="3"/>
  <c r="E769" i="3"/>
  <c r="E722" i="3"/>
  <c r="E877" i="3"/>
  <c r="E427" i="3"/>
  <c r="E378" i="3"/>
  <c r="E671" i="3"/>
  <c r="E314" i="3"/>
  <c r="E827" i="3"/>
  <c r="E964" i="3"/>
  <c r="E925" i="3"/>
  <c r="E862" i="3"/>
  <c r="E496" i="3"/>
  <c r="E133" i="3"/>
  <c r="E275" i="3"/>
  <c r="E274" i="3"/>
  <c r="E1035" i="3"/>
  <c r="E31" i="3"/>
  <c r="E1020" i="3"/>
  <c r="E936" i="3"/>
  <c r="E855" i="3"/>
  <c r="E1034" i="3"/>
  <c r="E1001" i="3"/>
  <c r="E421" i="3"/>
  <c r="E1047" i="3"/>
  <c r="E156" i="3"/>
  <c r="E551" i="3"/>
  <c r="E1046" i="3"/>
  <c r="E876" i="3"/>
  <c r="E357" i="3"/>
  <c r="E939" i="3"/>
  <c r="E576" i="3"/>
  <c r="E207" i="3"/>
  <c r="E836" i="3"/>
  <c r="E647" i="3"/>
  <c r="E124" i="3"/>
  <c r="E917" i="3"/>
  <c r="E886" i="3"/>
  <c r="E667" i="3"/>
  <c r="E834" i="3"/>
  <c r="E980" i="3"/>
  <c r="E783" i="3"/>
  <c r="E735" i="3"/>
  <c r="E666" i="3"/>
  <c r="E645" i="3"/>
  <c r="E259" i="3"/>
  <c r="E644" i="3"/>
  <c r="E467" i="3"/>
  <c r="E44" i="3"/>
  <c r="E945" i="3"/>
  <c r="E313" i="3"/>
  <c r="E793" i="3"/>
  <c r="E1008" i="3"/>
  <c r="E415" i="3"/>
  <c r="E916" i="3"/>
  <c r="E1051" i="3"/>
  <c r="E801" i="3"/>
  <c r="E1023" i="3"/>
  <c r="E312" i="3"/>
  <c r="E944" i="3"/>
  <c r="E197" i="3"/>
  <c r="E689" i="3"/>
  <c r="E511" i="3"/>
  <c r="E372" i="3"/>
  <c r="E845" i="3"/>
  <c r="E734" i="3"/>
  <c r="E155" i="3"/>
  <c r="E697" i="3"/>
  <c r="E937" i="3"/>
  <c r="E694" i="3"/>
  <c r="E356" i="3"/>
  <c r="E573" i="3"/>
  <c r="E258" i="3"/>
  <c r="E797" i="3"/>
  <c r="E665" i="3"/>
  <c r="E97" i="3"/>
  <c r="E20" i="3"/>
  <c r="E216" i="3"/>
  <c r="E528" i="3"/>
  <c r="E921" i="3"/>
  <c r="E281" i="3"/>
  <c r="E510" i="3"/>
  <c r="E407" i="3"/>
  <c r="E739" i="3"/>
  <c r="E991" i="3"/>
  <c r="E868" i="3"/>
  <c r="E611" i="3"/>
  <c r="E363" i="3"/>
  <c r="E919" i="3"/>
  <c r="E985" i="3"/>
  <c r="E787" i="3"/>
  <c r="E657" i="3"/>
  <c r="E196" i="3"/>
  <c r="E903" i="3"/>
  <c r="E346" i="3"/>
  <c r="E154" i="3"/>
  <c r="E977" i="3"/>
  <c r="E918" i="3"/>
  <c r="E775" i="3"/>
  <c r="E970" i="3"/>
  <c r="E768" i="3"/>
  <c r="E1044" i="3"/>
  <c r="E716" i="3"/>
  <c r="E522" i="3"/>
  <c r="E765" i="3"/>
  <c r="E726" i="3"/>
  <c r="E715" i="3"/>
  <c r="E371" i="3"/>
  <c r="E564" i="3"/>
  <c r="E424" i="3"/>
  <c r="E280" i="3"/>
  <c r="E339" i="3"/>
  <c r="E396" i="3"/>
  <c r="E1025" i="3"/>
  <c r="E962" i="3"/>
  <c r="E959" i="3"/>
  <c r="E848" i="3"/>
  <c r="E708" i="3"/>
  <c r="E80" i="3"/>
  <c r="E901" i="3"/>
  <c r="E616" i="3"/>
  <c r="E414" i="3"/>
  <c r="E796" i="3"/>
  <c r="E1045" i="3"/>
  <c r="E1016" i="3"/>
  <c r="E702" i="3"/>
  <c r="E714" i="3"/>
  <c r="E279" i="3"/>
  <c r="E572" i="3"/>
  <c r="E1049" i="3"/>
  <c r="E956" i="3"/>
  <c r="E220" i="3"/>
  <c r="E254" i="3"/>
  <c r="E336" i="3"/>
  <c r="E678" i="3"/>
  <c r="E743" i="3"/>
  <c r="E1038" i="3"/>
  <c r="E266" i="3"/>
  <c r="E153" i="3"/>
  <c r="E822" i="3"/>
  <c r="E1043" i="3"/>
  <c r="E433" i="3"/>
  <c r="E53" i="3"/>
  <c r="E975" i="3"/>
  <c r="E999" i="3"/>
  <c r="E630" i="3"/>
  <c r="E688" i="3"/>
  <c r="E786" i="3"/>
  <c r="E219" i="3"/>
  <c r="E718" i="3"/>
  <c r="E603" i="3"/>
  <c r="E983" i="3"/>
  <c r="E792" i="3"/>
  <c r="E701" i="3"/>
  <c r="E598" i="3"/>
  <c r="E585" i="3"/>
  <c r="E385" i="3"/>
  <c r="E391" i="3"/>
  <c r="E814" i="3"/>
  <c r="E664" i="3"/>
  <c r="E1026" i="3"/>
  <c r="E946" i="3"/>
  <c r="E854" i="3"/>
  <c r="E847" i="3"/>
  <c r="E696" i="3"/>
  <c r="E513" i="3"/>
  <c r="E181" i="3"/>
  <c r="E107" i="3"/>
  <c r="E432" i="3"/>
  <c r="E73" i="3"/>
  <c r="E218" i="3"/>
  <c r="E206" i="3"/>
  <c r="E308" i="3"/>
  <c r="E844" i="3"/>
  <c r="E733" i="3"/>
  <c r="E483" i="3"/>
  <c r="E241" i="3"/>
  <c r="E307" i="3"/>
  <c r="E413" i="3"/>
  <c r="E253" i="3"/>
  <c r="E79" i="3"/>
  <c r="E426" i="3"/>
  <c r="E425" i="3"/>
  <c r="E362" i="3"/>
  <c r="E890" i="3"/>
  <c r="E559" i="3"/>
  <c r="E542" i="3"/>
  <c r="E509" i="3"/>
  <c r="E329" i="3"/>
  <c r="E52" i="3"/>
  <c r="E203" i="3"/>
  <c r="E412" i="3"/>
  <c r="E948" i="3"/>
  <c r="E673" i="3"/>
  <c r="E712" i="3"/>
  <c r="E672" i="3"/>
  <c r="E555" i="3"/>
  <c r="E335" i="3"/>
  <c r="E471" i="3"/>
  <c r="E205" i="3"/>
  <c r="E973" i="3"/>
  <c r="E106" i="3"/>
  <c r="E968" i="3"/>
  <c r="E757" i="3"/>
  <c r="E527" i="3"/>
  <c r="E233" i="3"/>
  <c r="E232" i="3"/>
  <c r="E1006" i="3"/>
  <c r="E686" i="3"/>
  <c r="E231" i="3"/>
  <c r="E698" i="3"/>
  <c r="E1050" i="3"/>
  <c r="E808" i="3"/>
  <c r="E493" i="3"/>
  <c r="E584" i="3"/>
  <c r="E795" i="3"/>
  <c r="E132" i="3"/>
  <c r="E967" i="3"/>
  <c r="E942" i="3"/>
  <c r="E872" i="3"/>
  <c r="E482" i="3"/>
  <c r="E322" i="3"/>
  <c r="E131" i="3"/>
  <c r="E895" i="3"/>
  <c r="E571" i="3"/>
  <c r="E180" i="3"/>
  <c r="E1048" i="3"/>
  <c r="E955" i="3"/>
  <c r="E492" i="3"/>
  <c r="E813" i="3"/>
  <c r="E508" i="3"/>
  <c r="E853" i="3"/>
  <c r="E824" i="3"/>
  <c r="E646" i="3"/>
  <c r="E377" i="3"/>
  <c r="E806" i="3"/>
  <c r="E1031" i="3"/>
  <c r="E442" i="3"/>
  <c r="E779" i="3"/>
  <c r="E507" i="3"/>
  <c r="E477" i="3"/>
  <c r="E399" i="3"/>
  <c r="E888" i="3"/>
  <c r="E152" i="3"/>
  <c r="E105" i="3"/>
  <c r="E499" i="3"/>
  <c r="E931" i="3"/>
  <c r="E195" i="3"/>
  <c r="E725" i="3"/>
  <c r="E633" i="3"/>
  <c r="E252" i="3"/>
  <c r="E721" i="3"/>
  <c r="E640" i="3"/>
  <c r="E67" i="3"/>
  <c r="E51" i="3"/>
  <c r="E928" i="3"/>
  <c r="E217" i="3"/>
  <c r="E1019" i="3"/>
  <c r="E575" i="3"/>
  <c r="E411" i="3"/>
  <c r="E406" i="3"/>
  <c r="E476" i="3"/>
  <c r="E384" i="3"/>
  <c r="E179" i="3"/>
  <c r="E178" i="3"/>
  <c r="E321" i="3"/>
  <c r="E1015" i="3"/>
  <c r="E78" i="3"/>
  <c r="E7" i="3"/>
  <c r="E1024" i="3"/>
  <c r="E760" i="3"/>
  <c r="E491" i="3"/>
  <c r="E1032" i="3"/>
  <c r="E639" i="3"/>
  <c r="E251" i="3"/>
  <c r="E683" i="3"/>
  <c r="E448" i="3"/>
  <c r="E257" i="3"/>
  <c r="E638" i="3"/>
  <c r="E677" i="3"/>
  <c r="E72" i="3"/>
  <c r="E663" i="3"/>
  <c r="E441" i="3"/>
  <c r="E440" i="3"/>
  <c r="E151" i="3"/>
  <c r="E570" i="3"/>
  <c r="E334" i="3"/>
  <c r="E265" i="3"/>
  <c r="E43" i="3"/>
  <c r="E993" i="3"/>
  <c r="E933" i="3"/>
  <c r="E899" i="3"/>
  <c r="E732" i="3"/>
  <c r="E390" i="3"/>
  <c r="E521" i="3"/>
  <c r="E738" i="3"/>
  <c r="E50" i="3"/>
  <c r="E729" i="3"/>
  <c r="E66" i="3"/>
  <c r="E938" i="3"/>
  <c r="E194" i="3"/>
  <c r="E84" i="3"/>
  <c r="E747" i="3"/>
  <c r="E720" i="3"/>
  <c r="E615" i="3"/>
  <c r="E569" i="3"/>
  <c r="E568" i="3"/>
  <c r="E953" i="3"/>
  <c r="E345" i="3"/>
  <c r="E104" i="3"/>
  <c r="E370" i="3"/>
  <c r="E328" i="3"/>
  <c r="E193" i="3"/>
  <c r="E1039" i="3"/>
  <c r="E123" i="3"/>
  <c r="E13" i="3"/>
  <c r="E1012" i="3"/>
  <c r="E369" i="3"/>
  <c r="E594" i="3"/>
  <c r="E250" i="3"/>
  <c r="E1036" i="3"/>
  <c r="E819" i="3"/>
  <c r="E1041" i="3"/>
  <c r="E625" i="3"/>
  <c r="E693" i="3"/>
  <c r="E338" i="3"/>
  <c r="E960" i="3"/>
  <c r="E1042" i="3"/>
  <c r="E835" i="3"/>
  <c r="E748" i="3"/>
  <c r="E470" i="3"/>
  <c r="E86" i="3"/>
  <c r="E820" i="3"/>
  <c r="E574" i="3"/>
  <c r="E368" i="3"/>
  <c r="E439" i="3"/>
  <c r="E405" i="3"/>
  <c r="E192" i="3"/>
  <c r="E692" i="3"/>
  <c r="E490" i="3"/>
  <c r="E1027" i="3"/>
  <c r="E191" i="3"/>
  <c r="E455" i="3"/>
  <c r="E103" i="3"/>
  <c r="E96" i="3"/>
  <c r="E77" i="3"/>
  <c r="E992" i="3"/>
  <c r="E122" i="3"/>
  <c r="E1011" i="3"/>
  <c r="E927" i="3"/>
  <c r="E202" i="3"/>
  <c r="E754" i="3"/>
  <c r="E141" i="3"/>
  <c r="E289" i="3"/>
  <c r="E130" i="3"/>
  <c r="E597" i="3"/>
  <c r="E383" i="3"/>
  <c r="E268" i="3"/>
  <c r="E65" i="3"/>
  <c r="E395" i="3"/>
  <c r="E498" i="3"/>
  <c r="E140" i="3"/>
  <c r="E1040" i="3"/>
  <c r="E297" i="3"/>
  <c r="E177" i="3"/>
  <c r="E506" i="3"/>
  <c r="E256" i="3"/>
  <c r="E922" i="3"/>
  <c r="E785" i="3"/>
  <c r="E240" i="3"/>
  <c r="E190" i="3"/>
  <c r="E526" i="3"/>
  <c r="E893" i="3"/>
  <c r="E215" i="3"/>
  <c r="E150" i="3"/>
  <c r="E781" i="3"/>
  <c r="E487" i="3"/>
  <c r="E1003" i="3"/>
  <c r="E593" i="3"/>
  <c r="E475" i="3"/>
  <c r="E42" i="3"/>
  <c r="E320" i="3"/>
  <c r="E249" i="3"/>
  <c r="E997" i="3"/>
  <c r="E1037" i="3"/>
  <c r="E911" i="3"/>
  <c r="E49" i="3"/>
  <c r="E929" i="3"/>
  <c r="E873" i="3"/>
  <c r="E278" i="3"/>
  <c r="E149" i="3"/>
  <c r="E189" i="3"/>
  <c r="E988" i="3"/>
  <c r="E976" i="3"/>
  <c r="E12" i="3"/>
  <c r="E982" i="3"/>
  <c r="E643" i="3"/>
  <c r="E139" i="3"/>
  <c r="E850" i="3"/>
  <c r="E481" i="3"/>
  <c r="E987" i="3"/>
  <c r="E622" i="3"/>
  <c r="E837" i="3"/>
  <c r="E550" i="3"/>
  <c r="E614" i="3"/>
  <c r="E596" i="3"/>
  <c r="E176" i="3"/>
  <c r="E580" i="3"/>
  <c r="E567" i="3"/>
  <c r="E277" i="3"/>
  <c r="E1000" i="3"/>
  <c r="E995" i="3"/>
  <c r="E168" i="3"/>
  <c r="E691" i="3"/>
  <c r="E344" i="3"/>
  <c r="E447" i="3"/>
  <c r="E864" i="3"/>
  <c r="E60" i="3"/>
  <c r="E662" i="3"/>
  <c r="E420" i="3"/>
  <c r="E303" i="3"/>
  <c r="E48" i="3"/>
  <c r="E941" i="3"/>
  <c r="E605" i="3"/>
  <c r="E214" i="3"/>
  <c r="E892" i="3"/>
  <c r="E652" i="3"/>
  <c r="E148" i="3"/>
  <c r="E129" i="3"/>
  <c r="E753" i="3"/>
  <c r="E969" i="3"/>
  <c r="E851" i="3"/>
  <c r="E248" i="3"/>
  <c r="E871" i="3"/>
  <c r="E213" i="3"/>
  <c r="E302" i="3"/>
  <c r="E355" i="3"/>
  <c r="E800" i="3"/>
  <c r="E319" i="3"/>
  <c r="E486" i="3"/>
  <c r="E971" i="3"/>
  <c r="E438" i="3"/>
  <c r="E30" i="3"/>
  <c r="E19" i="3"/>
  <c r="E907" i="3"/>
  <c r="E828" i="3"/>
  <c r="E47" i="3"/>
  <c r="E2" i="3"/>
  <c r="E175" i="3"/>
  <c r="E138" i="3"/>
  <c r="E681" i="3"/>
  <c r="E810" i="3"/>
  <c r="E558" i="3"/>
  <c r="E791" i="3"/>
  <c r="E952" i="3"/>
  <c r="E102" i="3"/>
  <c r="E520" i="3"/>
  <c r="E746" i="3"/>
  <c r="E661" i="3"/>
  <c r="E1030" i="3"/>
  <c r="E833" i="3"/>
  <c r="E469" i="3"/>
  <c r="E979" i="3"/>
  <c r="E891" i="3"/>
  <c r="E318" i="3"/>
  <c r="E376" i="3"/>
  <c r="E311" i="3"/>
  <c r="E940" i="3"/>
  <c r="E431" i="3"/>
  <c r="E990" i="3"/>
  <c r="E382" i="3"/>
  <c r="E489" i="3"/>
  <c r="E1007" i="3"/>
  <c r="E1028" i="3"/>
  <c r="E525" i="3"/>
  <c r="E459" i="3"/>
  <c r="E915" i="3"/>
  <c r="E909" i="3"/>
  <c r="E742" i="3"/>
  <c r="E549" i="3"/>
  <c r="E188" i="3"/>
  <c r="E629" i="3"/>
  <c r="E772" i="3"/>
  <c r="E705" i="3"/>
  <c r="E430" i="3"/>
  <c r="E361" i="3"/>
  <c r="E861" i="3"/>
  <c r="E505" i="3"/>
  <c r="E404" i="3"/>
  <c r="E46" i="3"/>
  <c r="E704" i="3"/>
  <c r="E621" i="3"/>
  <c r="E83" i="3"/>
  <c r="E18" i="3"/>
  <c r="E750" i="3"/>
  <c r="E870" i="3"/>
  <c r="E649" i="3"/>
  <c r="E620" i="3"/>
  <c r="E613" i="3"/>
  <c r="E842" i="3"/>
  <c r="E790" i="3"/>
  <c r="E403" i="3"/>
  <c r="E1022" i="3"/>
  <c r="E327" i="3"/>
  <c r="E317" i="3"/>
  <c r="E703" i="3"/>
  <c r="E288" i="3"/>
  <c r="E788" i="3"/>
  <c r="E656" i="3"/>
  <c r="E627" i="3"/>
  <c r="E247" i="3"/>
  <c r="E174" i="3"/>
  <c r="E1004" i="3"/>
  <c r="E894" i="3"/>
  <c r="E1017" i="3"/>
  <c r="E239" i="3"/>
  <c r="E996" i="3"/>
  <c r="E651" i="3"/>
  <c r="E468" i="3"/>
  <c r="E95" i="3"/>
  <c r="E608" i="3"/>
  <c r="E843" i="3"/>
  <c r="E782" i="3"/>
  <c r="E419" i="3"/>
  <c r="E958" i="3"/>
  <c r="E856" i="3"/>
  <c r="E840" i="3"/>
  <c r="E838" i="3"/>
  <c r="E423" i="3"/>
  <c r="E167" i="3"/>
  <c r="E1013" i="3"/>
  <c r="E287" i="3"/>
  <c r="E166" i="3"/>
  <c r="E869" i="3"/>
  <c r="E906" i="3"/>
  <c r="E676" i="3"/>
  <c r="E541" i="3"/>
  <c r="E301" i="3"/>
  <c r="E989" i="3"/>
  <c r="E923" i="3"/>
  <c r="E540" i="3"/>
  <c r="E1010" i="3"/>
  <c r="E961" i="3"/>
  <c r="E830" i="3"/>
  <c r="E462" i="3"/>
  <c r="E935" i="3"/>
  <c r="E784" i="3"/>
  <c r="E402" i="3"/>
  <c r="E610" i="3"/>
  <c r="E147" i="3"/>
  <c r="E889" i="3"/>
  <c r="E759" i="3"/>
  <c r="E296" i="3"/>
  <c r="E823" i="3"/>
  <c r="E602" i="3"/>
  <c r="E930" i="3"/>
  <c r="E548" i="3"/>
  <c r="E450" i="3"/>
  <c r="E437" i="3"/>
  <c r="E349" i="3"/>
  <c r="E687" i="3"/>
  <c r="E238" i="3"/>
  <c r="E592" i="3"/>
  <c r="E1033" i="3"/>
  <c r="E815" i="3"/>
  <c r="E685" i="3"/>
  <c r="E601" i="3"/>
  <c r="E884" i="3"/>
  <c r="E273" i="3"/>
  <c r="E560" i="3"/>
  <c r="E978" i="3"/>
  <c r="E914" i="3"/>
  <c r="E756" i="3"/>
  <c r="E728" i="3"/>
  <c r="E524" i="3"/>
  <c r="E446" i="3"/>
  <c r="E230" i="3"/>
  <c r="E563" i="3"/>
  <c r="E878" i="3"/>
  <c r="E852" i="3"/>
  <c r="E731" i="3"/>
  <c r="E343" i="3"/>
  <c r="E461" i="3"/>
  <c r="E360" i="3"/>
  <c r="E137" i="3"/>
  <c r="E719" i="3"/>
  <c r="E963" i="3"/>
  <c r="E950" i="3"/>
  <c r="E547" i="3"/>
  <c r="E454" i="3"/>
  <c r="E64" i="3"/>
  <c r="E187" i="3"/>
  <c r="E546" i="3"/>
  <c r="E882" i="3"/>
  <c r="E619" i="3"/>
  <c r="E59" i="3"/>
  <c r="E326" i="3"/>
  <c r="E972" i="3"/>
  <c r="E101" i="3"/>
  <c r="E974" i="3"/>
  <c r="E805" i="3"/>
  <c r="E670" i="3"/>
  <c r="E557" i="3"/>
  <c r="E458" i="3"/>
  <c r="E418" i="3"/>
  <c r="E381" i="3"/>
  <c r="E583" i="3"/>
  <c r="E354" i="3"/>
  <c r="E146" i="3"/>
  <c r="E1009" i="3"/>
  <c r="E966" i="3"/>
  <c r="E534" i="3"/>
  <c r="E711" i="3"/>
  <c r="E71" i="3"/>
  <c r="E910" i="3"/>
  <c r="E267" i="3"/>
  <c r="E932" i="3"/>
  <c r="E947" i="3"/>
  <c r="E908" i="3"/>
  <c r="E590" i="3"/>
  <c r="E538" i="3"/>
  <c r="E165" i="3"/>
  <c r="E926" i="3"/>
  <c r="E675" i="3"/>
  <c r="E545" i="3"/>
  <c r="E485" i="3"/>
  <c r="E429" i="3"/>
  <c r="E237" i="3"/>
  <c r="E1029" i="3"/>
  <c r="E556" i="3"/>
  <c r="E11" i="3"/>
  <c r="E626" i="3"/>
  <c r="E445" i="3"/>
  <c r="E229" i="3"/>
  <c r="E121" i="3"/>
  <c r="E986" i="3"/>
  <c r="E595" i="3"/>
  <c r="E920" i="3"/>
  <c r="E863" i="3"/>
  <c r="E120" i="3"/>
  <c r="E246" i="3"/>
  <c r="E898" i="3"/>
  <c r="E618" i="3"/>
  <c r="E606" i="3"/>
  <c r="E587" i="3"/>
  <c r="E582" i="3"/>
  <c r="E562" i="3"/>
  <c r="E375" i="3"/>
  <c r="E367" i="3"/>
  <c r="E228" i="3"/>
  <c r="E227" i="3"/>
  <c r="E609" i="3"/>
  <c r="E186" i="3"/>
  <c r="E63" i="3"/>
  <c r="E1018" i="3"/>
  <c r="E981" i="3"/>
  <c r="E859" i="3"/>
  <c r="E604" i="3"/>
  <c r="E76" i="3"/>
  <c r="E10" i="3"/>
  <c r="E544" i="3"/>
  <c r="E807" i="3"/>
  <c r="E70" i="3"/>
  <c r="E984" i="3"/>
  <c r="E1021" i="3"/>
  <c r="E353" i="3"/>
  <c r="E212" i="3"/>
  <c r="E537" i="3"/>
  <c r="E700" i="3"/>
  <c r="E533" i="3"/>
  <c r="E504" i="3"/>
  <c r="E453" i="3"/>
  <c r="E826" i="3"/>
  <c r="E452" i="3"/>
  <c r="E1014" i="3"/>
  <c r="E600" i="3"/>
  <c r="E460" i="3"/>
  <c r="E236" i="3"/>
  <c r="E398" i="3"/>
  <c r="E325" i="3"/>
  <c r="E699" i="3"/>
  <c r="E264" i="3"/>
  <c r="E41" i="3"/>
  <c r="E949" i="3"/>
  <c r="E444" i="3"/>
  <c r="E389" i="3"/>
  <c r="E324" i="3"/>
  <c r="E173" i="3"/>
  <c r="E100" i="3"/>
  <c r="E858" i="3"/>
  <c r="E741" i="3"/>
  <c r="E316" i="3"/>
  <c r="E172" i="3"/>
  <c r="E94" i="3"/>
  <c r="E497" i="3"/>
  <c r="E128" i="3"/>
  <c r="E1005" i="3"/>
  <c r="E337" i="3"/>
  <c r="E857" i="3"/>
  <c r="E93" i="3"/>
  <c r="E503" i="3"/>
  <c r="E554" i="3"/>
  <c r="E474" i="3"/>
  <c r="E388" i="3"/>
  <c r="E380" i="3"/>
  <c r="E637" i="3"/>
  <c r="E226" i="3"/>
  <c r="E723" i="3"/>
  <c r="E897" i="3"/>
  <c r="E145" i="3"/>
  <c r="E495" i="3"/>
  <c r="E201" i="3"/>
  <c r="E276" i="3"/>
  <c r="E780" i="3"/>
  <c r="E144" i="3"/>
  <c r="E998" i="3"/>
  <c r="E881" i="3"/>
  <c r="E841" i="3"/>
  <c r="E632" i="3"/>
  <c r="E957" i="3"/>
  <c r="E846" i="3"/>
  <c r="E745" i="3"/>
  <c r="E682" i="3"/>
  <c r="E924" i="3"/>
  <c r="E913" i="3"/>
  <c r="E695" i="3"/>
  <c r="E185" i="3"/>
  <c r="E839" i="3"/>
  <c r="E804" i="3"/>
  <c r="E799" i="3"/>
  <c r="E488" i="3"/>
  <c r="E225" i="3"/>
  <c r="E119" i="3"/>
  <c r="E713" i="3"/>
  <c r="E669" i="3"/>
  <c r="E17" i="3"/>
  <c r="E865" i="3"/>
  <c r="E758" i="3"/>
  <c r="E536" i="3"/>
  <c r="E902" i="3"/>
  <c r="E730" i="3"/>
  <c r="E263" i="3"/>
  <c r="E825" i="3"/>
  <c r="E762" i="3"/>
  <c r="E680" i="3"/>
  <c r="E631" i="3"/>
  <c r="E295" i="3"/>
  <c r="E58" i="3"/>
  <c r="E118" i="3"/>
  <c r="E1002" i="3"/>
  <c r="E803" i="3"/>
  <c r="E724" i="3"/>
  <c r="E660" i="3"/>
  <c r="E642" i="3"/>
  <c r="E624" i="3"/>
  <c r="E484" i="3"/>
  <c r="E211" i="3"/>
  <c r="E802" i="3"/>
  <c r="E994" i="3"/>
  <c r="E887" i="3"/>
  <c r="E566" i="3"/>
  <c r="E473" i="3"/>
  <c r="E883" i="3"/>
  <c r="E655" i="3"/>
  <c r="E92" i="3"/>
  <c r="E771" i="3"/>
  <c r="E880" i="3"/>
  <c r="E879" i="3"/>
  <c r="E607" i="3"/>
  <c r="E272" i="3"/>
  <c r="E965" i="3"/>
  <c r="E774" i="3"/>
  <c r="E40" i="3"/>
  <c r="E290" i="3"/>
  <c r="E387" i="3"/>
  <c r="E519" i="3"/>
  <c r="E184" i="3"/>
  <c r="E117" i="3"/>
  <c r="E885" i="3"/>
  <c r="E778" i="3"/>
  <c r="E684" i="3"/>
  <c r="E164" i="3"/>
  <c r="E75" i="3"/>
  <c r="E245" i="3"/>
  <c r="E171" i="3"/>
  <c r="E636" i="3"/>
  <c r="E294" i="3"/>
  <c r="E623" i="3"/>
  <c r="E39" i="3"/>
  <c r="E116" i="3"/>
  <c r="E829" i="3"/>
  <c r="E777" i="3"/>
  <c r="E679" i="3"/>
  <c r="E443" i="3"/>
  <c r="E16" i="3"/>
  <c r="E115" i="3"/>
  <c r="E262" i="3"/>
  <c r="E912" i="3"/>
  <c r="E293" i="3"/>
  <c r="E310" i="3"/>
  <c r="E163" i="3"/>
  <c r="E900" i="3"/>
  <c r="E896" i="3"/>
  <c r="E91" i="3"/>
  <c r="E29" i="3"/>
  <c r="E127" i="3"/>
  <c r="E954" i="3"/>
  <c r="E38" i="3"/>
  <c r="E162" i="3"/>
  <c r="E114" i="3"/>
  <c r="E113" i="3"/>
  <c r="E417" i="3"/>
  <c r="E170" i="3"/>
  <c r="E235" i="3"/>
  <c r="E818" i="3"/>
  <c r="E653" i="3"/>
  <c r="E817" i="3"/>
  <c r="E451" i="3"/>
  <c r="E535" i="3"/>
  <c r="E561" i="3"/>
  <c r="E472" i="3"/>
  <c r="E553" i="3"/>
  <c r="E943" i="3"/>
  <c r="E512" i="3"/>
  <c r="E126" i="3"/>
  <c r="E650" i="3"/>
  <c r="E518" i="3"/>
  <c r="E543" i="3"/>
  <c r="E261" i="3"/>
  <c r="E342" i="3"/>
  <c r="E740" i="3"/>
  <c r="E90" i="3"/>
  <c r="E57" i="3"/>
  <c r="E659" i="3"/>
  <c r="E581" i="3"/>
  <c r="E183" i="3"/>
  <c r="E641" i="3"/>
  <c r="E374" i="3"/>
  <c r="E457" i="3"/>
  <c r="E428" i="3"/>
  <c r="E366" i="3"/>
  <c r="E410" i="3"/>
  <c r="E934" i="3"/>
  <c r="E710" i="3"/>
  <c r="E359" i="3"/>
  <c r="E905" i="3"/>
  <c r="E674" i="3"/>
  <c r="E578" i="3"/>
  <c r="E5" i="3"/>
  <c r="E809" i="3"/>
  <c r="E755" i="3"/>
  <c r="E333" i="3"/>
  <c r="E309" i="3"/>
  <c r="E234" i="3"/>
  <c r="E635" i="3"/>
  <c r="E532" i="3"/>
  <c r="E707" i="3"/>
  <c r="E224" i="3"/>
  <c r="E112" i="3"/>
  <c r="E125" i="3"/>
  <c r="E749" i="3"/>
  <c r="E200" i="3"/>
  <c r="E586" i="3"/>
  <c r="E143" i="3"/>
  <c r="E315" i="3"/>
  <c r="E300" i="3"/>
  <c r="E1" i="3"/>
  <c r="E292" i="3"/>
  <c r="E874" i="3"/>
  <c r="E244" i="3"/>
  <c r="E502" i="3"/>
  <c r="E271" i="3"/>
  <c r="E401" i="3"/>
  <c r="E904" i="3"/>
  <c r="E422" i="3"/>
  <c r="E517" i="3"/>
  <c r="E480" i="3"/>
  <c r="E223" i="3"/>
  <c r="E204" i="3"/>
  <c r="E28" i="3"/>
  <c r="E552" i="3"/>
  <c r="E466" i="3"/>
  <c r="E37" i="3"/>
  <c r="E456" i="3"/>
  <c r="E136" i="3"/>
  <c r="E709" i="3"/>
  <c r="E516" i="3"/>
  <c r="E210" i="3"/>
  <c r="E243" i="3"/>
  <c r="E111" i="3"/>
  <c r="E832" i="3"/>
  <c r="E849" i="3"/>
  <c r="E737" i="3"/>
  <c r="E479" i="3"/>
  <c r="E409" i="3"/>
  <c r="E299" i="3"/>
  <c r="E352" i="3"/>
  <c r="E99" i="3"/>
  <c r="E465" i="3"/>
  <c r="E286" i="3"/>
  <c r="E348" i="3"/>
  <c r="E285" i="3"/>
  <c r="E161" i="3"/>
  <c r="E816" i="3"/>
  <c r="E82" i="3"/>
  <c r="E464" i="3"/>
  <c r="E867" i="3"/>
  <c r="E764" i="3"/>
  <c r="E306" i="3"/>
  <c r="E284" i="3"/>
  <c r="E706" i="3"/>
  <c r="E373" i="3"/>
  <c r="E15" i="3"/>
  <c r="E577" i="3"/>
  <c r="E255" i="3"/>
  <c r="E634" i="3"/>
  <c r="E270" i="3"/>
  <c r="E612" i="3"/>
  <c r="E860" i="3"/>
  <c r="E365" i="3"/>
  <c r="E209" i="3"/>
  <c r="E831" i="3"/>
  <c r="E199" i="3"/>
  <c r="E160" i="3"/>
  <c r="E494" i="3"/>
  <c r="E222" i="3"/>
  <c r="E135" i="3"/>
  <c r="E654" i="3"/>
  <c r="E773" i="3"/>
  <c r="E56" i="3"/>
  <c r="E305" i="3"/>
  <c r="E27" i="3"/>
  <c r="E110" i="3"/>
  <c r="E394" i="3"/>
  <c r="E531" i="3"/>
  <c r="E436" i="3"/>
  <c r="E763" i="3"/>
  <c r="E628" i="3"/>
  <c r="E134" i="3"/>
  <c r="E98" i="3"/>
  <c r="E579" i="3"/>
  <c r="E221" i="3"/>
  <c r="E416" i="3"/>
  <c r="E351" i="3"/>
  <c r="E770" i="3"/>
  <c r="E36" i="3"/>
  <c r="E591" i="3"/>
  <c r="E530" i="3"/>
  <c r="E449" i="3"/>
  <c r="E812" i="3"/>
  <c r="E794" i="3"/>
  <c r="E789" i="3"/>
  <c r="E648" i="3"/>
  <c r="E501" i="3"/>
  <c r="E109" i="3"/>
  <c r="E798" i="3"/>
  <c r="E539" i="3"/>
  <c r="E589" i="3"/>
  <c r="E776" i="3"/>
  <c r="E500" i="3"/>
  <c r="E463" i="3"/>
  <c r="E435" i="3"/>
  <c r="E767" i="3"/>
  <c r="E761" i="3"/>
  <c r="E364" i="3"/>
  <c r="E4" i="3"/>
  <c r="E26" i="3"/>
  <c r="E242" i="3"/>
  <c r="E208" i="3"/>
  <c r="E717" i="3"/>
  <c r="E434" i="3"/>
  <c r="E341" i="3"/>
  <c r="E85" i="3"/>
  <c r="E668" i="3"/>
  <c r="E169" i="3"/>
  <c r="E400" i="3"/>
  <c r="E332" i="3"/>
  <c r="E658" i="3"/>
  <c r="E599" i="3"/>
  <c r="E55" i="3"/>
  <c r="E386" i="3"/>
  <c r="E565" i="3"/>
  <c r="E358" i="3"/>
  <c r="E529" i="3"/>
  <c r="E159" i="3"/>
  <c r="E523" i="3"/>
  <c r="E291" i="3"/>
  <c r="E515" i="3"/>
  <c r="E478" i="3"/>
  <c r="E89" i="3"/>
  <c r="E108" i="3"/>
  <c r="E88" i="3"/>
  <c r="E379" i="3"/>
  <c r="E347" i="3"/>
  <c r="E331" i="3"/>
  <c r="E393" i="3"/>
  <c r="E330" i="3"/>
  <c r="E340" i="3"/>
  <c r="E283" i="3"/>
  <c r="E323" i="3"/>
  <c r="E158" i="3"/>
  <c r="E182" i="3"/>
  <c r="E142" i="3"/>
  <c r="E35" i="3"/>
  <c r="E25" i="3"/>
  <c r="E260" i="3"/>
  <c r="E9" i="3"/>
  <c r="E74" i="3"/>
  <c r="E24" i="3"/>
  <c r="E23" i="3"/>
  <c r="E157" i="3"/>
  <c r="E69" i="3"/>
  <c r="E62" i="3"/>
  <c r="E34" i="3"/>
  <c r="E45" i="3"/>
  <c r="E87" i="3"/>
  <c r="E81" i="3"/>
  <c r="E22" i="3"/>
  <c r="E33" i="3"/>
  <c r="E61" i="3"/>
  <c r="E54" i="3"/>
  <c r="E21" i="3"/>
  <c r="E3" i="3"/>
  <c r="E32" i="3"/>
  <c r="E14" i="3"/>
  <c r="E8" i="3"/>
  <c r="E571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" i="6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W119" i="4"/>
  <c r="Y119" i="4" s="1"/>
  <c r="W118" i="4"/>
  <c r="U118" i="4"/>
  <c r="Y118" i="4" s="1"/>
  <c r="Q118" i="4"/>
  <c r="U117" i="4"/>
  <c r="S117" i="4"/>
  <c r="Q117" i="4"/>
  <c r="Y117" i="4" s="1"/>
  <c r="U70" i="4"/>
  <c r="Y70" i="4" s="1"/>
  <c r="Q70" i="4"/>
  <c r="Y69" i="4"/>
  <c r="Y68" i="4"/>
  <c r="S67" i="4"/>
  <c r="Y67" i="4" s="1"/>
  <c r="Q67" i="4"/>
  <c r="S66" i="4"/>
  <c r="Y66" i="4" s="1"/>
  <c r="S65" i="4"/>
  <c r="Y65" i="4" s="1"/>
  <c r="Q65" i="4"/>
  <c r="U64" i="4"/>
  <c r="S64" i="4"/>
  <c r="Y64" i="4" s="1"/>
  <c r="Q64" i="4"/>
  <c r="U63" i="4"/>
  <c r="Y63" i="4" s="1"/>
  <c r="Q63" i="4"/>
  <c r="U62" i="4"/>
  <c r="S62" i="4"/>
  <c r="Y62" i="4" s="1"/>
  <c r="U61" i="4"/>
  <c r="S61" i="4"/>
  <c r="Y61" i="4" s="1"/>
  <c r="Q61" i="4"/>
  <c r="U60" i="4"/>
  <c r="S60" i="4"/>
  <c r="Y60" i="4" s="1"/>
  <c r="U59" i="4"/>
  <c r="Y59" i="4" s="1"/>
  <c r="U58" i="4"/>
  <c r="Y58" i="4" s="1"/>
  <c r="U57" i="4"/>
  <c r="S57" i="4"/>
  <c r="Y57" i="4" s="1"/>
  <c r="Q57" i="4"/>
  <c r="Y56" i="4"/>
  <c r="W55" i="4"/>
  <c r="Y55" i="4" s="1"/>
  <c r="W54" i="4"/>
  <c r="U54" i="4"/>
  <c r="Y54" i="4" s="1"/>
  <c r="W53" i="4"/>
  <c r="S53" i="4"/>
  <c r="Y53" i="4" s="1"/>
  <c r="W52" i="4"/>
  <c r="U52" i="4"/>
  <c r="S52" i="4"/>
  <c r="Y52" i="4" s="1"/>
  <c r="W51" i="4"/>
  <c r="U51" i="4"/>
  <c r="S51" i="4"/>
  <c r="Y51" i="4" s="1"/>
  <c r="Q51" i="4"/>
  <c r="W50" i="4"/>
  <c r="U50" i="4"/>
  <c r="S50" i="4"/>
  <c r="Y50" i="4" s="1"/>
  <c r="Q50" i="4"/>
  <c r="W49" i="4"/>
  <c r="U49" i="4"/>
  <c r="S49" i="4"/>
  <c r="Y49" i="4" s="1"/>
  <c r="Q49" i="4"/>
  <c r="W48" i="4"/>
  <c r="U48" i="4"/>
  <c r="S48" i="4"/>
  <c r="Y48" i="4" s="1"/>
  <c r="W47" i="4"/>
  <c r="Y47" i="4" s="1"/>
  <c r="W46" i="4"/>
  <c r="S46" i="4"/>
  <c r="Y46" i="4" s="1"/>
  <c r="W45" i="4"/>
  <c r="Y45" i="4" s="1"/>
  <c r="Q45" i="4"/>
  <c r="W44" i="4"/>
  <c r="U44" i="4"/>
  <c r="Y44" i="4" s="1"/>
  <c r="W43" i="4"/>
  <c r="U43" i="4"/>
  <c r="Y43" i="4" s="1"/>
  <c r="W42" i="4"/>
  <c r="U42" i="4"/>
  <c r="S42" i="4"/>
  <c r="Y42" i="4" s="1"/>
  <c r="W41" i="4"/>
  <c r="U41" i="4"/>
  <c r="S41" i="4"/>
  <c r="Y41" i="4" s="1"/>
  <c r="Q41" i="4"/>
  <c r="W40" i="4"/>
  <c r="U40" i="4"/>
  <c r="Y40" i="4" s="1"/>
  <c r="Q40" i="4"/>
  <c r="W39" i="4"/>
  <c r="U39" i="4"/>
  <c r="S39" i="4"/>
  <c r="Y39" i="4" s="1"/>
  <c r="Q39" i="4"/>
  <c r="W38" i="4"/>
  <c r="U38" i="4"/>
  <c r="S38" i="4"/>
  <c r="Y38" i="4" s="1"/>
  <c r="W37" i="4"/>
  <c r="S37" i="4"/>
  <c r="Y37" i="4" s="1"/>
  <c r="W36" i="4"/>
  <c r="U36" i="4"/>
  <c r="S36" i="4"/>
  <c r="Y36" i="4" s="1"/>
  <c r="Q36" i="4"/>
  <c r="W35" i="4"/>
  <c r="U35" i="4"/>
  <c r="S35" i="4"/>
  <c r="Y35" i="4" s="1"/>
  <c r="W34" i="4"/>
  <c r="U34" i="4"/>
  <c r="S34" i="4"/>
  <c r="Y34" i="4" s="1"/>
  <c r="Q34" i="4"/>
  <c r="W33" i="4"/>
  <c r="U33" i="4"/>
  <c r="S33" i="4"/>
  <c r="Y33" i="4" s="1"/>
  <c r="Q33" i="4"/>
  <c r="W32" i="4"/>
  <c r="U32" i="4"/>
  <c r="Y32" i="4" s="1"/>
  <c r="W31" i="4"/>
  <c r="S31" i="4"/>
  <c r="Y31" i="4" s="1"/>
  <c r="Q31" i="4"/>
  <c r="W30" i="4"/>
  <c r="U30" i="4"/>
  <c r="S30" i="4"/>
  <c r="Y30" i="4" s="1"/>
  <c r="Q30" i="4"/>
  <c r="W29" i="4"/>
  <c r="U29" i="4"/>
  <c r="S29" i="4"/>
  <c r="Y29" i="4" s="1"/>
  <c r="Q29" i="4"/>
  <c r="W28" i="4"/>
  <c r="U28" i="4"/>
  <c r="S28" i="4"/>
  <c r="Y28" i="4" s="1"/>
  <c r="W27" i="4"/>
  <c r="U27" i="4"/>
  <c r="S27" i="4"/>
  <c r="Y27" i="4" s="1"/>
  <c r="Q27" i="4"/>
  <c r="W26" i="4"/>
  <c r="S26" i="4"/>
  <c r="Y26" i="4" s="1"/>
  <c r="Q26" i="4"/>
  <c r="W25" i="4"/>
  <c r="U25" i="4"/>
  <c r="S25" i="4"/>
  <c r="Y25" i="4" s="1"/>
  <c r="Q25" i="4"/>
  <c r="W24" i="4"/>
  <c r="U24" i="4"/>
  <c r="S24" i="4"/>
  <c r="Y24" i="4" s="1"/>
  <c r="W23" i="4"/>
  <c r="U23" i="4"/>
  <c r="S23" i="4"/>
  <c r="Y23" i="4" s="1"/>
  <c r="Q23" i="4"/>
  <c r="W22" i="4"/>
  <c r="U22" i="4"/>
  <c r="S22" i="4"/>
  <c r="Y22" i="4" s="1"/>
  <c r="Q22" i="4"/>
  <c r="W21" i="4"/>
  <c r="U21" i="4"/>
  <c r="S21" i="4"/>
  <c r="Y21" i="4" s="1"/>
  <c r="Q21" i="4"/>
  <c r="W20" i="4"/>
  <c r="Y20" i="4" s="1"/>
  <c r="Q20" i="4"/>
  <c r="W19" i="4"/>
  <c r="U19" i="4"/>
  <c r="S19" i="4"/>
  <c r="Y19" i="4" s="1"/>
  <c r="Q19" i="4"/>
  <c r="W18" i="4"/>
  <c r="U18" i="4"/>
  <c r="Y18" i="4" s="1"/>
  <c r="Q18" i="4"/>
  <c r="W17" i="4"/>
  <c r="U17" i="4"/>
  <c r="S17" i="4"/>
  <c r="Y17" i="4" s="1"/>
  <c r="Q17" i="4"/>
  <c r="W16" i="4"/>
  <c r="U16" i="4"/>
  <c r="S16" i="4"/>
  <c r="Y16" i="4" s="1"/>
  <c r="W15" i="4"/>
  <c r="Y15" i="4" s="1"/>
  <c r="W14" i="4"/>
  <c r="U14" i="4"/>
  <c r="S14" i="4"/>
  <c r="Y14" i="4" s="1"/>
  <c r="Q14" i="4"/>
  <c r="W13" i="4"/>
  <c r="U13" i="4"/>
  <c r="S13" i="4"/>
  <c r="Y13" i="4" s="1"/>
  <c r="Q13" i="4"/>
  <c r="W12" i="4"/>
  <c r="S12" i="4"/>
  <c r="Y12" i="4" s="1"/>
  <c r="Q12" i="4"/>
  <c r="W11" i="4"/>
  <c r="U11" i="4"/>
  <c r="Y11" i="4" s="1"/>
  <c r="W10" i="4"/>
  <c r="U10" i="4"/>
  <c r="Y10" i="4" s="1"/>
  <c r="Q10" i="4"/>
  <c r="W9" i="4"/>
  <c r="U9" i="4"/>
  <c r="S9" i="4"/>
  <c r="Y9" i="4" s="1"/>
  <c r="W8" i="4"/>
  <c r="U8" i="4"/>
  <c r="Y8" i="4" s="1"/>
  <c r="W7" i="4"/>
  <c r="U7" i="4"/>
  <c r="Y7" i="4" s="1"/>
  <c r="W6" i="4"/>
  <c r="U6" i="4"/>
  <c r="S6" i="4"/>
  <c r="Y6" i="4" s="1"/>
  <c r="Q6" i="4"/>
  <c r="W5" i="4"/>
  <c r="U5" i="4"/>
  <c r="Y5" i="4" s="1"/>
</calcChain>
</file>

<file path=xl/sharedStrings.xml><?xml version="1.0" encoding="utf-8"?>
<sst xmlns="http://schemas.openxmlformats.org/spreadsheetml/2006/main" count="14266" uniqueCount="2931">
  <si>
    <t>wisdompeak</t>
  </si>
  <si>
    <t>Google</t>
  </si>
  <si>
    <t>B</t>
  </si>
  <si>
    <t>THU</t>
  </si>
  <si>
    <t>guan.huifeng@gmail.com</t>
  </si>
  <si>
    <t>lee215</t>
  </si>
  <si>
    <t>han90</t>
  </si>
  <si>
    <t>lee215code@gmail.com</t>
  </si>
  <si>
    <t>han3000</t>
  </si>
  <si>
    <t>喜刷刷</t>
  </si>
  <si>
    <t>sdliuyuzhi</t>
  </si>
  <si>
    <t>A</t>
  </si>
  <si>
    <t>liuyuzhi83@gmail.com</t>
  </si>
  <si>
    <t>cuiaoxiang</t>
  </si>
  <si>
    <t>Anson</t>
  </si>
  <si>
    <t>这个问题老大难</t>
  </si>
  <si>
    <t>ws1255</t>
  </si>
  <si>
    <t>haitao</t>
  </si>
  <si>
    <t>ws1255@nyu.edu</t>
  </si>
  <si>
    <t>Fan Liu</t>
  </si>
  <si>
    <t>ForGive</t>
  </si>
  <si>
    <t>ZJU</t>
  </si>
  <si>
    <t>liu.fan.zju@gmail.com</t>
  </si>
  <si>
    <t>尚书骐</t>
  </si>
  <si>
    <t>sshang</t>
  </si>
  <si>
    <t>ZYM</t>
  </si>
  <si>
    <t>Microsoft</t>
  </si>
  <si>
    <t>ss5410@columbia.edu</t>
  </si>
  <si>
    <t>邓先杰</t>
  </si>
  <si>
    <t>Dengxj</t>
  </si>
  <si>
    <t>SYSU</t>
  </si>
  <si>
    <t>李飞腾</t>
  </si>
  <si>
    <t>xianglaniunan</t>
  </si>
  <si>
    <t>Amazon</t>
  </si>
  <si>
    <t>li.feiteng@gmail.com</t>
  </si>
  <si>
    <t>TinyFish</t>
  </si>
  <si>
    <t>tinyfish1</t>
  </si>
  <si>
    <t>Snapchat</t>
  </si>
  <si>
    <t>xiaoyuw07@gmail.com</t>
  </si>
  <si>
    <t>wxy9018</t>
  </si>
  <si>
    <t>Maximum</t>
  </si>
  <si>
    <t>thumbpixels</t>
  </si>
  <si>
    <r>
      <rPr>
        <sz val="11"/>
        <color rgb="FF000000"/>
        <rFont val="PingFang SC"/>
        <family val="2"/>
        <charset val="1"/>
      </rPr>
      <t>苏苏苏</t>
    </r>
    <r>
      <rPr>
        <sz val="11"/>
        <color rgb="FF000000"/>
        <rFont val="Calibri"/>
        <family val="2"/>
        <charset val="1"/>
      </rPr>
      <t>key</t>
    </r>
  </si>
  <si>
    <t>Facebook</t>
  </si>
  <si>
    <t>thumbpixels@gmail.com</t>
  </si>
  <si>
    <t>Zeoh</t>
  </si>
  <si>
    <t>zac4</t>
  </si>
  <si>
    <t>zac.wen7@gmail.com</t>
  </si>
  <si>
    <t>Tianlong</t>
  </si>
  <si>
    <t>KKKXY</t>
  </si>
  <si>
    <t>tianlong0717@gmail.com</t>
  </si>
  <si>
    <t>Tianlong Chen</t>
  </si>
  <si>
    <t>一俩三四五</t>
  </si>
  <si>
    <t>ottffyzy</t>
  </si>
  <si>
    <t>Z</t>
  </si>
  <si>
    <t>ottffyzy@gmail.com</t>
  </si>
  <si>
    <t xml:space="preserve">Zhenyu Yang </t>
  </si>
  <si>
    <t>OTTFF</t>
  </si>
  <si>
    <t>猫箱</t>
  </si>
  <si>
    <t>lichuan199010</t>
  </si>
  <si>
    <t>Coupang</t>
  </si>
  <si>
    <t>lichuan@umich.edu</t>
  </si>
  <si>
    <t>angel30818</t>
  </si>
  <si>
    <t>Jason_wong</t>
  </si>
  <si>
    <t>jason_wong11</t>
  </si>
  <si>
    <t>wangzhiyu0517@gmail.com</t>
  </si>
  <si>
    <t>Zhiyu Wang</t>
  </si>
  <si>
    <t>jason_wong1</t>
  </si>
  <si>
    <t>Discipline</t>
  </si>
  <si>
    <t>huanglanzhiguan</t>
  </si>
  <si>
    <t>ByteDance</t>
  </si>
  <si>
    <t>XJTU</t>
  </si>
  <si>
    <t>huanglanzhiguan@gmail.com</t>
  </si>
  <si>
    <t>杨珺</t>
  </si>
  <si>
    <t>harttle</t>
  </si>
  <si>
    <t>Lisongyi</t>
  </si>
  <si>
    <t>harttleharttle@gmail.com</t>
  </si>
  <si>
    <t>FighterNan</t>
  </si>
  <si>
    <t>FighterNanReborn</t>
  </si>
  <si>
    <t>nanzhoumails@gmail.com</t>
  </si>
  <si>
    <t>Nan Zhou</t>
  </si>
  <si>
    <t>lozy219</t>
  </si>
  <si>
    <t>uygnim.iel@gmail.com</t>
  </si>
  <si>
    <r>
      <t>后青春期的</t>
    </r>
    <r>
      <rPr>
        <sz val="11"/>
        <color theme="4"/>
        <rFont val="Calibri"/>
        <family val="2"/>
        <charset val="1"/>
      </rPr>
      <t>YXY</t>
    </r>
  </si>
  <si>
    <t>CE_RE_WAyitiaolong</t>
  </si>
  <si>
    <t>USTC</t>
  </si>
  <si>
    <t>yuxiaoyuan93@gmail.com</t>
  </si>
  <si>
    <t>Xiaoyuan Yu</t>
  </si>
  <si>
    <t>python</t>
  </si>
  <si>
    <t>pku_erutan</t>
  </si>
  <si>
    <t>PKU</t>
  </si>
  <si>
    <t>erutan@pku.edu.cn</t>
  </si>
  <si>
    <t>Yuxuan Lai</t>
  </si>
  <si>
    <t>小卡</t>
  </si>
  <si>
    <t>arignote</t>
  </si>
  <si>
    <t>Coinbase</t>
  </si>
  <si>
    <t>arignote2@gmail.com</t>
  </si>
  <si>
    <t>Rizeng Zheng</t>
  </si>
  <si>
    <t>排骨年糕清冷面</t>
  </si>
  <si>
    <t>googlehsiehhh</t>
  </si>
  <si>
    <t>曾望原</t>
  </si>
  <si>
    <t>huaiguxie@gmail.com</t>
  </si>
  <si>
    <t>Huaigui Xie</t>
  </si>
  <si>
    <t>Googlehsiehh</t>
  </si>
  <si>
    <t>优踢丽特瑞安</t>
  </si>
  <si>
    <t>YanJF</t>
  </si>
  <si>
    <t>Indeed</t>
  </si>
  <si>
    <t>yjf27281181@gmail.com</t>
  </si>
  <si>
    <t>Lby</t>
  </si>
  <si>
    <t>llamma123</t>
  </si>
  <si>
    <t>lbyxiafei@gmail.com</t>
  </si>
  <si>
    <t xml:space="preserve">Binyan Li </t>
  </si>
  <si>
    <t>lbyxiafei, Qianqian2018,commallama</t>
  </si>
  <si>
    <t>FightEveryDay</t>
  </si>
  <si>
    <t>NWAFU</t>
  </si>
  <si>
    <t>warriorzwy01@gmail.com</t>
  </si>
  <si>
    <t>WarriorZWY,  WarriorZ</t>
  </si>
  <si>
    <t>JDEPTCT</t>
  </si>
  <si>
    <t>peichaoD</t>
  </si>
  <si>
    <t>Thinky</t>
  </si>
  <si>
    <t>peichaodu@gmail.com</t>
  </si>
  <si>
    <t xml:space="preserve">Peichao Du, </t>
  </si>
  <si>
    <t>peicd7699, jdeptct</t>
  </si>
  <si>
    <t>何杰</t>
  </si>
  <si>
    <t>everthis</t>
  </si>
  <si>
    <t>UESTC</t>
  </si>
  <si>
    <t>wwwaap@gmail.com</t>
  </si>
  <si>
    <t>Jie He，</t>
  </si>
  <si>
    <t>wwwap</t>
  </si>
  <si>
    <t>耀民</t>
  </si>
  <si>
    <t>mcuallen</t>
  </si>
  <si>
    <t>DHU</t>
  </si>
  <si>
    <t>mcuallen@gmail.com</t>
  </si>
  <si>
    <t>民曰自然</t>
  </si>
  <si>
    <t>hanzhoutang</t>
  </si>
  <si>
    <t>BUPT</t>
  </si>
  <si>
    <t>hanzhoutang@gmail.com</t>
  </si>
  <si>
    <t>胡英华</t>
  </si>
  <si>
    <t>yinghuahu</t>
  </si>
  <si>
    <t>Chase</t>
  </si>
  <si>
    <t>yinghua.hu@gmail.com</t>
  </si>
  <si>
    <t>Roy</t>
  </si>
  <si>
    <t>roy_1127</t>
  </si>
  <si>
    <t>jiutiany1127@gmail.com</t>
  </si>
  <si>
    <t>Lucas</t>
  </si>
  <si>
    <t>rayms</t>
  </si>
  <si>
    <t>NJU</t>
  </si>
  <si>
    <t>raymonday20@gmail.com</t>
  </si>
  <si>
    <t>路人甲</t>
  </si>
  <si>
    <t>hc167</t>
  </si>
  <si>
    <t>hiuhchan@gmail.com</t>
  </si>
  <si>
    <t>卢贝贝媛媛姐</t>
  </si>
  <si>
    <t>yuanlu0210</t>
  </si>
  <si>
    <t>Dropbox</t>
  </si>
  <si>
    <t>SEU</t>
  </si>
  <si>
    <t>yuanlu0210@gmail.com</t>
  </si>
  <si>
    <t>Nickee</t>
  </si>
  <si>
    <t>nickee1942</t>
  </si>
  <si>
    <t>nickee1942@gmail.com</t>
  </si>
  <si>
    <t>大哼哼</t>
  </si>
  <si>
    <t>REED_W</t>
  </si>
  <si>
    <t>alanlzl</t>
  </si>
  <si>
    <t>volker.way@gmail.com</t>
  </si>
  <si>
    <t>板砖骑士</t>
  </si>
  <si>
    <t>delphih</t>
  </si>
  <si>
    <t>haozihong@hotmail.com</t>
  </si>
  <si>
    <t>郝子宏</t>
  </si>
  <si>
    <t>陈六</t>
  </si>
  <si>
    <t>Razorbach</t>
  </si>
  <si>
    <t>ftdejo@gmail.com</t>
  </si>
  <si>
    <t>Hua Chen,</t>
  </si>
  <si>
    <t>insomniacat</t>
  </si>
  <si>
    <t>Perry</t>
  </si>
  <si>
    <t>zqeal</t>
  </si>
  <si>
    <t>江浩</t>
  </si>
  <si>
    <t>panrui180@gmail.com</t>
  </si>
  <si>
    <t>perry304</t>
  </si>
  <si>
    <t>沈佳卿</t>
  </si>
  <si>
    <t>SupervisorMayHap</t>
  </si>
  <si>
    <t>js4198@rit.edu</t>
  </si>
  <si>
    <t>橙负三</t>
  </si>
  <si>
    <t>YUFENGWANG</t>
  </si>
  <si>
    <t>Citadel</t>
  </si>
  <si>
    <t>chenfushan20@gmail.com</t>
  </si>
  <si>
    <t>会唱歌的猪</t>
  </si>
  <si>
    <t>nirodha</t>
  </si>
  <si>
    <t>cyzh</t>
  </si>
  <si>
    <t>Baidu</t>
  </si>
  <si>
    <t>1487761808@qq.com</t>
  </si>
  <si>
    <t>Tylor</t>
  </si>
  <si>
    <t>goodice</t>
  </si>
  <si>
    <t>gfan@ncsu.edu</t>
  </si>
  <si>
    <t xml:space="preserve">Jiajun Fan, </t>
  </si>
  <si>
    <t>nijiademianbao</t>
  </si>
  <si>
    <t>Zhang Zhe</t>
  </si>
  <si>
    <t>hkhzzz</t>
  </si>
  <si>
    <t>Bill04128682</t>
  </si>
  <si>
    <t>zhezhangcs@gmail.com</t>
  </si>
  <si>
    <t>六弦</t>
  </si>
  <si>
    <t>freeyourmind</t>
  </si>
  <si>
    <t>FreeYourMind</t>
  </si>
  <si>
    <t>zouyu9631@gmail.com</t>
  </si>
  <si>
    <t xml:space="preserve">邹宇, </t>
  </si>
  <si>
    <t>好饿</t>
  </si>
  <si>
    <t>answerer</t>
  </si>
  <si>
    <t>Cyzh</t>
  </si>
  <si>
    <t>coderhare@gmail.com</t>
  </si>
  <si>
    <t>Daquan Yu</t>
  </si>
  <si>
    <t>黄瀚元</t>
  </si>
  <si>
    <t>fatyuan</t>
  </si>
  <si>
    <t>hanyuanhuang@hotmail.com</t>
  </si>
  <si>
    <t>阵雨</t>
  </si>
  <si>
    <t>ceaxyz0002</t>
  </si>
  <si>
    <t>Roblox</t>
  </si>
  <si>
    <t>ceaxyz@gmail.com</t>
  </si>
  <si>
    <t xml:space="preserve">Yu Zheng, </t>
  </si>
  <si>
    <t>ceaxyz, ceaxyz002</t>
  </si>
  <si>
    <t>Mikoto</t>
  </si>
  <si>
    <t>AC_Mikoto</t>
  </si>
  <si>
    <t>王悟空</t>
  </si>
  <si>
    <t>zhuxin17@tsinghua.org.cn</t>
  </si>
  <si>
    <t>Limonade</t>
  </si>
  <si>
    <t>ocavue</t>
  </si>
  <si>
    <t>华尔道夫</t>
  </si>
  <si>
    <t>kong-zhi-bian-liang-fa</t>
  </si>
  <si>
    <t>Pony</t>
  </si>
  <si>
    <t>787306974@zju.edu.cn</t>
  </si>
  <si>
    <t>axlsdtkl</t>
  </si>
  <si>
    <t>李凤祥</t>
  </si>
  <si>
    <t>jushuai_lfx</t>
  </si>
  <si>
    <t>Robinhood</t>
  </si>
  <si>
    <t>lifengxiang.1025@bytedance.com</t>
  </si>
  <si>
    <t>ttttttttrx</t>
  </si>
  <si>
    <t>Attttrx</t>
  </si>
  <si>
    <t>灵茶山艾府</t>
  </si>
  <si>
    <t>陆晨晨</t>
  </si>
  <si>
    <t>lu-chen-chen</t>
  </si>
  <si>
    <t>JJJ</t>
  </si>
  <si>
    <t>jiangjinjinyxt</t>
  </si>
  <si>
    <t>jiangjinjinyxt@gmail.com</t>
  </si>
  <si>
    <t>Jinjin jiang</t>
  </si>
  <si>
    <t>Chintsai</t>
  </si>
  <si>
    <t>chintsai</t>
  </si>
  <si>
    <t>你就拿这个考验干部</t>
  </si>
  <si>
    <t>s192516</t>
  </si>
  <si>
    <t>钟毛线</t>
  </si>
  <si>
    <t>silencea</t>
  </si>
  <si>
    <t>yuyaoz423@gmail.com</t>
  </si>
  <si>
    <t>Jia</t>
  </si>
  <si>
    <t>kirasj</t>
  </si>
  <si>
    <t>jsong0805@gmail.com</t>
  </si>
  <si>
    <t>gosh</t>
  </si>
  <si>
    <t>gude8997</t>
  </si>
  <si>
    <t>Guofeng.Deng@colorado.edu</t>
  </si>
  <si>
    <t>Andy-Math</t>
  </si>
  <si>
    <t>andy-wa</t>
  </si>
  <si>
    <t>3772259@gmail.com</t>
  </si>
  <si>
    <t>Andy-math, andy-lc</t>
  </si>
  <si>
    <t>南燕北巢</t>
  </si>
  <si>
    <t>Pisces311</t>
  </si>
  <si>
    <t>张超然</t>
  </si>
  <si>
    <t>Fzldq</t>
  </si>
  <si>
    <t>tsreaper</t>
  </si>
  <si>
    <t>bill04128682</t>
  </si>
  <si>
    <t>JumpTrade</t>
  </si>
  <si>
    <t>jxphxufh@gmail.com</t>
  </si>
  <si>
    <t>徐丰河</t>
  </si>
  <si>
    <t>Yang</t>
  </si>
  <si>
    <t>luyangg</t>
  </si>
  <si>
    <t>Young</t>
  </si>
  <si>
    <t>ShangqiYang</t>
  </si>
  <si>
    <t>fightmingz@gmail.com</t>
  </si>
  <si>
    <t>Kevin.L</t>
  </si>
  <si>
    <t>kl649</t>
  </si>
  <si>
    <t>kl333</t>
  </si>
  <si>
    <t>孙晓</t>
  </si>
  <si>
    <t>mazzy_star</t>
  </si>
  <si>
    <t>xymabinogi</t>
  </si>
  <si>
    <t>lekeiscoding</t>
  </si>
  <si>
    <t>lukeiscoding</t>
  </si>
  <si>
    <t>Walmart</t>
  </si>
  <si>
    <t>Sloth</t>
  </si>
  <si>
    <t>dj3013158</t>
  </si>
  <si>
    <t>Jimmy</t>
  </si>
  <si>
    <t>jmyanxiang</t>
  </si>
  <si>
    <t>氧气</t>
  </si>
  <si>
    <t>deadstorm</t>
  </si>
  <si>
    <t>wangyanstorm@163.com</t>
  </si>
  <si>
    <t>冯硕</t>
  </si>
  <si>
    <t>Sariabell</t>
  </si>
  <si>
    <t>C</t>
  </si>
  <si>
    <t>san</t>
  </si>
  <si>
    <t>yaoyi92</t>
  </si>
  <si>
    <t>且听疯吟</t>
  </si>
  <si>
    <t>mike-meng1</t>
  </si>
  <si>
    <t>今夕</t>
  </si>
  <si>
    <t>mike-meng</t>
  </si>
  <si>
    <t>five</t>
  </si>
  <si>
    <t>wangdh15</t>
  </si>
  <si>
    <t>黄河0127</t>
  </si>
  <si>
    <t>王道烩</t>
  </si>
  <si>
    <t>怪懒懒</t>
  </si>
  <si>
    <t>wawawamei</t>
  </si>
  <si>
    <t>huange</t>
  </si>
  <si>
    <t>supperlanlan</t>
  </si>
  <si>
    <t>Zening</t>
  </si>
  <si>
    <t>zeningc</t>
  </si>
  <si>
    <t>Ivan</t>
  </si>
  <si>
    <t>ivanc-e</t>
  </si>
  <si>
    <t>April</t>
  </si>
  <si>
    <t>zjbztianya</t>
  </si>
  <si>
    <t>Hogwartsss</t>
  </si>
  <si>
    <t>Alibaba</t>
  </si>
  <si>
    <t>bo.20@intl.zju.edu.cn</t>
  </si>
  <si>
    <t>会飞的麦片</t>
  </si>
  <si>
    <t>zk299</t>
  </si>
  <si>
    <t>TwoSigma</t>
  </si>
  <si>
    <t>skyzjkang@gmail.com</t>
  </si>
  <si>
    <t>Nelson</t>
  </si>
  <si>
    <t>Nelson84</t>
  </si>
  <si>
    <t>孙慧聪</t>
  </si>
  <si>
    <t>Huicccc</t>
  </si>
  <si>
    <t>Fantasy</t>
  </si>
  <si>
    <t>fantasy1979</t>
  </si>
  <si>
    <t>小韭菜菜子</t>
  </si>
  <si>
    <t>zkaic</t>
  </si>
  <si>
    <t>李洋子</t>
  </si>
  <si>
    <t>liyangzi6p626</t>
  </si>
  <si>
    <t>余超</t>
  </si>
  <si>
    <t>chao24</t>
  </si>
  <si>
    <t>李欣宜</t>
  </si>
  <si>
    <t>xy-li</t>
  </si>
  <si>
    <t>hxu10</t>
  </si>
  <si>
    <t>搬砖骑士</t>
  </si>
  <si>
    <t>大沈琢</t>
  </si>
  <si>
    <t>NaoJoeMiao</t>
  </si>
  <si>
    <t>Uber</t>
  </si>
  <si>
    <t>zhuoshen617@gmail.com</t>
  </si>
  <si>
    <t>lilydenris</t>
  </si>
  <si>
    <t>Rowena</t>
  </si>
  <si>
    <t>yh429518</t>
  </si>
  <si>
    <t>YunShan</t>
  </si>
  <si>
    <t>ligjerry007</t>
  </si>
  <si>
    <t>万骁扬</t>
  </si>
  <si>
    <t>WildPiggy</t>
  </si>
  <si>
    <t>PennVan</t>
  </si>
  <si>
    <r>
      <t>剌瑞</t>
    </r>
    <r>
      <rPr>
        <sz val="11"/>
        <color rgb="FF000000"/>
        <rFont val="Noto sans cjk sc"/>
        <charset val="1"/>
      </rPr>
      <t>larry</t>
    </r>
  </si>
  <si>
    <t>larui52953</t>
  </si>
  <si>
    <t>larui529@gmail.com</t>
  </si>
  <si>
    <t>larui529</t>
  </si>
  <si>
    <t>阿爬</t>
  </si>
  <si>
    <t>0I3qVhozIv</t>
  </si>
  <si>
    <t>RS</t>
  </si>
  <si>
    <t>iamsnoopy</t>
  </si>
  <si>
    <t>Rownum</t>
  </si>
  <si>
    <t>zhouxiongjia</t>
  </si>
  <si>
    <t>xjnull@gmail.com</t>
  </si>
  <si>
    <t>Bing</t>
  </si>
  <si>
    <t>BingX</t>
  </si>
  <si>
    <t>张伟信</t>
  </si>
  <si>
    <t>jmzhang18</t>
  </si>
  <si>
    <t>auntlet</t>
  </si>
  <si>
    <t>williamwxz@gmail.com</t>
  </si>
  <si>
    <t>左茜</t>
  </si>
  <si>
    <t>BestQian</t>
  </si>
  <si>
    <t>SDU</t>
  </si>
  <si>
    <t>tsianzuo@gmail.com</t>
  </si>
  <si>
    <t>群友最近有些忙，先退群一段时间。等稳定下来，再回来。</t>
  </si>
  <si>
    <t>夏语沐</t>
  </si>
  <si>
    <t>idonteatcookie</t>
  </si>
  <si>
    <t>muggle</t>
  </si>
  <si>
    <t>YzXiao101</t>
  </si>
  <si>
    <t>黄地仁</t>
  </si>
  <si>
    <t>_junbutterfly</t>
  </si>
  <si>
    <t>ceylon</t>
  </si>
  <si>
    <t>ergouwang1011</t>
  </si>
  <si>
    <t>任国庆</t>
  </si>
  <si>
    <t>X</t>
  </si>
  <si>
    <t>mit</t>
  </si>
  <si>
    <t>Jay Kay</t>
  </si>
  <si>
    <t>zhiyuanxu199578</t>
  </si>
  <si>
    <t>D.C</t>
  </si>
  <si>
    <t>吴忠远</t>
  </si>
  <si>
    <t>wzhongyuan</t>
  </si>
  <si>
    <t>转专业菜鸡</t>
  </si>
  <si>
    <t>fctoronto2015</t>
  </si>
  <si>
    <r>
      <rPr>
        <sz val="11"/>
        <color rgb="FFFF0000"/>
        <rFont val="Calibri"/>
        <family val="2"/>
        <charset val="1"/>
      </rPr>
      <t xml:space="preserve">Zac </t>
    </r>
    <r>
      <rPr>
        <sz val="11"/>
        <color rgb="FFFF0000"/>
        <rFont val="PingFang SC"/>
        <family val="2"/>
        <charset val="1"/>
      </rPr>
      <t>謙</t>
    </r>
  </si>
  <si>
    <t>tclu82</t>
  </si>
  <si>
    <t>S.Moon</t>
  </si>
  <si>
    <t>silverymoonoj</t>
  </si>
  <si>
    <t>史红波</t>
  </si>
  <si>
    <t>于可</t>
  </si>
  <si>
    <t>keyupeter</t>
  </si>
  <si>
    <t>sss</t>
  </si>
  <si>
    <t>ZOEGREEN</t>
  </si>
  <si>
    <t>GMY</t>
  </si>
  <si>
    <t>gaomengye</t>
  </si>
  <si>
    <t>田晓</t>
  </si>
  <si>
    <t>TheUserNameIsTaken</t>
  </si>
  <si>
    <t>晶亮</t>
  </si>
  <si>
    <t>jingliang992</t>
  </si>
  <si>
    <t>孙佳路</t>
  </si>
  <si>
    <t>jsun2s</t>
  </si>
  <si>
    <t>Purple</t>
  </si>
  <si>
    <t>ilovethiscitya</t>
  </si>
  <si>
    <t>明天的小天</t>
  </si>
  <si>
    <t>li6642235</t>
  </si>
  <si>
    <t>pzzz</t>
  </si>
  <si>
    <t>pinzhu</t>
  </si>
  <si>
    <t>Tony-Lu</t>
  </si>
  <si>
    <t>yibol</t>
  </si>
  <si>
    <t>小宇宙</t>
  </si>
  <si>
    <r>
      <rPr>
        <sz val="11"/>
        <color rgb="FFFF0000"/>
        <rFont val="PingFang SC"/>
        <family val="2"/>
        <charset val="1"/>
      </rPr>
      <t>陈伟嘉</t>
    </r>
    <r>
      <rPr>
        <sz val="11"/>
        <color rgb="FFFF0000"/>
        <rFont val="Calibri"/>
        <family val="2"/>
        <charset val="1"/>
      </rPr>
      <t>Victor</t>
    </r>
  </si>
  <si>
    <t>BrightFeather</t>
  </si>
  <si>
    <r>
      <rPr>
        <sz val="11"/>
        <color rgb="FFFF0000"/>
        <rFont val="Calibri"/>
        <family val="2"/>
        <charset val="1"/>
      </rPr>
      <t>YY</t>
    </r>
    <r>
      <rPr>
        <sz val="11"/>
        <color rgb="FFFF0000"/>
        <rFont val="PingFang SC"/>
        <family val="2"/>
        <charset val="1"/>
      </rPr>
      <t>一条街</t>
    </r>
  </si>
  <si>
    <t>YYStreet</t>
  </si>
  <si>
    <t>夜花照波</t>
  </si>
  <si>
    <t>xplorld</t>
  </si>
  <si>
    <t>SAI</t>
  </si>
  <si>
    <t>BlackPineappo</t>
  </si>
  <si>
    <t>我爱刷题</t>
  </si>
  <si>
    <t>ILoveCodingVeryMuch</t>
  </si>
  <si>
    <t>呵呵</t>
  </si>
  <si>
    <t>masterde</t>
  </si>
  <si>
    <t>程川</t>
  </si>
  <si>
    <t>softair</t>
  </si>
  <si>
    <t>杨帆</t>
  </si>
  <si>
    <t>Cique</t>
  </si>
  <si>
    <t>程</t>
  </si>
  <si>
    <t>gaocheng_bupt</t>
  </si>
  <si>
    <t>Zach</t>
  </si>
  <si>
    <t>zackusc</t>
  </si>
  <si>
    <r>
      <rPr>
        <sz val="11"/>
        <color rgb="FFFF0000"/>
        <rFont val="Calibri"/>
        <family val="2"/>
        <charset val="1"/>
      </rPr>
      <t>flusing</t>
    </r>
    <r>
      <rPr>
        <sz val="11"/>
        <color rgb="FFFF0000"/>
        <rFont val="PingFang SC"/>
        <family val="2"/>
        <charset val="1"/>
      </rPr>
      <t>小当家</t>
    </r>
  </si>
  <si>
    <t>taocheng984</t>
  </si>
  <si>
    <t>葱葱葱</t>
  </si>
  <si>
    <t>henghaaya</t>
  </si>
  <si>
    <t>Goldman</t>
  </si>
  <si>
    <t>pia</t>
  </si>
  <si>
    <t>yzhan189</t>
  </si>
  <si>
    <t>Zhaofeng</t>
  </si>
  <si>
    <t>lzf_16</t>
  </si>
  <si>
    <r>
      <rPr>
        <sz val="11"/>
        <color rgb="FFFF0000"/>
        <rFont val="Calibri"/>
        <family val="2"/>
        <charset val="1"/>
      </rPr>
      <t>Phoenix</t>
    </r>
    <r>
      <rPr>
        <sz val="11"/>
        <color rgb="FFFF0000"/>
        <rFont val="PingFang SC"/>
        <family val="2"/>
        <charset val="1"/>
      </rPr>
      <t>大飞</t>
    </r>
  </si>
  <si>
    <t>user2432e</t>
  </si>
  <si>
    <t>三鱼纹</t>
  </si>
  <si>
    <t>sanyuwen</t>
  </si>
  <si>
    <t>Betty</t>
  </si>
  <si>
    <t>丝瓜</t>
  </si>
  <si>
    <t>chenjienan</t>
  </si>
  <si>
    <t>kss_hello world</t>
  </si>
  <si>
    <t>Sunnyken1002</t>
  </si>
  <si>
    <t>definitelydead</t>
  </si>
  <si>
    <t>qwegssg</t>
  </si>
  <si>
    <t>Zack</t>
  </si>
  <si>
    <t>丹丹</t>
  </si>
  <si>
    <t>danleeces</t>
  </si>
  <si>
    <t>实习</t>
  </si>
  <si>
    <t>陈功</t>
  </si>
  <si>
    <t>gong_chen</t>
  </si>
  <si>
    <t>鸟月月王</t>
  </si>
  <si>
    <t>peng_wang_cmu</t>
  </si>
  <si>
    <t>wmmm</t>
  </si>
  <si>
    <t>janester</t>
  </si>
  <si>
    <r>
      <rPr>
        <sz val="11"/>
        <color rgb="FFFF0000"/>
        <rFont val="PingFang SC"/>
        <family val="2"/>
        <charset val="1"/>
      </rPr>
      <t>寻找</t>
    </r>
    <r>
      <rPr>
        <sz val="11"/>
        <color rgb="FFFF0000"/>
        <rFont val="Calibri"/>
        <family val="2"/>
        <charset val="1"/>
      </rPr>
      <t>L</t>
    </r>
    <r>
      <rPr>
        <sz val="11"/>
        <color rgb="FFFF0000"/>
        <rFont val="PingFang SC"/>
        <family val="2"/>
        <charset val="1"/>
      </rPr>
      <t>先森</t>
    </r>
  </si>
  <si>
    <t>zhiqiliu</t>
  </si>
  <si>
    <t>fyang618</t>
  </si>
  <si>
    <t>xuexiyi</t>
  </si>
  <si>
    <t>gzh47</t>
  </si>
  <si>
    <t>XUN</t>
  </si>
  <si>
    <t>xcao65</t>
  </si>
  <si>
    <t>墨汁</t>
  </si>
  <si>
    <t>jiang718</t>
  </si>
  <si>
    <t>PureStorage</t>
  </si>
  <si>
    <t>Exia Su</t>
  </si>
  <si>
    <t>z3493021</t>
  </si>
  <si>
    <t>David</t>
  </si>
  <si>
    <t>Cjz</t>
  </si>
  <si>
    <t>jzcheng</t>
  </si>
  <si>
    <t>Ian</t>
  </si>
  <si>
    <t>fbian</t>
  </si>
  <si>
    <t>Linshen</t>
  </si>
  <si>
    <t>linshenknows</t>
  </si>
  <si>
    <t>Natalia</t>
  </si>
  <si>
    <t>littleRainRain</t>
  </si>
  <si>
    <t>natalieding007@gmail.com</t>
  </si>
  <si>
    <t>brenda</t>
  </si>
  <si>
    <t>aerzitudou</t>
  </si>
  <si>
    <t>xiaozhi1</t>
  </si>
  <si>
    <t>Apple</t>
  </si>
  <si>
    <t>Yingqing</t>
  </si>
  <si>
    <t>Vicky_Owen</t>
  </si>
  <si>
    <t>烤小鸭</t>
  </si>
  <si>
    <t>Druid</t>
  </si>
  <si>
    <t>carlluo</t>
  </si>
  <si>
    <r>
      <rPr>
        <sz val="11"/>
        <color rgb="FFFF0000"/>
        <rFont val="Calibri"/>
        <family val="2"/>
        <charset val="1"/>
      </rPr>
      <t>leet</t>
    </r>
    <r>
      <rPr>
        <sz val="11"/>
        <color rgb="FFFF0000"/>
        <rFont val="PingFang SC"/>
        <family val="2"/>
        <charset val="1"/>
      </rPr>
      <t>扣绿钻</t>
    </r>
  </si>
  <si>
    <t>徐荣晟</t>
  </si>
  <si>
    <t>XRS</t>
  </si>
  <si>
    <t>Sissi</t>
  </si>
  <si>
    <t>sissishiny</t>
  </si>
  <si>
    <t>。</t>
  </si>
  <si>
    <t>XYang93</t>
  </si>
  <si>
    <t>Lisanaaa</t>
  </si>
  <si>
    <t>Grab</t>
  </si>
  <si>
    <t>huangkeqi1995@gmail.com</t>
  </si>
  <si>
    <t xml:space="preserve">num = </t>
  </si>
  <si>
    <t>ZhuYamei</t>
  </si>
  <si>
    <t>StarSeeker</t>
  </si>
  <si>
    <t>starseeker</t>
  </si>
  <si>
    <t>zpzpzzp2020</t>
  </si>
  <si>
    <t>MicroSoft</t>
  </si>
  <si>
    <t>xxnzym</t>
  </si>
  <si>
    <t>Duuuuu</t>
  </si>
  <si>
    <t>Zach_G</t>
  </si>
  <si>
    <t>SnowFlake</t>
  </si>
  <si>
    <t>djzdevin@gmail.com</t>
  </si>
  <si>
    <t>bellumpara</t>
  </si>
  <si>
    <t>马嫣然</t>
  </si>
  <si>
    <t>wendyimayday</t>
  </si>
  <si>
    <t>ß</t>
  </si>
  <si>
    <t>chengchuan94@gmail.com</t>
  </si>
  <si>
    <t>陈栋</t>
  </si>
  <si>
    <t>deerstalker</t>
  </si>
  <si>
    <t xml:space="preserve"> TSC</t>
  </si>
  <si>
    <t>Yuzi</t>
  </si>
  <si>
    <t>hgzry812</t>
  </si>
  <si>
    <t>Haitao</t>
  </si>
  <si>
    <t>KO</t>
  </si>
  <si>
    <t>kaihaohust</t>
  </si>
  <si>
    <t>X. Zhao</t>
  </si>
  <si>
    <t>xfzhao</t>
  </si>
  <si>
    <t>杜华峰</t>
  </si>
  <si>
    <t>dhf13</t>
  </si>
  <si>
    <t>俞盈克</t>
  </si>
  <si>
    <t>yykfight</t>
  </si>
  <si>
    <t>纽约某银行</t>
  </si>
  <si>
    <t>重</t>
  </si>
  <si>
    <t>pjincz</t>
  </si>
  <si>
    <t>Feng.P</t>
  </si>
  <si>
    <t>QAMichaelPeng</t>
  </si>
  <si>
    <t>pengfeng2000@gmail.com</t>
  </si>
  <si>
    <t>Coder35</t>
  </si>
  <si>
    <t>zehaog@cs.cmu.edu;</t>
  </si>
  <si>
    <t>舟</t>
  </si>
  <si>
    <t>discipline_</t>
  </si>
  <si>
    <t>杨凡</t>
  </si>
  <si>
    <t>简单的简</t>
  </si>
  <si>
    <t>Quora</t>
  </si>
  <si>
    <t>brooky</t>
  </si>
  <si>
    <t>Brooky</t>
  </si>
  <si>
    <t>DorisGe</t>
  </si>
  <si>
    <t>Shaotong</t>
  </si>
  <si>
    <t>杨左使</t>
  </si>
  <si>
    <t>banrenmasanxing</t>
  </si>
  <si>
    <t>周昊天</t>
  </si>
  <si>
    <t>LittleBaldHead</t>
  </si>
  <si>
    <t>pc123123</t>
  </si>
  <si>
    <t>jiancheng2</t>
  </si>
  <si>
    <t>Jialin</t>
  </si>
  <si>
    <t>一一</t>
  </si>
  <si>
    <t>crossbowman</t>
  </si>
  <si>
    <t>苏何</t>
  </si>
  <si>
    <t>Suhe</t>
  </si>
  <si>
    <t>负雪明烛</t>
  </si>
  <si>
    <t>fuxuemingzhu</t>
  </si>
  <si>
    <t>小叶叶叶叶叶</t>
  </si>
  <si>
    <t>yexiaoxiao2102</t>
  </si>
  <si>
    <t>阳帅</t>
  </si>
  <si>
    <t>Rex</t>
  </si>
  <si>
    <t>memoryfraction</t>
  </si>
  <si>
    <t>靳玉亮</t>
  </si>
  <si>
    <t>spencial</t>
  </si>
  <si>
    <t>Spencial</t>
  </si>
  <si>
    <t>婷婷大熊猫</t>
  </si>
  <si>
    <t>cookiecookie</t>
  </si>
  <si>
    <t>忽悠</t>
  </si>
  <si>
    <t>吕柏榕</t>
  </si>
  <si>
    <t>LindaLyu</t>
  </si>
  <si>
    <t>小小科学家</t>
  </si>
  <si>
    <t>Yizhao_Han</t>
  </si>
  <si>
    <t>王瀚</t>
  </si>
  <si>
    <t>wolf940509</t>
  </si>
  <si>
    <t>sky</t>
  </si>
  <si>
    <t>zhangsikai123</t>
  </si>
  <si>
    <t>RedBook</t>
  </si>
  <si>
    <t>IrisGuo</t>
  </si>
  <si>
    <t>JiangHan</t>
  </si>
  <si>
    <t>irischangguo@gmail.com</t>
  </si>
  <si>
    <t>Bingyy</t>
  </si>
  <si>
    <t>水球球球</t>
  </si>
  <si>
    <t>shuizhouwang</t>
  </si>
  <si>
    <t>蔽芾棠</t>
  </si>
  <si>
    <t>Jin Wang</t>
  </si>
  <si>
    <t>Vanggie</t>
  </si>
  <si>
    <t>黄星星</t>
  </si>
  <si>
    <t>Lancer</t>
  </si>
  <si>
    <t>gyf6434</t>
  </si>
  <si>
    <t>Terry</t>
  </si>
  <si>
    <t>abyebye</t>
  </si>
  <si>
    <t>Louie Liu</t>
  </si>
  <si>
    <t>liuguanhualouie</t>
  </si>
  <si>
    <t>Anthony</t>
  </si>
  <si>
    <t>JackTheBest</t>
  </si>
  <si>
    <t>Sam</t>
  </si>
  <si>
    <t>supersam331</t>
  </si>
  <si>
    <t>bifeitang</t>
  </si>
  <si>
    <t>Schlumberger</t>
  </si>
  <si>
    <t>Zheng Qin</t>
  </si>
  <si>
    <t>qz267</t>
  </si>
  <si>
    <t>暮鼓晨钟</t>
  </si>
  <si>
    <t>icodingg</t>
  </si>
  <si>
    <t>chengu907@gmail.com</t>
  </si>
  <si>
    <t>Zifengmolan</t>
  </si>
  <si>
    <t>周子豪</t>
  </si>
  <si>
    <t>zihao</t>
  </si>
  <si>
    <t>南有嘉鱼</t>
  </si>
  <si>
    <t>wangzemeng111222</t>
  </si>
  <si>
    <t>小草鱼</t>
  </si>
  <si>
    <t>Golden_Fish</t>
  </si>
  <si>
    <t>Lulin</t>
  </si>
  <si>
    <t>lulinzhang1124</t>
  </si>
  <si>
    <t>王开宇</t>
  </si>
  <si>
    <t>Kaiyu-Wang</t>
  </si>
  <si>
    <t>ECIUJ</t>
  </si>
  <si>
    <t>Arco</t>
  </si>
  <si>
    <t>Airbnb</t>
  </si>
  <si>
    <t>毕玥</t>
  </si>
  <si>
    <t>yueb95</t>
  </si>
  <si>
    <t>yueb@umich.edu</t>
  </si>
  <si>
    <t>dennanisny</t>
  </si>
  <si>
    <t>VMware</t>
  </si>
  <si>
    <t>huyouhyw</t>
  </si>
  <si>
    <t>davidqing1991</t>
  </si>
  <si>
    <t>张晗</t>
  </si>
  <si>
    <t>mooncaketree</t>
  </si>
  <si>
    <t>陈亮</t>
  </si>
  <si>
    <t>clchenliang</t>
  </si>
  <si>
    <t>Phillllll</t>
  </si>
  <si>
    <t>user6745</t>
  </si>
  <si>
    <t>Rui</t>
  </si>
  <si>
    <t>Rui_Huang</t>
  </si>
  <si>
    <t>米兰的小铁匠</t>
  </si>
  <si>
    <t>Mengqian</t>
  </si>
  <si>
    <t>查海强</t>
  </si>
  <si>
    <t>#</t>
  </si>
  <si>
    <t>mzcj</t>
  </si>
  <si>
    <t>Palo-alto</t>
  </si>
  <si>
    <t>郭晓峥</t>
  </si>
  <si>
    <t>xguo-Will</t>
  </si>
  <si>
    <t>凉凉肥圆圆</t>
  </si>
  <si>
    <t>会被揍的</t>
  </si>
  <si>
    <t>fu_blue_turkey</t>
  </si>
  <si>
    <t>misaki</t>
  </si>
  <si>
    <t>Shanshan_Zhang</t>
  </si>
  <si>
    <t>孙亮</t>
  </si>
  <si>
    <t>TianSkyer</t>
  </si>
  <si>
    <t>宇轩</t>
  </si>
  <si>
    <t>wobuxihuannile</t>
  </si>
  <si>
    <t>Cloris</t>
  </si>
  <si>
    <t>Clary</t>
  </si>
  <si>
    <t>阿甘</t>
  </si>
  <si>
    <t>ddxig</t>
  </si>
  <si>
    <t>PCF</t>
  </si>
  <si>
    <t>WongBaba</t>
  </si>
  <si>
    <t>雪人知道该怎么做</t>
  </si>
  <si>
    <t>Uneed</t>
  </si>
  <si>
    <t>Seed</t>
  </si>
  <si>
    <t>Amy</t>
  </si>
  <si>
    <t>got7amy</t>
  </si>
  <si>
    <t>got7amy@gmail.com</t>
  </si>
  <si>
    <t>Luye</t>
  </si>
  <si>
    <t>dickbomb</t>
  </si>
  <si>
    <t>WhateverYouSay</t>
  </si>
  <si>
    <t>Yelp</t>
  </si>
  <si>
    <t>aLIEz</t>
  </si>
  <si>
    <t>sijin</t>
  </si>
  <si>
    <t>Zhihu</t>
  </si>
  <si>
    <t>冯雪芹</t>
  </si>
  <si>
    <t>vonxq</t>
  </si>
  <si>
    <t>Katie</t>
  </si>
  <si>
    <t>KatieeeeWang</t>
  </si>
  <si>
    <t>白小一</t>
  </si>
  <si>
    <t>winniex0412</t>
  </si>
  <si>
    <t>JC</t>
  </si>
  <si>
    <t>ACfun</t>
  </si>
  <si>
    <t>kuangwenyi</t>
  </si>
  <si>
    <t>喵</t>
  </si>
  <si>
    <t>ellaliu</t>
  </si>
  <si>
    <t>Phoenix</t>
  </si>
  <si>
    <t>HimoYu</t>
  </si>
  <si>
    <t>qw123</t>
  </si>
  <si>
    <t>piggypal</t>
  </si>
  <si>
    <t>xinyue1597</t>
  </si>
  <si>
    <t>FrankZC</t>
  </si>
  <si>
    <t>唐豆豆</t>
  </si>
  <si>
    <t>qianchanger</t>
  </si>
  <si>
    <t>wanying zhang</t>
  </si>
  <si>
    <t>wyzhang421</t>
  </si>
  <si>
    <t>zhangwanying421@gmail.com</t>
  </si>
  <si>
    <t>唯唯狮令</t>
  </si>
  <si>
    <t>davidluoyes</t>
  </si>
  <si>
    <t>weidong6686</t>
  </si>
  <si>
    <t>白华君</t>
  </si>
  <si>
    <t>baihuajun</t>
  </si>
  <si>
    <t>傅政</t>
  </si>
  <si>
    <t>平地假摔冠军选手</t>
  </si>
  <si>
    <t>Hines</t>
  </si>
  <si>
    <t>Winfield</t>
  </si>
  <si>
    <t>thu_winfield</t>
  </si>
  <si>
    <t>Philip</t>
  </si>
  <si>
    <r>
      <rPr>
        <sz val="11"/>
        <color rgb="FFFF0000"/>
        <rFont val="PingFang SC"/>
        <family val="2"/>
        <charset val="1"/>
      </rPr>
      <t xml:space="preserve">于可 </t>
    </r>
    <r>
      <rPr>
        <sz val="11"/>
        <color rgb="FFFF0000"/>
        <rFont val="Calibri"/>
        <family val="2"/>
        <charset val="1"/>
      </rPr>
      <t>Peter</t>
    </r>
  </si>
  <si>
    <t>KeepTruckin</t>
  </si>
  <si>
    <t>饭</t>
  </si>
  <si>
    <t>zhifanhui</t>
  </si>
  <si>
    <t>Krissie</t>
  </si>
  <si>
    <t>lanxi619</t>
  </si>
  <si>
    <t>leon</t>
  </si>
  <si>
    <t>Leon</t>
  </si>
  <si>
    <t>zhounaiding</t>
  </si>
  <si>
    <t>Charles</t>
  </si>
  <si>
    <t>charleszhou327</t>
  </si>
  <si>
    <t>cc189</t>
  </si>
  <si>
    <t>Ebay</t>
  </si>
  <si>
    <t>Lawrence</t>
  </si>
  <si>
    <t>Lawrence_M</t>
  </si>
  <si>
    <t>Jiashen</t>
  </si>
  <si>
    <t>MIFI1415926</t>
  </si>
  <si>
    <t>cyn3966</t>
  </si>
  <si>
    <t>Vector S</t>
  </si>
  <si>
    <t>VectorX</t>
  </si>
  <si>
    <r>
      <rPr>
        <sz val="11"/>
        <color rgb="FFFF0000"/>
        <rFont val="PingFang SC"/>
        <family val="2"/>
        <charset val="1"/>
      </rPr>
      <t>苏苏苏</t>
    </r>
    <r>
      <rPr>
        <sz val="11"/>
        <color rgb="FFFF0000"/>
        <rFont val="Calibri"/>
        <family val="2"/>
        <charset val="1"/>
      </rPr>
      <t>key</t>
    </r>
  </si>
  <si>
    <t>Waterloo</t>
  </si>
  <si>
    <t>shaun</t>
  </si>
  <si>
    <t>user760</t>
  </si>
  <si>
    <t>Myc</t>
  </si>
  <si>
    <t>myc9799</t>
  </si>
  <si>
    <t>Yan</t>
  </si>
  <si>
    <t>庄坦程</t>
  </si>
  <si>
    <t>tankztc</t>
  </si>
  <si>
    <t>张伟阳</t>
  </si>
  <si>
    <t>weiyang95</t>
  </si>
  <si>
    <t>Japan</t>
  </si>
  <si>
    <r>
      <rPr>
        <sz val="11"/>
        <color rgb="FFFF0000"/>
        <rFont val="Calibri"/>
        <family val="2"/>
        <charset val="1"/>
      </rPr>
      <t>Aaron_</t>
    </r>
    <r>
      <rPr>
        <sz val="11"/>
        <color rgb="FFFF0000"/>
        <rFont val="PingFang SC"/>
        <family val="2"/>
        <charset val="1"/>
      </rPr>
      <t>施晓彤</t>
    </r>
  </si>
  <si>
    <t>Aaron_S</t>
  </si>
  <si>
    <t>Jersin</t>
  </si>
  <si>
    <t>zexingfa</t>
  </si>
  <si>
    <t>Amzaon</t>
  </si>
  <si>
    <t>kyle</t>
  </si>
  <si>
    <t>KyleAC</t>
  </si>
  <si>
    <t>Chong</t>
  </si>
  <si>
    <t>clue2gt</t>
  </si>
  <si>
    <t>陈梦溪</t>
  </si>
  <si>
    <t>zgcmx2011</t>
  </si>
  <si>
    <t>Petuum</t>
  </si>
  <si>
    <t>Leo</t>
  </si>
  <si>
    <t>liuleo</t>
  </si>
  <si>
    <t>傅俊凯</t>
  </si>
  <si>
    <t>KyleFu</t>
  </si>
  <si>
    <r>
      <rPr>
        <sz val="11"/>
        <color rgb="FFFF0000"/>
        <rFont val="PingFang SC"/>
        <family val="2"/>
        <charset val="1"/>
      </rPr>
      <t>布拉德</t>
    </r>
    <r>
      <rPr>
        <sz val="11"/>
        <color rgb="FFFF0000"/>
        <rFont val="Calibri"/>
        <family val="2"/>
        <charset val="1"/>
      </rPr>
      <t>hgq</t>
    </r>
  </si>
  <si>
    <t>bradhuang1999</t>
  </si>
  <si>
    <t>James</t>
  </si>
  <si>
    <t>KMAGYOYO</t>
  </si>
  <si>
    <t>Henry</t>
  </si>
  <si>
    <t>Henry_Jiang</t>
  </si>
  <si>
    <t>Austrialia</t>
  </si>
  <si>
    <t>Henry_cc</t>
  </si>
  <si>
    <t>Devin</t>
  </si>
  <si>
    <t>stayfoolish2</t>
  </si>
  <si>
    <t>刷题宝</t>
  </si>
  <si>
    <t>latioshuang</t>
  </si>
  <si>
    <t>刘畅</t>
  </si>
  <si>
    <t>liuchanglouisa</t>
  </si>
  <si>
    <t>吕寿亭</t>
  </si>
  <si>
    <t>nagato1208</t>
  </si>
  <si>
    <r>
      <rPr>
        <sz val="11"/>
        <color rgb="FFFF0000"/>
        <rFont val="Calibri"/>
        <family val="2"/>
        <charset val="1"/>
      </rPr>
      <t xml:space="preserve">dataminr </t>
    </r>
    <r>
      <rPr>
        <sz val="11"/>
        <color rgb="FFFF0000"/>
        <rFont val="PingFang SC"/>
        <family val="2"/>
        <charset val="1"/>
      </rPr>
      <t>实习</t>
    </r>
  </si>
  <si>
    <t>Song</t>
  </si>
  <si>
    <t>song30</t>
  </si>
  <si>
    <t>yqy</t>
  </si>
  <si>
    <t>crumbbb</t>
  </si>
  <si>
    <t>jliang</t>
  </si>
  <si>
    <t>LXQQQQQ</t>
  </si>
  <si>
    <t>ixinqi</t>
  </si>
  <si>
    <t>mussikun</t>
  </si>
  <si>
    <t>yedi</t>
  </si>
  <si>
    <t>le_quibbler</t>
  </si>
  <si>
    <t>ipsy</t>
  </si>
  <si>
    <t>艾琳娜超凶</t>
  </si>
  <si>
    <t>uwelena</t>
  </si>
  <si>
    <t>zane</t>
  </si>
  <si>
    <t>wangzi6147</t>
  </si>
  <si>
    <t>LJR</t>
  </si>
  <si>
    <t>Q.A.Sequenzin</t>
  </si>
  <si>
    <t>sequenzf</t>
  </si>
  <si>
    <t>siqiaochen</t>
  </si>
  <si>
    <t>ICANN</t>
  </si>
  <si>
    <t>siqiaochen@gmail.com</t>
  </si>
  <si>
    <t>双双</t>
  </si>
  <si>
    <t>lumic</t>
  </si>
  <si>
    <t>王儒</t>
  </si>
  <si>
    <t>wangru1994305</t>
  </si>
  <si>
    <t>hui1202</t>
  </si>
  <si>
    <t>孙衡</t>
  </si>
  <si>
    <t>tocque</t>
  </si>
  <si>
    <t>superflb</t>
  </si>
  <si>
    <t>Jc_Qu</t>
  </si>
  <si>
    <t>平婧</t>
  </si>
  <si>
    <t>venico19</t>
  </si>
  <si>
    <t>LinkedIn</t>
  </si>
  <si>
    <t>高兴就好</t>
  </si>
  <si>
    <t>ZhiWei_Shi</t>
  </si>
  <si>
    <t>StefanPochmann</t>
  </si>
  <si>
    <t>Marlon2102win</t>
  </si>
  <si>
    <t>Leo Knuth</t>
  </si>
  <si>
    <t>扬沙</t>
  </si>
  <si>
    <t>Wenhuaa</t>
  </si>
  <si>
    <t>Vertex Cover</t>
  </si>
  <si>
    <t>万子君</t>
  </si>
  <si>
    <t>hhjkkl</t>
  </si>
  <si>
    <t>卫东</t>
  </si>
  <si>
    <t>Intern</t>
  </si>
  <si>
    <t>郑颉</t>
  </si>
  <si>
    <t>JIEeee</t>
  </si>
  <si>
    <t>SSQ</t>
  </si>
  <si>
    <t>李小婉</t>
  </si>
  <si>
    <t>XiaoWanLINJU</t>
  </si>
  <si>
    <t>Zentch</t>
  </si>
  <si>
    <t>JansonLu</t>
  </si>
  <si>
    <t>wzk</t>
  </si>
  <si>
    <t>Cloudian</t>
  </si>
  <si>
    <t>沉思</t>
  </si>
  <si>
    <t>shshwdr</t>
  </si>
  <si>
    <t>PocketGems</t>
  </si>
  <si>
    <t>cs.vivian04@gmail.com</t>
  </si>
  <si>
    <r>
      <rPr>
        <sz val="11"/>
        <color rgb="FFFF0000"/>
        <rFont val="Noto sans cjk sc regular"/>
        <charset val="1"/>
      </rPr>
      <t>August</t>
    </r>
    <r>
      <rPr>
        <sz val="11"/>
        <color rgb="FFFF0000"/>
        <rFont val="PingFang SC"/>
        <family val="2"/>
        <charset val="1"/>
      </rPr>
      <t>八八八</t>
    </r>
  </si>
  <si>
    <t>Elsie_jiayou</t>
  </si>
  <si>
    <t>张毅文</t>
  </si>
  <si>
    <t>PeaceBeWithYou</t>
  </si>
  <si>
    <t>徐晨阳</t>
  </si>
  <si>
    <t>ywxkxcy</t>
  </si>
  <si>
    <t>XingxingHuang</t>
  </si>
  <si>
    <t>Cruise</t>
  </si>
  <si>
    <t>leoknuth</t>
  </si>
  <si>
    <t>Michelle</t>
  </si>
  <si>
    <t>Olala_michelle</t>
  </si>
  <si>
    <t>刘洁</t>
  </si>
  <si>
    <t>lucas0316</t>
  </si>
  <si>
    <t>Verizon</t>
  </si>
  <si>
    <t>平</t>
  </si>
  <si>
    <t>ping999</t>
  </si>
  <si>
    <t>陈知知</t>
  </si>
  <si>
    <t>zchen9523</t>
  </si>
  <si>
    <r>
      <rPr>
        <sz val="11"/>
        <color rgb="FFFF0000"/>
        <rFont val="Noto sans cjk sc regular"/>
        <charset val="1"/>
      </rPr>
      <t>Ag</t>
    </r>
    <r>
      <rPr>
        <sz val="11"/>
        <color rgb="FFFF0000"/>
        <rFont val="PingFang SC"/>
        <family val="2"/>
        <charset val="1"/>
      </rPr>
      <t>银</t>
    </r>
  </si>
  <si>
    <t>wAgChen</t>
  </si>
  <si>
    <t>yewhen</t>
  </si>
  <si>
    <t>ECE391</t>
  </si>
  <si>
    <t>Phc</t>
  </si>
  <si>
    <t>小红豆程序员</t>
  </si>
  <si>
    <t>redbeanlyx</t>
  </si>
  <si>
    <t>ljs</t>
  </si>
  <si>
    <t>liujiashun66</t>
  </si>
  <si>
    <t>BNYMellon</t>
  </si>
  <si>
    <t>Yiren</t>
  </si>
  <si>
    <t>waitnote</t>
  </si>
  <si>
    <t>神探璐圆圆</t>
  </si>
  <si>
    <t>leetcodeyu1990</t>
  </si>
  <si>
    <t>烫烫君</t>
  </si>
  <si>
    <t>Vendettathee</t>
  </si>
  <si>
    <t>很吵请安静</t>
  </si>
  <si>
    <t>dpwang</t>
  </si>
  <si>
    <t>zyf</t>
  </si>
  <si>
    <t>yunfanyi</t>
  </si>
  <si>
    <t>yuw119</t>
  </si>
  <si>
    <t>Albertooooo</t>
  </si>
  <si>
    <t>albertzhang86</t>
  </si>
  <si>
    <t>Pinterest</t>
  </si>
  <si>
    <t>蚊婷</t>
  </si>
  <si>
    <t>wenting95</t>
  </si>
  <si>
    <t>Sophia</t>
  </si>
  <si>
    <t>yaochou1995</t>
  </si>
  <si>
    <t>咦</t>
  </si>
  <si>
    <t>iwfahalfbloodunicorn</t>
  </si>
  <si>
    <t>云</t>
  </si>
  <si>
    <t>RedWolf</t>
  </si>
  <si>
    <t>Yuchen Liu</t>
  </si>
  <si>
    <t>T.I</t>
  </si>
  <si>
    <t>tichen47</t>
  </si>
  <si>
    <t>zerotrac2</t>
  </si>
  <si>
    <t>TP</t>
  </si>
  <si>
    <t>tesla_pp</t>
  </si>
  <si>
    <t>YOUNG</t>
  </si>
  <si>
    <t>朱紫嫣</t>
  </si>
  <si>
    <t>zzy1996</t>
  </si>
  <si>
    <t>MaggieZhao95</t>
  </si>
  <si>
    <t>Fzzf</t>
  </si>
  <si>
    <t>FlagIsMine</t>
  </si>
  <si>
    <t>艹壕</t>
  </si>
  <si>
    <t>Joshua</t>
  </si>
  <si>
    <t>qiuyu_93</t>
  </si>
  <si>
    <t>niconico</t>
  </si>
  <si>
    <t>nicole_Song</t>
  </si>
  <si>
    <t>Eric</t>
  </si>
  <si>
    <t>小玥玥</t>
  </si>
  <si>
    <t>xy1995cn</t>
  </si>
  <si>
    <t>郑凯宇</t>
  </si>
  <si>
    <t>吴楚</t>
  </si>
  <si>
    <t>chuw</t>
  </si>
  <si>
    <t>gingerale</t>
  </si>
  <si>
    <t>zhengfu23</t>
  </si>
  <si>
    <t>Hanye</t>
  </si>
  <si>
    <t>whyer</t>
  </si>
  <si>
    <t>ShoutingLyu</t>
  </si>
  <si>
    <t>ZMZ</t>
  </si>
  <si>
    <t>zmz666</t>
  </si>
  <si>
    <t>wzr</t>
  </si>
  <si>
    <t>nanjers</t>
  </si>
  <si>
    <t>phoenixpan</t>
  </si>
  <si>
    <t>jpju</t>
  </si>
  <si>
    <t>onionpork</t>
  </si>
  <si>
    <t>FLYINGLOVE</t>
  </si>
  <si>
    <t>richarddia</t>
  </si>
  <si>
    <t>码上来</t>
  </si>
  <si>
    <t>MathWorks</t>
  </si>
  <si>
    <t>TOYAMA_NAO</t>
  </si>
  <si>
    <t>安达</t>
  </si>
  <si>
    <t>luorinz</t>
  </si>
  <si>
    <t>Wayne</t>
  </si>
  <si>
    <t>fengw7</t>
  </si>
  <si>
    <t>Bloomberg</t>
  </si>
  <si>
    <t>鱼跃于渊</t>
  </si>
  <si>
    <t>sunxiaohua</t>
  </si>
  <si>
    <t>日增</t>
  </si>
  <si>
    <t>绝世好建</t>
  </si>
  <si>
    <t>LijianChen</t>
  </si>
  <si>
    <t>倪丁凡</t>
  </si>
  <si>
    <t>deepda2k</t>
  </si>
  <si>
    <t>ansonluo</t>
  </si>
  <si>
    <t>Kuaishou</t>
  </si>
  <si>
    <t>zc</t>
  </si>
  <si>
    <t>concussion</t>
  </si>
  <si>
    <t>Hyf</t>
  </si>
  <si>
    <t>QingqingXii0iii</t>
  </si>
  <si>
    <t>zhr</t>
  </si>
  <si>
    <t>Face++</t>
  </si>
  <si>
    <t>TinyExplorer</t>
  </si>
  <si>
    <t>Tencent</t>
  </si>
  <si>
    <t>任</t>
  </si>
  <si>
    <t>Dawnren123</t>
  </si>
  <si>
    <t xml:space="preserve">WYH </t>
  </si>
  <si>
    <t>praenubilus</t>
  </si>
  <si>
    <t>XJY</t>
  </si>
  <si>
    <t>YutingLiu</t>
  </si>
  <si>
    <t>陈丹妮</t>
  </si>
  <si>
    <t>ChenDanni</t>
  </si>
  <si>
    <t>ZhengkaiWei</t>
  </si>
  <si>
    <t>fan_zh</t>
  </si>
  <si>
    <t>miracleyanyu</t>
  </si>
  <si>
    <t>intern</t>
  </si>
  <si>
    <t>yuchenliulyc</t>
  </si>
  <si>
    <t>Wish</t>
  </si>
  <si>
    <t>糯米团子</t>
  </si>
  <si>
    <t>Shirley-lan</t>
  </si>
  <si>
    <t>月夜峰</t>
  </si>
  <si>
    <t>Xin Chen</t>
  </si>
  <si>
    <t>exquisitetaste</t>
  </si>
  <si>
    <t>JamesCool</t>
  </si>
  <si>
    <t>DJ</t>
  </si>
  <si>
    <t>coder001</t>
  </si>
  <si>
    <t>sandstorm</t>
  </si>
  <si>
    <t>sabakunoarashi</t>
  </si>
  <si>
    <t>yanyafeng</t>
  </si>
  <si>
    <t>Arookie</t>
  </si>
  <si>
    <t>Journey_Long</t>
  </si>
  <si>
    <t>yuxi</t>
  </si>
  <si>
    <t>wangyxwyx</t>
  </si>
  <si>
    <t>Twilio</t>
  </si>
  <si>
    <t>皮皮猪</t>
  </si>
  <si>
    <t>ZaozaoNan</t>
  </si>
  <si>
    <t>TotorO</t>
  </si>
  <si>
    <t>l90095z</t>
  </si>
  <si>
    <t>Coo</t>
  </si>
  <si>
    <t>user4286</t>
  </si>
  <si>
    <t>刘文刀</t>
  </si>
  <si>
    <t>WendiLiu</t>
  </si>
  <si>
    <t>hanli_</t>
  </si>
  <si>
    <t>timFan</t>
  </si>
  <si>
    <t>SY</t>
  </si>
  <si>
    <r>
      <rPr>
        <sz val="11"/>
        <color rgb="FFCE181E"/>
        <rFont val="Calibri"/>
        <family val="2"/>
        <charset val="1"/>
      </rPr>
      <t>leet</t>
    </r>
    <r>
      <rPr>
        <sz val="11"/>
        <color rgb="FFCE181E"/>
        <rFont val="PingFang SC"/>
        <family val="2"/>
        <charset val="1"/>
      </rPr>
      <t>扣绿钻</t>
    </r>
  </si>
  <si>
    <t>kaizer87</t>
  </si>
  <si>
    <t>M</t>
  </si>
  <si>
    <t>Achilles_M</t>
  </si>
  <si>
    <t>王东</t>
  </si>
  <si>
    <t>白云无尽时</t>
  </si>
  <si>
    <t>XiaojingHu</t>
  </si>
  <si>
    <t>ice bear</t>
  </si>
  <si>
    <t>橙</t>
  </si>
  <si>
    <t>christine_christine</t>
  </si>
  <si>
    <t>shangxy</t>
  </si>
  <si>
    <t>Oracle</t>
  </si>
  <si>
    <t>pikapika</t>
  </si>
  <si>
    <t>bugattiforsamsam</t>
  </si>
  <si>
    <t>Dong Li</t>
  </si>
  <si>
    <t>aruba1</t>
  </si>
  <si>
    <t>dongli.pek@gmail.com</t>
  </si>
  <si>
    <t>melody</t>
  </si>
  <si>
    <t>machaohcun</t>
  </si>
  <si>
    <t>machaochun1@gmail.com</t>
  </si>
  <si>
    <t>刘宇航</t>
  </si>
  <si>
    <t>PHISSTOOD</t>
  </si>
  <si>
    <t>Lambert</t>
  </si>
  <si>
    <t>星河滚烫</t>
  </si>
  <si>
    <t>obihai</t>
  </si>
  <si>
    <t>Sifang</t>
  </si>
  <si>
    <t>红尘</t>
  </si>
  <si>
    <t>hongchenjack</t>
  </si>
  <si>
    <t>greeneyes</t>
  </si>
  <si>
    <t>一月</t>
  </si>
  <si>
    <t>yiyue15</t>
  </si>
  <si>
    <t>Comedian</t>
  </si>
  <si>
    <t>ZihaoXue1995</t>
  </si>
  <si>
    <t>Tom Tan</t>
  </si>
  <si>
    <t>xhou0540</t>
  </si>
  <si>
    <t>淼儿</t>
  </si>
  <si>
    <t>cindywmiao</t>
  </si>
  <si>
    <t>Charles000</t>
  </si>
  <si>
    <t>haiqianz@usc.edu</t>
  </si>
  <si>
    <t>Zoe</t>
  </si>
  <si>
    <t>Zoe_Du</t>
  </si>
  <si>
    <t>人工智障</t>
  </si>
  <si>
    <t>allen980123</t>
  </si>
  <si>
    <t>黄文友</t>
  </si>
  <si>
    <t>毅仔</t>
  </si>
  <si>
    <t>biss</t>
  </si>
  <si>
    <t>PinDuoDuo</t>
  </si>
  <si>
    <t>b.ben.hjy@gmail.com</t>
  </si>
  <si>
    <t>Zhaoxin</t>
  </si>
  <si>
    <t>zzhong511</t>
  </si>
  <si>
    <t>码工小文</t>
  </si>
  <si>
    <t>wendy_sun</t>
  </si>
  <si>
    <t>sifangyou</t>
  </si>
  <si>
    <t>Tao</t>
  </si>
  <si>
    <t>吃饱了的阿阿</t>
  </si>
  <si>
    <t>aruhanliu2</t>
  </si>
  <si>
    <t>哦</t>
  </si>
  <si>
    <t>oOoO0oOoO0oOo</t>
  </si>
  <si>
    <t>Null</t>
  </si>
  <si>
    <t>Jony_Cho</t>
  </si>
  <si>
    <t>Ai</t>
  </si>
  <si>
    <t>KurosuHa</t>
  </si>
  <si>
    <t>aiz@uci.edu</t>
  </si>
  <si>
    <t>舒心</t>
  </si>
  <si>
    <t>overloading</t>
  </si>
  <si>
    <t>linshuhsin@gmail.com</t>
  </si>
  <si>
    <t xml:space="preserve">hanli_ </t>
  </si>
  <si>
    <t>user504</t>
  </si>
  <si>
    <t>Darren</t>
  </si>
  <si>
    <t>tt198866</t>
  </si>
  <si>
    <t>Xiangning</t>
  </si>
  <si>
    <t>BlinkBamboo</t>
  </si>
  <si>
    <t>许轩臻</t>
  </si>
  <si>
    <t>xxz-leetcode</t>
  </si>
  <si>
    <t>Paypal</t>
  </si>
  <si>
    <t>Ke</t>
  </si>
  <si>
    <t>Kerathy</t>
  </si>
  <si>
    <t xml:space="preserve">xxyxuxiaoyan6@gmail.com </t>
  </si>
  <si>
    <t>xhou</t>
  </si>
  <si>
    <t>李子琦</t>
  </si>
  <si>
    <t>user7687</t>
  </si>
  <si>
    <t>小鹿</t>
  </si>
  <si>
    <t>Blue_Epoch</t>
  </si>
  <si>
    <t>yijingannie@gmail.com</t>
  </si>
  <si>
    <t>LambertTao</t>
  </si>
  <si>
    <t>yaxauw@gmail.com</t>
  </si>
  <si>
    <t>李一鸣</t>
  </si>
  <si>
    <t>SeymourLee</t>
  </si>
  <si>
    <t>yli792@usc.edu</t>
  </si>
  <si>
    <t>Isomorphic</t>
  </si>
  <si>
    <t>lisongyi@pku.edu.cn</t>
  </si>
  <si>
    <t>杰聪</t>
  </si>
  <si>
    <t>jwang89225</t>
  </si>
  <si>
    <t>Tripadvisor</t>
  </si>
  <si>
    <t>jiecongwang@gmail.com</t>
  </si>
  <si>
    <t>i@gfw.fail</t>
  </si>
  <si>
    <t>hwf</t>
  </si>
  <si>
    <t>emmm_</t>
  </si>
  <si>
    <t>HoungLee</t>
  </si>
  <si>
    <t>LuckyHoungLeee</t>
  </si>
  <si>
    <t>Harry</t>
  </si>
  <si>
    <t>WKelvinson</t>
  </si>
  <si>
    <t>johnkelvinson@gmail.com</t>
  </si>
  <si>
    <t>H</t>
  </si>
  <si>
    <t>lihao199408</t>
  </si>
  <si>
    <t>Huawei</t>
  </si>
  <si>
    <t>lihao199408@gmail.com</t>
  </si>
  <si>
    <t>十题强喵</t>
  </si>
  <si>
    <t>jxu349</t>
  </si>
  <si>
    <t>徐政</t>
  </si>
  <si>
    <t>michelle2020up@gmail.com</t>
  </si>
  <si>
    <t>haitao7</t>
  </si>
  <si>
    <t>hcai.pku@gmail.com</t>
  </si>
  <si>
    <t>fish444556</t>
  </si>
  <si>
    <t>fish444555@gmail.com</t>
  </si>
  <si>
    <t>顾眷人</t>
  </si>
  <si>
    <t>michelle_sima</t>
  </si>
  <si>
    <t>鑫儿</t>
  </si>
  <si>
    <t>SUPERJOSY</t>
  </si>
  <si>
    <t>Harness</t>
  </si>
  <si>
    <t>edward250250@gmail.com</t>
  </si>
  <si>
    <t>风君</t>
  </si>
  <si>
    <t>Neo_Chen</t>
  </si>
  <si>
    <t>joychenrice@gmail.com</t>
  </si>
  <si>
    <t>Rick</t>
  </si>
  <si>
    <t>homily707</t>
  </si>
  <si>
    <t>Malik Jia</t>
  </si>
  <si>
    <t>Malik-Jia</t>
  </si>
  <si>
    <t>jialiangdong1125@gmail.com</t>
  </si>
  <si>
    <t>chongtan111200</t>
  </si>
  <si>
    <t>R Hong IPM3</t>
  </si>
  <si>
    <t>UltraShieldRog</t>
  </si>
  <si>
    <t>rogerhong1996@gmail.com</t>
  </si>
  <si>
    <t>seed</t>
  </si>
  <si>
    <t>please_AC</t>
  </si>
  <si>
    <t>Meituan</t>
  </si>
  <si>
    <t>805482395@qq.com</t>
  </si>
  <si>
    <t>yuliangjin</t>
  </si>
  <si>
    <t>小婷</t>
  </si>
  <si>
    <t>coding_meowmeow</t>
  </si>
  <si>
    <t>zeyu</t>
  </si>
  <si>
    <t>zyw_code</t>
  </si>
  <si>
    <t>zeyu.zoe.wang@gmail.com</t>
  </si>
  <si>
    <t>辑</t>
  </si>
  <si>
    <t>luozj14</t>
  </si>
  <si>
    <t>phc</t>
  </si>
  <si>
    <t>shelly_whx</t>
  </si>
  <si>
    <t>hw2020</t>
  </si>
  <si>
    <t>hannaw0124@gmail.com</t>
  </si>
  <si>
    <t>hanxiwu0124</t>
  </si>
  <si>
    <t>东流</t>
  </si>
  <si>
    <t>Vivian</t>
  </si>
  <si>
    <t>VivianVVang</t>
  </si>
  <si>
    <t>清都江水郎</t>
  </si>
  <si>
    <t>vivianvvang@gmail.com</t>
  </si>
  <si>
    <t>arron1990spring@gmail.com</t>
  </si>
  <si>
    <t>wangyxjason@gmail.com</t>
  </si>
  <si>
    <t>zero</t>
  </si>
  <si>
    <t>zerotrac2259@gmail.com</t>
  </si>
  <si>
    <t>淇雯</t>
  </si>
  <si>
    <t>YuchenYang1997</t>
  </si>
  <si>
    <t>coutPKprintf</t>
  </si>
  <si>
    <t>佐</t>
  </si>
  <si>
    <t>mangoman</t>
  </si>
  <si>
    <t>Atlassian</t>
  </si>
  <si>
    <t>amangoworks@gmail.com</t>
  </si>
  <si>
    <t>LINQ</t>
  </si>
  <si>
    <t>kealyn</t>
  </si>
  <si>
    <t>kealyn1002@gmail.com</t>
  </si>
  <si>
    <t>Frank</t>
  </si>
  <si>
    <t>FrankYao</t>
  </si>
  <si>
    <t xml:space="preserve">段秀洋 </t>
  </si>
  <si>
    <t>Xiuyang</t>
  </si>
  <si>
    <t>张凯一</t>
  </si>
  <si>
    <t>kylelovealgo</t>
  </si>
  <si>
    <t>Heath</t>
  </si>
  <si>
    <t>Ethan_M</t>
  </si>
  <si>
    <t>yuhangmiaobu@gmail.com</t>
  </si>
  <si>
    <t>Sue</t>
  </si>
  <si>
    <t>susususueeeeeee</t>
  </si>
  <si>
    <t>cherishsunyi@gmail.com</t>
  </si>
  <si>
    <t>flyoasis</t>
  </si>
  <si>
    <t>sxd32550</t>
  </si>
  <si>
    <t>王大大</t>
  </si>
  <si>
    <t>wangchuqiao93</t>
  </si>
  <si>
    <t>王红恩</t>
  </si>
  <si>
    <t>whe_bupt</t>
  </si>
  <si>
    <t>Clark</t>
  </si>
  <si>
    <t>halolong</t>
  </si>
  <si>
    <t>xingyu.long.97@gmail.com</t>
  </si>
  <si>
    <t>Yvonne</t>
  </si>
  <si>
    <t>Imma007</t>
  </si>
  <si>
    <t>yvonneyu0303@gmail.com</t>
  </si>
  <si>
    <t>renjie73@outlook.com</t>
  </si>
  <si>
    <t>LUKE</t>
  </si>
  <si>
    <t>xinchao0509</t>
  </si>
  <si>
    <t>litian220</t>
  </si>
  <si>
    <t>litian930220@gmail.com</t>
  </si>
  <si>
    <t>阿嗅</t>
  </si>
  <si>
    <t>axiu777</t>
  </si>
  <si>
    <t>滕菲</t>
  </si>
  <si>
    <t>thewisp</t>
  </si>
  <si>
    <t>Feiteng@gmail.com</t>
  </si>
  <si>
    <t>费晓天</t>
  </si>
  <si>
    <t>notfxt</t>
  </si>
  <si>
    <t>xiao</t>
  </si>
  <si>
    <t>zhu_irse</t>
  </si>
  <si>
    <t>zhuyuxiao.mail@gmail.com</t>
  </si>
  <si>
    <t>DJZ</t>
  </si>
  <si>
    <t>weidong6686@gmail.com</t>
  </si>
  <si>
    <t>大表哥</t>
  </si>
  <si>
    <t>dalaobi</t>
  </si>
  <si>
    <t>希宇</t>
  </si>
  <si>
    <t>Jessi_zxy</t>
  </si>
  <si>
    <t>superjessie92@gmail.com</t>
  </si>
  <si>
    <t>jtx_</t>
  </si>
  <si>
    <t>Jtx_</t>
  </si>
  <si>
    <t>小雪雪</t>
  </si>
  <si>
    <t>alycia</t>
  </si>
  <si>
    <t>Cicindela</t>
  </si>
  <si>
    <t>rizeng.zheng@gmail.com</t>
  </si>
  <si>
    <t>Caloplaca</t>
  </si>
  <si>
    <t>liulaoye135</t>
  </si>
  <si>
    <t>jiachengliu@tamu.edu</t>
  </si>
  <si>
    <t>derekW</t>
  </si>
  <si>
    <t>孙佳莉</t>
  </si>
  <si>
    <t>scarlett_jl</t>
  </si>
  <si>
    <t>陈吉鹏</t>
  </si>
  <si>
    <t>陈科陶</t>
  </si>
  <si>
    <t>Parousia</t>
  </si>
  <si>
    <t>hptcyhj</t>
  </si>
  <si>
    <t>hangjianyuan@gmail.com</t>
  </si>
  <si>
    <t>Al</t>
  </si>
  <si>
    <t>Allllll</t>
  </si>
  <si>
    <t>zhiyuanalwang@gmail.com</t>
  </si>
  <si>
    <t>SCH Jonathan</t>
  </si>
  <si>
    <t>yuhengc2</t>
  </si>
  <si>
    <t>jonathanyuheng@gmail.com</t>
  </si>
  <si>
    <t>换个名字</t>
  </si>
  <si>
    <t>wdyfy317138</t>
  </si>
  <si>
    <t>Adam</t>
  </si>
  <si>
    <t>wdy317138@gmail.com</t>
  </si>
  <si>
    <t>鱼也木</t>
  </si>
  <si>
    <t>xuyequan</t>
  </si>
  <si>
    <t>Zugzwang</t>
  </si>
  <si>
    <t>izhongyuting</t>
  </si>
  <si>
    <t>王强</t>
  </si>
  <si>
    <t>FYQiang</t>
  </si>
  <si>
    <t>Reflexis</t>
  </si>
  <si>
    <t>qiangw1218@gmail.com</t>
  </si>
  <si>
    <t>disinuo</t>
  </si>
  <si>
    <t>henansam.sh@gmail.com</t>
  </si>
  <si>
    <t>Swiffie</t>
  </si>
  <si>
    <t>swift9</t>
  </si>
  <si>
    <t>济闲</t>
  </si>
  <si>
    <t>cindy199707</t>
  </si>
  <si>
    <t>刘念</t>
  </si>
  <si>
    <t>nliu_l</t>
  </si>
  <si>
    <t>nianl_h@hotmail.com</t>
  </si>
  <si>
    <t>shuoyan</t>
  </si>
  <si>
    <t>F5Networks</t>
  </si>
  <si>
    <t>yinfirefire@gmail.com</t>
  </si>
  <si>
    <t>Tiffany</t>
  </si>
  <si>
    <t>tift</t>
  </si>
  <si>
    <t>tiffanytingliu@gmail.com</t>
  </si>
  <si>
    <t>G_lory</t>
  </si>
  <si>
    <t>苇</t>
  </si>
  <si>
    <t>Hangzhi</t>
  </si>
  <si>
    <t>cyf</t>
  </si>
  <si>
    <t>LyannaGoGoGo</t>
  </si>
  <si>
    <t>好雨知世杰</t>
  </si>
  <si>
    <t>freemanzhang</t>
  </si>
  <si>
    <t>sjzhang1901@gmail.com</t>
  </si>
  <si>
    <t>leo.6.wgao@gmail.com</t>
  </si>
  <si>
    <t>会喵的长颈鹿</t>
  </si>
  <si>
    <t>annaluciaa</t>
  </si>
  <si>
    <t>xinganlu1@gmail.com</t>
  </si>
  <si>
    <t>Lance_Cui</t>
  </si>
  <si>
    <t>lance_skier</t>
  </si>
  <si>
    <t>skierlin</t>
  </si>
  <si>
    <t>fanzhh</t>
  </si>
  <si>
    <t>497539558@qq.com</t>
  </si>
  <si>
    <t>王嘉伟</t>
  </si>
  <si>
    <t>JerryHaMa</t>
  </si>
  <si>
    <t>jiaweiwang930426@gmail.com</t>
  </si>
  <si>
    <t>chenhaomaiji</t>
  </si>
  <si>
    <t>zhengxu1994620@gmail.com</t>
  </si>
  <si>
    <t>xuzheng1994620</t>
  </si>
  <si>
    <t>我叫黄文友</t>
  </si>
  <si>
    <t>wenyou</t>
  </si>
  <si>
    <t>nealhuang0.0@gmail.com</t>
  </si>
  <si>
    <t>Andy</t>
  </si>
  <si>
    <t>wang2019</t>
  </si>
  <si>
    <t>fanhongjin19940206@gmail.com</t>
  </si>
  <si>
    <t>Steven</t>
  </si>
  <si>
    <t>haimingz112</t>
  </si>
  <si>
    <t>WarriorZ</t>
  </si>
  <si>
    <t>WarriorZWY</t>
  </si>
  <si>
    <t>CE Automata</t>
  </si>
  <si>
    <t>Yao_Yin</t>
  </si>
  <si>
    <t>雷师达</t>
  </si>
  <si>
    <t>inyuo1997@gmail.com</t>
  </si>
  <si>
    <t>张志强</t>
  </si>
  <si>
    <t>hialvin</t>
  </si>
  <si>
    <t>zqzhang2101@gmail.com</t>
  </si>
  <si>
    <t>Anderew</t>
  </si>
  <si>
    <t>hfuwu5</t>
  </si>
  <si>
    <t>hfuwu5@gmail.com</t>
  </si>
  <si>
    <t>砾石成岩</t>
  </si>
  <si>
    <t>lishichengyan</t>
  </si>
  <si>
    <t>陈建旭</t>
  </si>
  <si>
    <t>自闭学习中</t>
  </si>
  <si>
    <t>zebox</t>
  </si>
  <si>
    <t>Charles Schwab</t>
  </si>
  <si>
    <t>JR</t>
  </si>
  <si>
    <t>renjunyao</t>
  </si>
  <si>
    <t>renjunyao@gmail.com</t>
  </si>
  <si>
    <t>扒拉豪</t>
  </si>
  <si>
    <t>zzh372024750</t>
  </si>
  <si>
    <t>redickhao@gmail.com</t>
  </si>
  <si>
    <t>Gael</t>
  </si>
  <si>
    <t>wenjun_gael</t>
  </si>
  <si>
    <t>liuwj23@gmail.com</t>
  </si>
  <si>
    <t>Huajun WU</t>
  </si>
  <si>
    <t>codingmushroom</t>
  </si>
  <si>
    <t>terry331221@gmail.com</t>
  </si>
  <si>
    <t>Captain_Mushroom</t>
  </si>
  <si>
    <t>wuhuajun132@gmail.com</t>
  </si>
  <si>
    <t>钟祺</t>
  </si>
  <si>
    <t>zhongqusc</t>
  </si>
  <si>
    <t>Instacart</t>
  </si>
  <si>
    <t>qizhong19920114@gmail.com</t>
  </si>
  <si>
    <t>lilyliao</t>
  </si>
  <si>
    <t>lilllllllll</t>
  </si>
  <si>
    <t>lilyliao48@gmail.com</t>
  </si>
  <si>
    <t>黑化肥</t>
  </si>
  <si>
    <t>VanCN</t>
  </si>
  <si>
    <t>jwzhang86@gmail.com</t>
  </si>
  <si>
    <t>鸿儒</t>
  </si>
  <si>
    <t>hongrubb</t>
  </si>
  <si>
    <t>hongru52@gmail.com</t>
  </si>
  <si>
    <t>李博文</t>
  </si>
  <si>
    <t>zyzz1234</t>
  </si>
  <si>
    <t>zhengkai</t>
  </si>
  <si>
    <t>小赖</t>
  </si>
  <si>
    <t>laikwunsing</t>
  </si>
  <si>
    <t>lgc20407@gmail.com</t>
  </si>
  <si>
    <t>zhengkai2001</t>
  </si>
  <si>
    <t>zkawaken@gmail.com</t>
  </si>
  <si>
    <t>bbbblues</t>
  </si>
  <si>
    <t xml:space="preserve">LC </t>
  </si>
  <si>
    <t>clu9</t>
  </si>
  <si>
    <t>changlu591@gmail.com</t>
  </si>
  <si>
    <t>sukeyzhou</t>
  </si>
  <si>
    <t>fengzhixiao</t>
  </si>
  <si>
    <t>bh1517zhr@gmail.com</t>
  </si>
  <si>
    <t>jasonzzzz</t>
  </si>
  <si>
    <t>jiashenzzzzz@gmail.com</t>
  </si>
  <si>
    <t>jasonzzzzz</t>
  </si>
  <si>
    <t>+</t>
  </si>
  <si>
    <t>nanotrt2333</t>
  </si>
  <si>
    <t>Marc</t>
  </si>
  <si>
    <t>ChairmanMao</t>
  </si>
  <si>
    <t>arthurma124@gmail.com</t>
  </si>
  <si>
    <t>hssrut</t>
  </si>
  <si>
    <t>jerrydream123@gmail.com</t>
  </si>
  <si>
    <t>untouchable</t>
  </si>
  <si>
    <t>blackp1nk</t>
  </si>
  <si>
    <t>AestheticXJTU</t>
  </si>
  <si>
    <t>梁天楚</t>
  </si>
  <si>
    <t>0000alex1111</t>
  </si>
  <si>
    <t>Shenshun Yao</t>
  </si>
  <si>
    <t>shenshun</t>
  </si>
  <si>
    <t>Tiktok</t>
  </si>
  <si>
    <t>Summer</t>
  </si>
  <si>
    <t>SummerYang19</t>
  </si>
  <si>
    <t>小能人</t>
  </si>
  <si>
    <t>mayintong</t>
  </si>
  <si>
    <t>范毅润</t>
  </si>
  <si>
    <t>jamesfan1101</t>
  </si>
  <si>
    <t>尼古拉</t>
  </si>
  <si>
    <t>kid1412z</t>
  </si>
  <si>
    <t>zuoqy.gk@gmail.com</t>
  </si>
  <si>
    <t>Gaby</t>
  </si>
  <si>
    <t>gabyXuan</t>
  </si>
  <si>
    <t>Compass</t>
  </si>
  <si>
    <t>wangkaiyu16bupt@gmail.com</t>
  </si>
  <si>
    <t>JasmineApple</t>
  </si>
  <si>
    <t>zlpmichelle</t>
  </si>
  <si>
    <t>hellowordsunny@gmail.com</t>
  </si>
  <si>
    <t>轩</t>
  </si>
  <si>
    <t>LeetCoding_Master</t>
  </si>
  <si>
    <t>Jason_Wong</t>
  </si>
  <si>
    <t>chenjianxu97</t>
  </si>
  <si>
    <t>chenjianxu97@gmail.com</t>
  </si>
  <si>
    <t>成彦儒</t>
  </si>
  <si>
    <t>yanrucheng</t>
  </si>
  <si>
    <t>yanrcheng2@gmail.com</t>
  </si>
  <si>
    <t>yanrcheng2</t>
  </si>
  <si>
    <t>黄歪歪</t>
  </si>
  <si>
    <t>huangyuyang</t>
  </si>
  <si>
    <t>Y</t>
  </si>
  <si>
    <t>am0320</t>
  </si>
  <si>
    <t>胡安</t>
  </si>
  <si>
    <t>EveJAVA</t>
  </si>
  <si>
    <t>yinjun</t>
  </si>
  <si>
    <t>雷清淇</t>
  </si>
  <si>
    <t>qingqi_lei</t>
  </si>
  <si>
    <r>
      <rPr>
        <sz val="11"/>
        <color rgb="FFFF0000"/>
        <rFont val="Calibri"/>
        <family val="2"/>
        <charset val="1"/>
      </rPr>
      <t>jianyi</t>
    </r>
    <r>
      <rPr>
        <sz val="11"/>
        <color rgb="FFFF0000"/>
        <rFont val="PingFang SC"/>
        <family val="2"/>
        <charset val="1"/>
      </rPr>
      <t>可乐</t>
    </r>
  </si>
  <si>
    <t>wanyoyo</t>
  </si>
  <si>
    <t>lichunzhu</t>
  </si>
  <si>
    <t>ljr1226</t>
  </si>
  <si>
    <t>ljr941226@gmail.com</t>
  </si>
  <si>
    <t>Achilles</t>
  </si>
  <si>
    <t>monaziyi</t>
  </si>
  <si>
    <t>small shark</t>
  </si>
  <si>
    <t>tigermlt</t>
  </si>
  <si>
    <t>lantao mei</t>
  </si>
  <si>
    <t>丁嘻嘻</t>
  </si>
  <si>
    <t>keepswimming</t>
  </si>
  <si>
    <t>Lyrics_W</t>
  </si>
  <si>
    <t>Oliver2020</t>
  </si>
  <si>
    <t>OliverGates</t>
  </si>
  <si>
    <t>王鹏</t>
  </si>
  <si>
    <t>MIFY1415926</t>
  </si>
  <si>
    <r>
      <rPr>
        <sz val="11"/>
        <color rgb="FFFF0000"/>
        <rFont val="Calibri"/>
        <family val="2"/>
        <charset val="1"/>
      </rPr>
      <t xml:space="preserve">Castling </t>
    </r>
    <r>
      <rPr>
        <sz val="11"/>
        <color rgb="FFFF0000"/>
        <rFont val="PingFang SC"/>
        <family val="2"/>
        <charset val="1"/>
      </rPr>
      <t>劳</t>
    </r>
  </si>
  <si>
    <t>Castling</t>
  </si>
  <si>
    <t>Jianing Tang</t>
  </si>
  <si>
    <t>ShizukaYee</t>
  </si>
  <si>
    <t>dingy</t>
  </si>
  <si>
    <t>寒冬雪照</t>
  </si>
  <si>
    <t>suzyzhang</t>
  </si>
  <si>
    <t>suzyzhang0@gmail.com</t>
  </si>
  <si>
    <t>知是故人来</t>
  </si>
  <si>
    <t>leileimiao</t>
  </si>
  <si>
    <t>张洪磊</t>
  </si>
  <si>
    <t>木头人</t>
  </si>
  <si>
    <t>klutzCoder</t>
  </si>
  <si>
    <t>klutzoder@gmail.com</t>
  </si>
  <si>
    <t xml:space="preserve">shuijian7 </t>
  </si>
  <si>
    <t>shuijian7</t>
  </si>
  <si>
    <t>Michael Zhang</t>
  </si>
  <si>
    <t>_Ariadne</t>
  </si>
  <si>
    <t>Silver_Blade</t>
  </si>
  <si>
    <t>Richtofen</t>
  </si>
  <si>
    <t>alsvia</t>
  </si>
  <si>
    <t>jerryxyj</t>
  </si>
  <si>
    <t>jerryxyj289</t>
  </si>
  <si>
    <t>jerryxyj289@gmail.com</t>
  </si>
  <si>
    <t>Yunjie Xu</t>
  </si>
  <si>
    <t>张阿张阿月</t>
  </si>
  <si>
    <t>Luna_Zhang26</t>
  </si>
  <si>
    <t>小何</t>
  </si>
  <si>
    <r>
      <rPr>
        <sz val="11"/>
        <color rgb="FFFF0000"/>
        <rFont val="Calibri"/>
        <family val="2"/>
        <charset val="1"/>
      </rPr>
      <t>A</t>
    </r>
    <r>
      <rPr>
        <sz val="11"/>
        <color rgb="FFFF0000"/>
        <rFont val="PingFang SC"/>
        <family val="2"/>
        <charset val="1"/>
      </rPr>
      <t>杨习艺</t>
    </r>
  </si>
  <si>
    <t>YangXiYi</t>
  </si>
  <si>
    <t>灵魂机器</t>
  </si>
  <si>
    <t>vRussell</t>
  </si>
  <si>
    <t>Chiyu</t>
  </si>
  <si>
    <t>wcy24</t>
  </si>
  <si>
    <t>wcy23</t>
  </si>
  <si>
    <t>zzaym</t>
  </si>
  <si>
    <t>Ruofei</t>
  </si>
  <si>
    <t>ruofeisan</t>
  </si>
  <si>
    <t>郁东风</t>
  </si>
  <si>
    <t>besieger</t>
  </si>
  <si>
    <r>
      <rPr>
        <sz val="11"/>
        <color rgb="FFFF0000"/>
        <rFont val="PingFang SC"/>
        <family val="2"/>
        <charset val="1"/>
      </rPr>
      <t>秦</t>
    </r>
    <r>
      <rPr>
        <sz val="11"/>
        <color rgb="FFFF0000"/>
        <rFont val="Calibri"/>
        <family val="2"/>
        <charset val="1"/>
      </rPr>
      <t>baibai</t>
    </r>
  </si>
  <si>
    <t>SJTU</t>
  </si>
  <si>
    <t>yu.dongfeng@outlook.com</t>
  </si>
  <si>
    <t>野生皮卡丘</t>
  </si>
  <si>
    <t>yangshaoqian111</t>
  </si>
  <si>
    <t>David.G</t>
  </si>
  <si>
    <t>davidguuuo</t>
  </si>
  <si>
    <t>Zhenbang Guo</t>
  </si>
  <si>
    <t>陈星羽</t>
  </si>
  <si>
    <t>X_Chen6</t>
  </si>
  <si>
    <t>Xingyu Chen</t>
  </si>
  <si>
    <t>好困</t>
  </si>
  <si>
    <t>ChenQuanWei7</t>
  </si>
  <si>
    <t>糯粥</t>
  </si>
  <si>
    <t>NuozhouXu</t>
  </si>
  <si>
    <t>Nuozhou Xu</t>
  </si>
  <si>
    <t>穆天子小明</t>
  </si>
  <si>
    <t>chaoqin-li</t>
  </si>
  <si>
    <t>Chaoqin Li</t>
  </si>
  <si>
    <t>Guodong</t>
  </si>
  <si>
    <t>Coup_De_Grace</t>
  </si>
  <si>
    <t>Yahoo</t>
  </si>
  <si>
    <t>littletiger1926@gmail.com</t>
  </si>
  <si>
    <t>YI-DING</t>
  </si>
  <si>
    <t>yiding.ely@gmail.com</t>
  </si>
  <si>
    <t>萝卜萝卜</t>
  </si>
  <si>
    <t>pku-zbt</t>
  </si>
  <si>
    <t>Charlesna</t>
  </si>
  <si>
    <t>chenketao007@gmail.com</t>
  </si>
  <si>
    <t>Sakamono</t>
  </si>
  <si>
    <t>xiaoyuzhang0217@gmail.com</t>
  </si>
  <si>
    <t>lhz</t>
  </si>
  <si>
    <t>lichenz</t>
  </si>
  <si>
    <t>刘浩壮</t>
  </si>
  <si>
    <t>真一题选手</t>
  </si>
  <si>
    <t>mengmoya</t>
  </si>
  <si>
    <t>qingdu_river</t>
  </si>
  <si>
    <t>xuzhaoqingbuaa@gmail.com</t>
  </si>
  <si>
    <t>Zhaoqing Xu</t>
  </si>
  <si>
    <t>回到从前</t>
  </si>
  <si>
    <t>li-jinze</t>
  </si>
  <si>
    <t>lostleaf</t>
  </si>
  <si>
    <t>Others</t>
  </si>
  <si>
    <t>XC</t>
  </si>
  <si>
    <t>tsunamixiao</t>
  </si>
  <si>
    <r>
      <rPr>
        <sz val="11"/>
        <color rgb="FFFF0000"/>
        <rFont val="PingFang SC"/>
        <family val="2"/>
        <charset val="1"/>
      </rPr>
      <t>剌瑞</t>
    </r>
    <r>
      <rPr>
        <sz val="11"/>
        <color rgb="FFFF0000"/>
        <rFont val="Noto sans cjk sc"/>
        <charset val="1"/>
      </rPr>
      <t>larry</t>
    </r>
  </si>
  <si>
    <t>yuhwu</t>
  </si>
  <si>
    <t>yuhanwu2018@gmail.com</t>
  </si>
  <si>
    <t>Yuhan Wu</t>
  </si>
  <si>
    <t>woshilxd912</t>
  </si>
  <si>
    <t>htkz</t>
  </si>
  <si>
    <t>htkzmo</t>
  </si>
  <si>
    <t>黄欣</t>
  </si>
  <si>
    <t>hxin</t>
  </si>
  <si>
    <t>Yiyue Wang</t>
  </si>
  <si>
    <t>陶崇亮</t>
  </si>
  <si>
    <t>keepPace</t>
  </si>
  <si>
    <t>即将拥有六块腹肌</t>
  </si>
  <si>
    <t>CrhnbP</t>
  </si>
  <si>
    <t>shuadan4025@gmail.com</t>
  </si>
  <si>
    <t>项苏楠</t>
  </si>
  <si>
    <t>crystalmiumiu</t>
  </si>
  <si>
    <t>叶峰</t>
  </si>
  <si>
    <t>forresty</t>
  </si>
  <si>
    <t>afu@forresty.com</t>
  </si>
  <si>
    <t>Airong</t>
  </si>
  <si>
    <t>darkaimagic</t>
  </si>
  <si>
    <t>homily707@outlook.com</t>
  </si>
  <si>
    <t>Minghao Li</t>
  </si>
  <si>
    <t>wqql</t>
  </si>
  <si>
    <t>jj</t>
  </si>
  <si>
    <t>jja725</t>
  </si>
  <si>
    <t>Xianzhan Lin</t>
  </si>
  <si>
    <t>almadenscholar</t>
  </si>
  <si>
    <t>刘天达</t>
  </si>
  <si>
    <t>tiandaliu</t>
  </si>
  <si>
    <r>
      <rPr>
        <sz val="11"/>
        <color rgb="FFFF0000"/>
        <rFont val="PingFang SC"/>
        <family val="2"/>
        <charset val="1"/>
      </rPr>
      <t>津铭</t>
    </r>
    <r>
      <rPr>
        <sz val="11"/>
        <color rgb="FFFF0000"/>
        <rFont val="Calibri"/>
        <family val="2"/>
        <charset val="1"/>
      </rPr>
      <t>Conan</t>
    </r>
  </si>
  <si>
    <t>conanjinming</t>
  </si>
  <si>
    <t>JT</t>
  </si>
  <si>
    <t>dolphindb</t>
  </si>
  <si>
    <t>april.s.qi@gmail.com</t>
  </si>
  <si>
    <t>beta</t>
  </si>
  <si>
    <t>sunhui</t>
  </si>
  <si>
    <t>huisun012@gmail.com</t>
  </si>
  <si>
    <t>陈栎伊</t>
  </si>
  <si>
    <t>Byleth</t>
  </si>
  <si>
    <t>danielle.yueyi.chen@gmail.com</t>
  </si>
  <si>
    <t>婉格格</t>
  </si>
  <si>
    <t>wan-catherine</t>
  </si>
  <si>
    <t>rarry2012@gmail.com</t>
  </si>
  <si>
    <t>耀耀</t>
  </si>
  <si>
    <t>YaoyaoChang</t>
  </si>
  <si>
    <t>Zhang957</t>
  </si>
  <si>
    <t xml:space="preserve">JDEPTCT </t>
  </si>
  <si>
    <t>思宇要天天早睡早起</t>
  </si>
  <si>
    <t>lisy14</t>
  </si>
  <si>
    <t>李思宇</t>
  </si>
  <si>
    <t>aChris</t>
  </si>
  <si>
    <t>chenjipengpeng@gmail.com</t>
  </si>
  <si>
    <t>Chrisify</t>
  </si>
  <si>
    <t>夏鹏程</t>
  </si>
  <si>
    <t>xiapengchng</t>
  </si>
  <si>
    <t>Yumiko</t>
  </si>
  <si>
    <t>inucla</t>
  </si>
  <si>
    <t>青橙</t>
  </si>
  <si>
    <t>Lunaaaa</t>
  </si>
  <si>
    <t>GL</t>
  </si>
  <si>
    <t>maoyp</t>
  </si>
  <si>
    <t>gangliang0320@yahoo.ca</t>
  </si>
  <si>
    <t>柯瀚</t>
  </si>
  <si>
    <t>gn1m_dbt</t>
  </si>
  <si>
    <t>Khan_2020</t>
  </si>
  <si>
    <t>Dejun</t>
  </si>
  <si>
    <t>puuuuuuuuuuuuu</t>
  </si>
  <si>
    <t>rqren2018</t>
  </si>
  <si>
    <t>Alan L</t>
  </si>
  <si>
    <t>louzhenglun@gmail.com</t>
  </si>
  <si>
    <t>OO</t>
  </si>
  <si>
    <t>Zoey-ZOU</t>
  </si>
  <si>
    <r>
      <rPr>
        <sz val="11"/>
        <color rgb="FFFF0000"/>
        <rFont val="Calibri"/>
        <family val="2"/>
        <charset val="1"/>
      </rPr>
      <t>y</t>
    </r>
    <r>
      <rPr>
        <sz val="11"/>
        <color rgb="FFFF0000"/>
        <rFont val="PingFang SC"/>
        <family val="2"/>
        <charset val="1"/>
      </rPr>
      <t>方等于</t>
    </r>
    <r>
      <rPr>
        <sz val="11"/>
        <color rgb="FFFF0000"/>
        <rFont val="Calibri"/>
        <family val="2"/>
        <charset val="1"/>
      </rPr>
      <t>4x</t>
    </r>
  </si>
  <si>
    <t>y-square</t>
  </si>
  <si>
    <t>曹幸东</t>
  </si>
  <si>
    <t>Yuki</t>
  </si>
  <si>
    <t>YukiWang</t>
  </si>
  <si>
    <t>汪昕</t>
  </si>
  <si>
    <t>wxhelloworld</t>
  </si>
  <si>
    <t>wxhelloworld@gmail.com</t>
  </si>
  <si>
    <t>Tong</t>
  </si>
  <si>
    <t>songx544</t>
  </si>
  <si>
    <r>
      <rPr>
        <sz val="11"/>
        <color rgb="FFFF0000"/>
        <rFont val="PingFang SC"/>
        <family val="2"/>
        <charset val="1"/>
      </rPr>
      <t>万园</t>
    </r>
    <r>
      <rPr>
        <sz val="11"/>
        <color rgb="FFFF0000"/>
        <rFont val="Calibri"/>
        <family val="2"/>
        <charset val="1"/>
      </rPr>
      <t>Tom</t>
    </r>
  </si>
  <si>
    <t>ilovejunghyun</t>
  </si>
  <si>
    <t>Yuan Wan</t>
  </si>
  <si>
    <t>SocialShake</t>
  </si>
  <si>
    <t>sam_lee_</t>
  </si>
  <si>
    <t>张锦程</t>
  </si>
  <si>
    <t>lighteningzhang</t>
  </si>
  <si>
    <t>lighteningzhang@163.com</t>
  </si>
  <si>
    <t>徐哲铭</t>
  </si>
  <si>
    <t>ZhemingX</t>
  </si>
  <si>
    <t>matthewzhu2232@gmail.com</t>
  </si>
  <si>
    <t>Hua Chen</t>
  </si>
  <si>
    <t>jja725@gmail.com</t>
  </si>
  <si>
    <t>李丼</t>
  </si>
  <si>
    <t>tangere</t>
  </si>
  <si>
    <t>X&amp;Y</t>
  </si>
  <si>
    <t>apoi2333</t>
  </si>
  <si>
    <t>FDU</t>
  </si>
  <si>
    <t>小枫枫</t>
  </si>
  <si>
    <t>yufeng0827</t>
  </si>
  <si>
    <t>莫名其妙杰杰杰</t>
  </si>
  <si>
    <t>孟子鸣</t>
  </si>
  <si>
    <t>z1m</t>
  </si>
  <si>
    <r>
      <rPr>
        <sz val="11"/>
        <color rgb="FFFF0000"/>
        <rFont val="PingFang SC"/>
        <family val="2"/>
        <charset val="1"/>
      </rPr>
      <t>耀民</t>
    </r>
    <r>
      <rPr>
        <sz val="11"/>
        <color rgb="FFFF0000"/>
        <rFont val="Calibri"/>
        <family val="2"/>
        <charset val="1"/>
      </rPr>
      <t>Allen</t>
    </r>
  </si>
  <si>
    <t>Rambo</t>
  </si>
  <si>
    <t>fuchengshun</t>
  </si>
  <si>
    <t>fuchengshun@gmail.com</t>
  </si>
  <si>
    <t>blackspinner</t>
  </si>
  <si>
    <t>gr33nmnk3y@gmail.com</t>
  </si>
  <si>
    <t>罚烂课</t>
  </si>
  <si>
    <t>qwerjkl112</t>
  </si>
  <si>
    <t>Chao (Frank) Guo</t>
  </si>
  <si>
    <t>Haruko_Z</t>
  </si>
  <si>
    <t>ChelsieZ</t>
  </si>
  <si>
    <t>DataBricks</t>
  </si>
  <si>
    <t>chunzizheng@gmail.com</t>
  </si>
  <si>
    <t>Chunzi Zheng</t>
  </si>
  <si>
    <t>tigermlt1@gmail.com</t>
  </si>
  <si>
    <t>王锦隆</t>
  </si>
  <si>
    <t>Arsenal-591</t>
  </si>
  <si>
    <t>Lomata</t>
  </si>
  <si>
    <t>efgonzalez</t>
  </si>
  <si>
    <r>
      <rPr>
        <sz val="11"/>
        <color rgb="FFFF0000"/>
        <rFont val="Calibri"/>
        <family val="2"/>
        <charset val="1"/>
      </rPr>
      <t xml:space="preserve">Ryan </t>
    </r>
    <r>
      <rPr>
        <sz val="11"/>
        <color rgb="FFFF0000"/>
        <rFont val="PingFang SC"/>
        <family val="2"/>
        <charset val="1"/>
      </rPr>
      <t>李</t>
    </r>
  </si>
  <si>
    <t>ruifeng</t>
  </si>
  <si>
    <t>ruanys</t>
  </si>
  <si>
    <t>tammyruan@gmail.com</t>
  </si>
  <si>
    <t>CC</t>
  </si>
  <si>
    <t>bbalpaca</t>
  </si>
  <si>
    <t>罗</t>
  </si>
  <si>
    <t>Lawliet890</t>
  </si>
  <si>
    <t>李川</t>
  </si>
  <si>
    <t>luojingyaoex@gmail.com</t>
  </si>
  <si>
    <t>Jingyao Luo</t>
  </si>
  <si>
    <t>Maggie Yang</t>
  </si>
  <si>
    <t>meiyiyan</t>
  </si>
  <si>
    <t>meiyiyang1201@gmail.com</t>
  </si>
  <si>
    <t>Meiyi Yang</t>
  </si>
  <si>
    <t>Luke</t>
  </si>
  <si>
    <t>SaveThePlanet</t>
  </si>
  <si>
    <t>Kanko</t>
  </si>
  <si>
    <t>guanhao2</t>
  </si>
  <si>
    <t>熊天宇</t>
  </si>
  <si>
    <t>TimSYQQX</t>
  </si>
  <si>
    <t>Zoom</t>
  </si>
  <si>
    <t>廉鑫</t>
  </si>
  <si>
    <t>lianxin_cn</t>
  </si>
  <si>
    <t>Guangcheng Lai</t>
  </si>
  <si>
    <t>夜游个锤子</t>
  </si>
  <si>
    <t>alex_woods</t>
  </si>
  <si>
    <t>Tengpeng Li</t>
  </si>
  <si>
    <t>Juny1He</t>
  </si>
  <si>
    <t>he.junyi96@gmail.com</t>
  </si>
  <si>
    <t>球妹的迷弟</t>
  </si>
  <si>
    <t>corn2597</t>
  </si>
  <si>
    <t>Romain</t>
  </si>
  <si>
    <t>RomainTian</t>
  </si>
  <si>
    <t>Amelia</t>
  </si>
  <si>
    <t>AmeliaHe98</t>
  </si>
  <si>
    <t>Xinlin He</t>
  </si>
  <si>
    <t>小朱</t>
  </si>
  <si>
    <t>ruizhang199509</t>
  </si>
  <si>
    <t>任得欣</t>
  </si>
  <si>
    <t>2valor</t>
  </si>
  <si>
    <t>dexin.ren00@gmail.com</t>
  </si>
  <si>
    <t>头顶金光的邪恶之星</t>
  </si>
  <si>
    <t>sugaruncle1996</t>
  </si>
  <si>
    <t>sugaruncle1996@gmail.com</t>
  </si>
  <si>
    <t>桐原</t>
  </si>
  <si>
    <t>ryoyukiyangy</t>
  </si>
  <si>
    <t>ryoyukiyangy@gmail.com</t>
  </si>
  <si>
    <t>Ning</t>
  </si>
  <si>
    <t>zzzxxAkir</t>
  </si>
  <si>
    <t>Donghui Zhang</t>
  </si>
  <si>
    <t>大黑牛剑来</t>
  </si>
  <si>
    <t>Saiyan_fdy</t>
  </si>
  <si>
    <t>管小胖</t>
  </si>
  <si>
    <t>9caiji</t>
  </si>
  <si>
    <t>yi-zhi-xiao-ruo-ji</t>
  </si>
  <si>
    <t>Futurist</t>
  </si>
  <si>
    <t>kstxdy</t>
  </si>
  <si>
    <t>张德兵</t>
  </si>
  <si>
    <t>晓</t>
  </si>
  <si>
    <t>zmxsdu</t>
  </si>
  <si>
    <t>zxq</t>
  </si>
  <si>
    <t>zxiaoqi1</t>
  </si>
  <si>
    <t>L</t>
  </si>
  <si>
    <t>MSY16</t>
  </si>
  <si>
    <t>cbx</t>
  </si>
  <si>
    <t>caoboxiao</t>
  </si>
  <si>
    <t>boxiao cao</t>
  </si>
  <si>
    <t>daybreaker678</t>
  </si>
  <si>
    <t>LeetCodeSuperman</t>
  </si>
  <si>
    <t>Zexuan Wang</t>
  </si>
  <si>
    <t>巢书诚</t>
  </si>
  <si>
    <t>shuchenc</t>
  </si>
  <si>
    <t>clementchaoshucheng@gmail.com</t>
  </si>
  <si>
    <t>Mao</t>
  </si>
  <si>
    <t>maobing</t>
  </si>
  <si>
    <t>Zixun Ai</t>
  </si>
  <si>
    <t>小蝈</t>
  </si>
  <si>
    <t>cguo</t>
  </si>
  <si>
    <t>Allen</t>
  </si>
  <si>
    <t>erds44</t>
  </si>
  <si>
    <t>XTh3G4p</t>
  </si>
  <si>
    <t>HarrisonShen</t>
  </si>
  <si>
    <t>Ghostk</t>
  </si>
  <si>
    <t>Ghostk1590</t>
  </si>
  <si>
    <t>勤勉的打工人小夷</t>
  </si>
  <si>
    <t>universer2009</t>
  </si>
  <si>
    <t>Skqliao</t>
  </si>
  <si>
    <t>skqliao</t>
  </si>
  <si>
    <t>之乎者也</t>
  </si>
  <si>
    <t>zwang96</t>
  </si>
  <si>
    <t>Fecebook</t>
  </si>
  <si>
    <t>wangzhe.dut@gmail.com</t>
  </si>
  <si>
    <t>宁子文</t>
  </si>
  <si>
    <t>ningziwen</t>
  </si>
  <si>
    <t>王学昊</t>
  </si>
  <si>
    <t>ScottCC</t>
  </si>
  <si>
    <t>scott.cc1206@gmail.com</t>
  </si>
  <si>
    <t>Xuehao Wang</t>
  </si>
  <si>
    <t>Xiaoxu</t>
  </si>
  <si>
    <t>shyhaimao</t>
  </si>
  <si>
    <t>Latency</t>
  </si>
  <si>
    <t>lwh14710</t>
  </si>
  <si>
    <t>lwh14710@gmail.com</t>
  </si>
  <si>
    <t>哈库呐玛塔塔</t>
  </si>
  <si>
    <t>hakunamatete</t>
  </si>
  <si>
    <t>Judy_0.0</t>
  </si>
  <si>
    <t>ggggle</t>
  </si>
  <si>
    <t>LeetCodeForce</t>
  </si>
  <si>
    <t>肖肖</t>
  </si>
  <si>
    <t>bxiao_ca</t>
  </si>
  <si>
    <t>flagamy</t>
  </si>
  <si>
    <t>胡志峰</t>
  </si>
  <si>
    <t>anhpp</t>
  </si>
  <si>
    <t>anhpp123@gmail.com</t>
  </si>
  <si>
    <t>Yekun Xu</t>
  </si>
  <si>
    <t>蒋鸿达</t>
  </si>
  <si>
    <t>jianghd1996</t>
  </si>
  <si>
    <t>caobiqing</t>
  </si>
  <si>
    <t>bc2615</t>
  </si>
  <si>
    <t>biqingcc@gmail.com</t>
  </si>
  <si>
    <t>黄富强</t>
  </si>
  <si>
    <t>huangfq07</t>
  </si>
  <si>
    <t>Lyft</t>
  </si>
  <si>
    <t>mengset</t>
  </si>
  <si>
    <t>migeater</t>
  </si>
  <si>
    <t>钱克非</t>
  </si>
  <si>
    <t>jozdortraz</t>
  </si>
  <si>
    <t>陆一凡</t>
  </si>
  <si>
    <t>luyifan1996</t>
  </si>
  <si>
    <t>D</t>
  </si>
  <si>
    <t>axjin</t>
  </si>
  <si>
    <t>allenxulu@gmail.com</t>
  </si>
  <si>
    <t>fangdanzai</t>
  </si>
  <si>
    <t>岁梗</t>
  </si>
  <si>
    <t>zhenguowcs</t>
  </si>
  <si>
    <t>ShidaLei</t>
  </si>
  <si>
    <t>zhenguowcs@gmail.com</t>
  </si>
  <si>
    <t>叮叮叮叮鱼</t>
  </si>
  <si>
    <t>ddddyliu</t>
  </si>
  <si>
    <t>liudy.zju@gmail.com</t>
  </si>
  <si>
    <t>adayxiang</t>
  </si>
  <si>
    <t>adayxiang@gmail.com</t>
  </si>
  <si>
    <t>Yuxiang Wang</t>
  </si>
  <si>
    <t>buffa</t>
  </si>
  <si>
    <t>bairf2niu@gmail.com</t>
  </si>
  <si>
    <t>YDL</t>
  </si>
  <si>
    <t>Jack_Ma1024</t>
  </si>
  <si>
    <t>ViribusUnitis</t>
  </si>
  <si>
    <t>优炜</t>
  </si>
  <si>
    <t>youyou331</t>
  </si>
  <si>
    <t>youyou331@gmail.com</t>
  </si>
  <si>
    <t>mrtong_liu</t>
  </si>
  <si>
    <t>tongliu562@gmail.com</t>
  </si>
  <si>
    <t>monica</t>
  </si>
  <si>
    <t>slurpyFart</t>
  </si>
  <si>
    <t>lwylwy210@gmail.com</t>
  </si>
  <si>
    <t>dennanisny@gmail.com</t>
  </si>
  <si>
    <t>Cloud H.</t>
  </si>
  <si>
    <t>sirgarfield</t>
  </si>
  <si>
    <t>sirgarfield.c@gmail.com</t>
  </si>
  <si>
    <t>ketsu</t>
  </si>
  <si>
    <t>WeijieChen0_0</t>
  </si>
  <si>
    <t>waynechen.ut@gmail.com&gt;</t>
  </si>
  <si>
    <t>pqy</t>
  </si>
  <si>
    <t>ddwysg1</t>
  </si>
  <si>
    <t>qypeng12@outlook.com</t>
  </si>
  <si>
    <t>Stev</t>
  </si>
  <si>
    <t>SteveSunTech</t>
  </si>
  <si>
    <t>豆捞捞</t>
  </si>
  <si>
    <t>邢泽钰</t>
  </si>
  <si>
    <t>xzy19951213</t>
  </si>
  <si>
    <t>BingleLove</t>
  </si>
  <si>
    <t>hp1100@nyu.edu</t>
  </si>
  <si>
    <t>高须</t>
  </si>
  <si>
    <t>zzgreen</t>
  </si>
  <si>
    <t>刘宇</t>
  </si>
  <si>
    <t>Little</t>
  </si>
  <si>
    <t>yllclover</t>
  </si>
  <si>
    <t>陈肇杰</t>
  </si>
  <si>
    <t>chenzhaojie1997</t>
  </si>
  <si>
    <t>daniel-xu</t>
  </si>
  <si>
    <t>danielxuforever</t>
  </si>
  <si>
    <t>weiliang515</t>
  </si>
  <si>
    <r>
      <rPr>
        <sz val="11"/>
        <color rgb="FFFF0000"/>
        <rFont val="Calibri"/>
        <family val="2"/>
        <charset val="1"/>
      </rPr>
      <t>SKD</t>
    </r>
    <r>
      <rPr>
        <sz val="11"/>
        <color rgb="FFFF0000"/>
        <rFont val="PingFang SC"/>
        <family val="2"/>
        <charset val="1"/>
      </rPr>
      <t>真勤快</t>
    </r>
  </si>
  <si>
    <t>蛋糕婷</t>
  </si>
  <si>
    <t>marfemale</t>
  </si>
  <si>
    <t>qguond@gmail.com</t>
  </si>
  <si>
    <t>婷</t>
  </si>
  <si>
    <t>hellocici</t>
  </si>
  <si>
    <t>yuantingwhu@gmail.com</t>
  </si>
  <si>
    <t>残酷资本</t>
  </si>
  <si>
    <t>playfair</t>
  </si>
  <si>
    <t>zt</t>
  </si>
  <si>
    <t>tzsysu</t>
  </si>
  <si>
    <t>郑四橘</t>
  </si>
  <si>
    <t>Zheng_Four_Oranges</t>
  </si>
  <si>
    <t>ZZY</t>
  </si>
  <si>
    <t>Lynn</t>
  </si>
  <si>
    <t>lynnnaive16</t>
  </si>
  <si>
    <t>lynnnaive16@gmail.com</t>
  </si>
  <si>
    <t>Pika Wang</t>
  </si>
  <si>
    <t>coryking</t>
  </si>
  <si>
    <t>sihai</t>
  </si>
  <si>
    <t>kesihai</t>
  </si>
  <si>
    <t>阴天傍晚</t>
  </si>
  <si>
    <t>Hhhoyuu</t>
  </si>
  <si>
    <t>xuqiqi</t>
  </si>
  <si>
    <t>M954</t>
  </si>
  <si>
    <t>direction</t>
  </si>
  <si>
    <t>Fangxiang Wang</t>
  </si>
  <si>
    <t>大河马</t>
  </si>
  <si>
    <t>chrisdzxu</t>
  </si>
  <si>
    <t>EdmizJay</t>
  </si>
  <si>
    <t>zhijiezhang0124@gmail.com</t>
  </si>
  <si>
    <t>Hongyu Li</t>
  </si>
  <si>
    <t>阿席达卡</t>
  </si>
  <si>
    <t>jiaxuqin</t>
  </si>
  <si>
    <t>Hugo Z</t>
  </si>
  <si>
    <t>zyg3328</t>
  </si>
  <si>
    <t>奇伢去哪儿</t>
  </si>
  <si>
    <t>常桓宇</t>
  </si>
  <si>
    <t>Mk</t>
  </si>
  <si>
    <t>goldAdventure</t>
  </si>
  <si>
    <t>yangmingliu16@gmail.com</t>
  </si>
  <si>
    <t>谢觉如</t>
  </si>
  <si>
    <t>TRDample</t>
  </si>
  <si>
    <t>埃里克酱</t>
  </si>
  <si>
    <t>meowbawang</t>
  </si>
  <si>
    <t>ayanamiaaa</t>
  </si>
  <si>
    <t>bo li</t>
  </si>
  <si>
    <t>leetcodelibo</t>
  </si>
  <si>
    <t>mprclibo@gmail.com</t>
  </si>
  <si>
    <t>GreatL</t>
  </si>
  <si>
    <t>Jerry</t>
  </si>
  <si>
    <t>LeeShengkai</t>
  </si>
  <si>
    <t>sl4685@columbia.edu</t>
  </si>
  <si>
    <t>Xyqqq</t>
  </si>
  <si>
    <t>XYqqq777</t>
  </si>
  <si>
    <t>user7194i</t>
  </si>
  <si>
    <t>hongbo.qin.1001@gmail.com</t>
  </si>
  <si>
    <t>之川</t>
  </si>
  <si>
    <t>zhichuan</t>
  </si>
  <si>
    <t>zhichuanxun@gmail.com</t>
  </si>
  <si>
    <t>ddoudle</t>
  </si>
  <si>
    <t xml:space="preserve">xdcao0903@gmail.com </t>
  </si>
  <si>
    <t>Xingdong_Cao</t>
  </si>
  <si>
    <t>三寿</t>
  </si>
  <si>
    <t>Ptranscend</t>
  </si>
  <si>
    <t>Mikayla</t>
  </si>
  <si>
    <t>Mikayla333</t>
  </si>
  <si>
    <t>每周红包王</t>
  </si>
  <si>
    <t>edisonnie</t>
  </si>
  <si>
    <t>Doordash</t>
  </si>
  <si>
    <t>a729381063@gmail.com</t>
  </si>
  <si>
    <t>Zhitao Nie</t>
  </si>
  <si>
    <t>ERIC</t>
  </si>
  <si>
    <t>Juwentus</t>
  </si>
  <si>
    <t>ericjialinux@gmail.com</t>
  </si>
  <si>
    <t>Xuelian</t>
  </si>
  <si>
    <t>PurplePearl</t>
  </si>
  <si>
    <t>高唯嘉</t>
  </si>
  <si>
    <t>weijiag</t>
  </si>
  <si>
    <t>黄清昊</t>
  </si>
  <si>
    <t>wfnuser</t>
  </si>
  <si>
    <t>ivan</t>
  </si>
  <si>
    <t>zjrenivan</t>
  </si>
  <si>
    <t>空</t>
  </si>
  <si>
    <t>hit_kong</t>
  </si>
  <si>
    <t>HIT_TOM</t>
  </si>
  <si>
    <t>daojingLeetcode</t>
  </si>
  <si>
    <t>daojing.guo@gmail.com</t>
  </si>
  <si>
    <t>pwd</t>
  </si>
  <si>
    <t>pjequilibrium</t>
  </si>
  <si>
    <t>wendingp@gmail.com</t>
  </si>
  <si>
    <t>wending peng</t>
  </si>
  <si>
    <t>chiro_11</t>
  </si>
  <si>
    <t>goegibay</t>
  </si>
  <si>
    <t>stevenhuang42195@gmail.com</t>
  </si>
  <si>
    <t>stevenhuang42195</t>
  </si>
  <si>
    <t>CJ</t>
  </si>
  <si>
    <t>jiechen067</t>
  </si>
  <si>
    <t>G-rated</t>
  </si>
  <si>
    <t>scau_grated</t>
  </si>
  <si>
    <t>james_fan1101</t>
  </si>
  <si>
    <t>jamesfan1101@gmail.com</t>
  </si>
  <si>
    <t>过去的是现在</t>
  </si>
  <si>
    <t>Evolut1on</t>
  </si>
  <si>
    <t>zhangn49.freeman@gmail.com</t>
  </si>
  <si>
    <t>digmouse</t>
  </si>
  <si>
    <t>Ryan</t>
  </si>
  <si>
    <t>ryanzhang29</t>
  </si>
  <si>
    <t>小飞侠</t>
  </si>
  <si>
    <t>Jamesleons</t>
  </si>
  <si>
    <t>fzp</t>
  </si>
  <si>
    <t>forever_moon</t>
  </si>
  <si>
    <t>flyoceans</t>
  </si>
  <si>
    <t>Jam</t>
  </si>
  <si>
    <t>jam64</t>
  </si>
  <si>
    <t>Xiaojie Hao</t>
  </si>
  <si>
    <t>quantuminfo</t>
  </si>
  <si>
    <t>hxj.hao@gmail.com</t>
  </si>
  <si>
    <t>rockbird</t>
  </si>
  <si>
    <t>immajm</t>
  </si>
  <si>
    <t>jiekun liang</t>
  </si>
  <si>
    <t>jiekun</t>
  </si>
  <si>
    <t>jiekunliang@gmail.com</t>
  </si>
  <si>
    <t>Jiekun Liang</t>
  </si>
  <si>
    <t>吕明宇</t>
  </si>
  <si>
    <t>rookie_my</t>
  </si>
  <si>
    <t>Hao</t>
  </si>
  <si>
    <t>lih627</t>
  </si>
  <si>
    <t>lih627@outlook.com</t>
  </si>
  <si>
    <t>Mercer</t>
  </si>
  <si>
    <t>mercerchen</t>
  </si>
  <si>
    <t>ziyezhu92</t>
  </si>
  <si>
    <t>ziyezhu92@gmail.com</t>
  </si>
  <si>
    <t>Moukee Zhu</t>
  </si>
  <si>
    <t>faang2022</t>
  </si>
  <si>
    <t>F. Wang</t>
  </si>
  <si>
    <t>fang_w</t>
  </si>
  <si>
    <t>tom.yjl3104@gmail.com</t>
  </si>
  <si>
    <t>于金鹭</t>
  </si>
  <si>
    <t>bourbonwhiskey</t>
  </si>
  <si>
    <t>许婧文</t>
  </si>
  <si>
    <t>jingwenxxx</t>
  </si>
  <si>
    <t>Elvis</t>
  </si>
  <si>
    <t>elvistqchen</t>
  </si>
  <si>
    <t>册册</t>
  </si>
  <si>
    <t>33sharewithu</t>
  </si>
  <si>
    <t>33sharewithu@gmail.com</t>
  </si>
  <si>
    <t>fighting_for_flag</t>
  </si>
  <si>
    <t>Binary</t>
  </si>
  <si>
    <t>awayzjj</t>
  </si>
  <si>
    <t xml:space="preserve"> BIT</t>
  </si>
  <si>
    <t>顾扬</t>
  </si>
  <si>
    <t>guyang123</t>
  </si>
  <si>
    <t>yanggunyit@gmail.com</t>
  </si>
  <si>
    <t>Muller</t>
  </si>
  <si>
    <t>Zhuoran_Liu</t>
  </si>
  <si>
    <t>zz</t>
  </si>
  <si>
    <t>zz659749</t>
  </si>
  <si>
    <t>zijian.cs@gmail.com</t>
  </si>
  <si>
    <t>Meteorite</t>
  </si>
  <si>
    <t>Monsooooon</t>
  </si>
  <si>
    <t>YoungForest</t>
  </si>
  <si>
    <t>Golen</t>
  </si>
  <si>
    <t>ashzzyj</t>
  </si>
  <si>
    <t>鲜虾鱼板</t>
  </si>
  <si>
    <t>zqsgopyyq</t>
  </si>
  <si>
    <t xml:space="preserve">Nicky </t>
  </si>
  <si>
    <t>SISU</t>
  </si>
  <si>
    <t>djhwslzy@gmail.com</t>
  </si>
  <si>
    <t>ziyu liang</t>
  </si>
  <si>
    <t>JM</t>
  </si>
  <si>
    <t>window0105</t>
  </si>
  <si>
    <t>jianmin0105@gmail.com</t>
  </si>
  <si>
    <t>Jianmin Li</t>
  </si>
  <si>
    <t>王阳</t>
  </si>
  <si>
    <t>wy907645377</t>
  </si>
  <si>
    <r>
      <rPr>
        <sz val="11"/>
        <color rgb="FFFF0000"/>
        <rFont val="PingFang SC"/>
        <family val="2"/>
        <charset val="1"/>
      </rPr>
      <t>王</t>
    </r>
    <r>
      <rPr>
        <sz val="11"/>
        <color rgb="FFFF0000"/>
        <rFont val="Calibri"/>
        <charset val="1"/>
      </rPr>
      <t>ty</t>
    </r>
  </si>
  <si>
    <t>wy907645377@gmail.com</t>
  </si>
  <si>
    <t>hui</t>
  </si>
  <si>
    <t>whtttth</t>
  </si>
  <si>
    <t>whtttth@gmail.com</t>
  </si>
  <si>
    <t>王实秋</t>
  </si>
  <si>
    <t>seekQ</t>
  </si>
  <si>
    <t>HIT</t>
  </si>
  <si>
    <t>littlewang2021@gmail.com</t>
  </si>
  <si>
    <t>qqy</t>
  </si>
  <si>
    <t>mtx2d</t>
  </si>
  <si>
    <t>lyx</t>
  </si>
  <si>
    <t>vanstar123456</t>
  </si>
  <si>
    <t>WHU</t>
  </si>
  <si>
    <t>claire.liang.engineer@gmail.com</t>
  </si>
  <si>
    <t>Biteyou</t>
  </si>
  <si>
    <t>wangtengyi55555@gmail.com</t>
  </si>
  <si>
    <t>curiosity</t>
  </si>
  <si>
    <t>curiosity-10</t>
  </si>
  <si>
    <t>LeoOo</t>
  </si>
  <si>
    <t>alicila</t>
  </si>
  <si>
    <t>xilianguc@gmail.com</t>
  </si>
  <si>
    <t>Leo Liang</t>
  </si>
  <si>
    <t>Bing Wu</t>
  </si>
  <si>
    <t>FreshBing</t>
  </si>
  <si>
    <t>bing.wu@marylandsmith.umd.edu</t>
  </si>
  <si>
    <t>好风</t>
  </si>
  <si>
    <t>wakme</t>
  </si>
  <si>
    <t>wa</t>
  </si>
  <si>
    <t>Haoyuw</t>
  </si>
  <si>
    <t>haoyuumb@gmail.com</t>
  </si>
  <si>
    <t>Hy</t>
  </si>
  <si>
    <t>_Hy3</t>
  </si>
  <si>
    <t>家</t>
  </si>
  <si>
    <t>home_z</t>
  </si>
  <si>
    <t>好样儿</t>
  </si>
  <si>
    <t>Haoyangerrr-MoMo</t>
  </si>
  <si>
    <t>贺竹</t>
  </si>
  <si>
    <t>FunBam</t>
  </si>
  <si>
    <t>Deus Non Vult</t>
  </si>
  <si>
    <t>ainoyume</t>
  </si>
  <si>
    <t>Ego</t>
  </si>
  <si>
    <t>X_ray</t>
  </si>
  <si>
    <t>upupming</t>
  </si>
  <si>
    <t>yimingli.cs@gmail.com</t>
  </si>
  <si>
    <t>Jas_ysj</t>
  </si>
  <si>
    <t>sjyang_</t>
  </si>
  <si>
    <t>jasysj@gmail.com</t>
  </si>
  <si>
    <t>Shujing Yang</t>
  </si>
  <si>
    <t>黄佳新</t>
  </si>
  <si>
    <t>hjx2016</t>
  </si>
  <si>
    <t>jiaxinhuang1013@gmail.com</t>
  </si>
  <si>
    <t>Zh</t>
  </si>
  <si>
    <t>roccopass</t>
  </si>
  <si>
    <t>间草鸡动队</t>
  </si>
  <si>
    <t>asherascout</t>
  </si>
  <si>
    <t>HUST</t>
  </si>
  <si>
    <t>Yuliiia</t>
  </si>
  <si>
    <t>yuliiia7</t>
  </si>
  <si>
    <t>Kuijun Wang</t>
  </si>
  <si>
    <t>Isabella</t>
  </si>
  <si>
    <t>FAANG_LOVER</t>
  </si>
  <si>
    <t>朱柏霖</t>
  </si>
  <si>
    <t>blzhu</t>
  </si>
  <si>
    <t>Melody</t>
  </si>
  <si>
    <t>txu33</t>
  </si>
  <si>
    <t>melody324324@gmail.com</t>
  </si>
  <si>
    <t>Tong Xu</t>
  </si>
  <si>
    <r>
      <rPr>
        <sz val="11"/>
        <color rgb="FFFF0000"/>
        <rFont val="Calibri"/>
        <charset val="1"/>
      </rPr>
      <t>wyt</t>
    </r>
    <r>
      <rPr>
        <sz val="11"/>
        <color rgb="FFFF0000"/>
        <rFont val="PingFang SC"/>
        <family val="2"/>
        <charset val="1"/>
      </rPr>
      <t>今天早睡了吗</t>
    </r>
  </si>
  <si>
    <t>wangyt97</t>
  </si>
  <si>
    <t>Shawn</t>
  </si>
  <si>
    <t>KimTaeyeon</t>
  </si>
  <si>
    <t>jzcheng@umich.edu</t>
  </si>
  <si>
    <t>Klaus</t>
  </si>
  <si>
    <t>KYan20010323</t>
  </si>
  <si>
    <t>fake_fan</t>
  </si>
  <si>
    <t>摸鱼练习生</t>
  </si>
  <si>
    <t>芥川龙之介</t>
  </si>
  <si>
    <t>Yifei_Chen</t>
  </si>
  <si>
    <t>Qinhao</t>
  </si>
  <si>
    <t>QinhaoChang</t>
  </si>
  <si>
    <t>Somnnium</t>
  </si>
  <si>
    <t>SSSuper</t>
  </si>
  <si>
    <t>Xiao</t>
  </si>
  <si>
    <t>awesomexiao123</t>
  </si>
  <si>
    <t>Rogn</t>
  </si>
  <si>
    <t>餐具菌</t>
  </si>
  <si>
    <t>shiyaow</t>
  </si>
  <si>
    <t>BNU</t>
  </si>
  <si>
    <t>shiyaow@umich.edu</t>
  </si>
  <si>
    <t>田斌斌</t>
  </si>
  <si>
    <t>bit3tbb</t>
  </si>
  <si>
    <t>bit3tbb@gmail.com</t>
  </si>
  <si>
    <t>张益英</t>
  </si>
  <si>
    <t>elaine93</t>
  </si>
  <si>
    <t>Visa</t>
  </si>
  <si>
    <t>莫等</t>
  </si>
  <si>
    <t>maxusun</t>
  </si>
  <si>
    <t>power</t>
  </si>
  <si>
    <t>YLDJW</t>
  </si>
  <si>
    <t>小朋友你是否很多问号</t>
  </si>
  <si>
    <t>Terry95</t>
  </si>
  <si>
    <r>
      <rPr>
        <sz val="11"/>
        <color rgb="FFFF0000"/>
        <rFont val="PingFang SC"/>
        <family val="2"/>
        <charset val="1"/>
      </rPr>
      <t>手机用户</t>
    </r>
    <r>
      <rPr>
        <sz val="11"/>
        <color rgb="FFFF0000"/>
        <rFont val="Calibri"/>
        <charset val="1"/>
      </rPr>
      <t>47</t>
    </r>
  </si>
  <si>
    <t>irisbber</t>
  </si>
  <si>
    <t>Instagram</t>
  </si>
  <si>
    <t>kaizhangcs@gmail.com</t>
  </si>
  <si>
    <t>januwong@gmail.com</t>
  </si>
  <si>
    <t>yiyue wang</t>
  </si>
  <si>
    <t>Charlie</t>
  </si>
  <si>
    <t>CharlieZyl</t>
  </si>
  <si>
    <t>商水苍秀</t>
  </si>
  <si>
    <t>yilun.zhao@yale.edu</t>
  </si>
  <si>
    <t>Yilun Zhao</t>
  </si>
  <si>
    <t>Ray</t>
  </si>
  <si>
    <t>MaskRay</t>
  </si>
  <si>
    <t xml:space="preserve"> i@maskray.me</t>
  </si>
  <si>
    <t>youjiahan</t>
  </si>
  <si>
    <t>han.youjia@gmail.com</t>
  </si>
  <si>
    <t>渣胖人</t>
  </si>
  <si>
    <t>maomao6551675</t>
  </si>
  <si>
    <t>lukeyang008@gmail.com</t>
  </si>
  <si>
    <t>Mingkang Yang</t>
  </si>
  <si>
    <t>rookie0080</t>
  </si>
  <si>
    <t>ECNU</t>
  </si>
  <si>
    <t>babana</t>
  </si>
  <si>
    <t>zhongdizhu</t>
  </si>
  <si>
    <t>柳正来</t>
  </si>
  <si>
    <t>yt2985@gmail.com</t>
  </si>
  <si>
    <t>Yu Ting</t>
  </si>
  <si>
    <t>Yingying</t>
  </si>
  <si>
    <t>SDE2018_Carson_Yingying</t>
  </si>
  <si>
    <t>yingyingchen10@gmail.com</t>
  </si>
  <si>
    <t>N2510</t>
  </si>
  <si>
    <t>yn1106@rit.edu</t>
  </si>
  <si>
    <t>Yuyao Ning</t>
  </si>
  <si>
    <t>michelle_taco</t>
  </si>
  <si>
    <t>dingluyuan@gmail.com</t>
  </si>
  <si>
    <t>叶乔菲</t>
  </si>
  <si>
    <t>yeziyqf</t>
  </si>
  <si>
    <t>Jue</t>
  </si>
  <si>
    <t>Rainyforest</t>
  </si>
  <si>
    <t>rainyforest4869@gmail.com</t>
  </si>
  <si>
    <t>瑞卡</t>
  </si>
  <si>
    <t>rika321</t>
  </si>
  <si>
    <t>Mick</t>
  </si>
  <si>
    <t>OnMyOwn</t>
  </si>
  <si>
    <t>mickchen@yahoo.com</t>
  </si>
  <si>
    <t>Miaoqing Chen</t>
  </si>
  <si>
    <t>爱学习</t>
  </si>
  <si>
    <t>xyzzzzzzzz</t>
  </si>
  <si>
    <t>王新亚</t>
  </si>
  <si>
    <t>deepli</t>
  </si>
  <si>
    <t>NKU</t>
  </si>
  <si>
    <t>wangxinya5@gmail.com</t>
  </si>
  <si>
    <t>汀</t>
  </si>
  <si>
    <t>sxz1113</t>
  </si>
  <si>
    <t>wbbssr</t>
  </si>
  <si>
    <t>Liping Zhang</t>
  </si>
  <si>
    <t>lzl124631x</t>
  </si>
  <si>
    <t>BUAA</t>
  </si>
  <si>
    <t>liuzhenglaichn@gmail.com</t>
  </si>
  <si>
    <t>Andrew</t>
  </si>
  <si>
    <t>zys01310131</t>
  </si>
  <si>
    <t>yingshuo.zhang@uwaterloo.ca</t>
  </si>
  <si>
    <t>shsf-fengyu</t>
  </si>
  <si>
    <r>
      <rPr>
        <sz val="11"/>
        <color rgb="FFFF0000"/>
        <rFont val="PingFang SC"/>
        <family val="2"/>
        <charset val="1"/>
      </rPr>
      <t>鸡</t>
    </r>
    <r>
      <rPr>
        <sz val="11"/>
        <color rgb="FFFF0000"/>
        <rFont val="Calibri"/>
        <charset val="1"/>
      </rPr>
      <t>-lil</t>
    </r>
  </si>
  <si>
    <t>wyz565169669</t>
  </si>
  <si>
    <t>王兴源</t>
  </si>
  <si>
    <t>xywang0520</t>
  </si>
  <si>
    <t>xywang0520@gmail.com</t>
  </si>
  <si>
    <t>Xingyuan Wang</t>
  </si>
  <si>
    <t>吕柏蓉</t>
  </si>
  <si>
    <t>bl2621</t>
  </si>
  <si>
    <t>borong.lyu@nyu.edu</t>
  </si>
  <si>
    <t>某尚</t>
  </si>
  <si>
    <t>visionary_sg</t>
  </si>
  <si>
    <t>isshgao@gmail.com</t>
  </si>
  <si>
    <t>Koi</t>
  </si>
  <si>
    <t>AxelTchaikovsky</t>
  </si>
  <si>
    <t>湘</t>
  </si>
  <si>
    <t>XiaoXiangFei</t>
  </si>
  <si>
    <t>猫猫</t>
  </si>
  <si>
    <t>杨雨城</t>
  </si>
  <si>
    <t>PeanutPro</t>
  </si>
  <si>
    <t>石猫</t>
  </si>
  <si>
    <t>cozlind</t>
  </si>
  <si>
    <t>Niantic</t>
  </si>
  <si>
    <t>cozlind@live.com</t>
  </si>
  <si>
    <t>惊寂</t>
  </si>
  <si>
    <t>LZ1994</t>
  </si>
  <si>
    <t>Purdue</t>
  </si>
  <si>
    <t>Lang Zhao</t>
  </si>
  <si>
    <t>Ruizhe Wu</t>
  </si>
  <si>
    <t>ruizhewu</t>
  </si>
  <si>
    <t>Tinder</t>
  </si>
  <si>
    <t>Bakey</t>
  </si>
  <si>
    <t>bakey</t>
  </si>
  <si>
    <t>Rayleigh</t>
  </si>
  <si>
    <t>Rayleigh0328</t>
  </si>
  <si>
    <t>rayleigh0328@gmail.com</t>
  </si>
  <si>
    <t>will</t>
  </si>
  <si>
    <t>wqricardo</t>
  </si>
  <si>
    <t>dracarys</t>
  </si>
  <si>
    <t>l115a3cwh666</t>
  </si>
  <si>
    <t>Chao</t>
  </si>
  <si>
    <t>wangsc98</t>
  </si>
  <si>
    <t>请假王</t>
  </si>
  <si>
    <t>zokumyoin</t>
  </si>
  <si>
    <t>shogunpang</t>
  </si>
  <si>
    <t>雪域之光</t>
  </si>
  <si>
    <t>zhuimengren2138</t>
  </si>
  <si>
    <t>Grey Wang</t>
  </si>
  <si>
    <t>aguang-xyz</t>
  </si>
  <si>
    <t>aguang.xyz@gmail.com</t>
  </si>
  <si>
    <t>Johan</t>
  </si>
  <si>
    <t>REDSREDS</t>
  </si>
  <si>
    <t>maxchen290@gmail.com</t>
  </si>
  <si>
    <t>ZeRoLJ42</t>
  </si>
  <si>
    <t>zerolj42@gmail.com</t>
  </si>
  <si>
    <t>罗泽建</t>
  </si>
  <si>
    <t>cnliusen</t>
  </si>
  <si>
    <t>senliu_ac</t>
  </si>
  <si>
    <t>cnliusen@gmail.com</t>
  </si>
  <si>
    <t>skd233</t>
  </si>
  <si>
    <t>shaokedong123@gmail.com</t>
  </si>
  <si>
    <t>Block</t>
  </si>
  <si>
    <t>magua-io</t>
  </si>
  <si>
    <t>Reddit</t>
  </si>
  <si>
    <t>michael.liang1103@gmail.com</t>
  </si>
  <si>
    <t>Quack</t>
  </si>
  <si>
    <t>yqmmm</t>
  </si>
  <si>
    <t>Howie</t>
  </si>
  <si>
    <t>hzhang216</t>
  </si>
  <si>
    <t>hongrubb52</t>
  </si>
  <si>
    <t>草莓奶昔</t>
  </si>
  <si>
    <t>981377660LMT</t>
  </si>
  <si>
    <t>金龟次郎</t>
  </si>
  <si>
    <t>mengyuan1112</t>
  </si>
  <si>
    <t>yuanmeng@buffalo.edu</t>
  </si>
  <si>
    <t>Yuan Meng</t>
  </si>
  <si>
    <t>leishida0514@gmail.com</t>
  </si>
  <si>
    <t>Shida Lei</t>
  </si>
  <si>
    <t>yeah</t>
  </si>
  <si>
    <t>yeahhuai</t>
  </si>
  <si>
    <t>pithy</t>
  </si>
  <si>
    <t>miahall</t>
  </si>
  <si>
    <t>thucscw@gmail.com</t>
  </si>
  <si>
    <t>张辉</t>
  </si>
  <si>
    <t>tainule</t>
  </si>
  <si>
    <t>huiz0213@gmail.com</t>
  </si>
  <si>
    <t>Oyyko</t>
  </si>
  <si>
    <t>herzog</t>
  </si>
  <si>
    <t>herzog_</t>
  </si>
  <si>
    <t>叶天奇</t>
  </si>
  <si>
    <t>ye92</t>
  </si>
  <si>
    <t>相宜</t>
  </si>
  <si>
    <t>lightmiao</t>
  </si>
  <si>
    <t>yixiangsd@gmail.com</t>
  </si>
  <si>
    <t>ray_mzy</t>
  </si>
  <si>
    <t>changyu</t>
  </si>
  <si>
    <t>Adobe</t>
  </si>
  <si>
    <t>DUT</t>
  </si>
  <si>
    <t>chen.mercer@gmail.com</t>
  </si>
  <si>
    <t>Leetcode_Pro</t>
  </si>
  <si>
    <t>zexuan.wang@hotmail.com</t>
  </si>
  <si>
    <t>remfzh</t>
  </si>
  <si>
    <t>hzfmer94@gmail.com</t>
  </si>
  <si>
    <t>Kingsley</t>
  </si>
  <si>
    <t>kingsleycode</t>
  </si>
  <si>
    <t>大白花芸豆</t>
  </si>
  <si>
    <t>chui</t>
  </si>
  <si>
    <t>侯晓征</t>
  </si>
  <si>
    <t>vorlorn</t>
  </si>
  <si>
    <t>zyx</t>
  </si>
  <si>
    <t>zyx-37</t>
  </si>
  <si>
    <t>herots</t>
  </si>
  <si>
    <t>super468</t>
  </si>
  <si>
    <t>立夏</t>
  </si>
  <si>
    <t>lixia201314</t>
  </si>
  <si>
    <t>Super-90s</t>
  </si>
  <si>
    <t>xuekedou</t>
  </si>
  <si>
    <t>vanzo</t>
  </si>
  <si>
    <t>blahhhhhuwu</t>
  </si>
  <si>
    <t>春天</t>
  </si>
  <si>
    <t>NZAMF</t>
  </si>
  <si>
    <t>kuan525</t>
  </si>
  <si>
    <t>carotwang</t>
  </si>
  <si>
    <t>carotwang@126.com</t>
  </si>
  <si>
    <t>ABC</t>
  </si>
  <si>
    <t>flagoffer1999</t>
  </si>
  <si>
    <t>林佳乐</t>
  </si>
  <si>
    <t>pyy</t>
  </si>
  <si>
    <t>yypu</t>
  </si>
  <si>
    <t>llini popcorn</t>
  </si>
  <si>
    <t>tonglizhou</t>
  </si>
  <si>
    <t>kiddle</t>
  </si>
  <si>
    <t>liri0811</t>
  </si>
  <si>
    <t>Ben</t>
  </si>
  <si>
    <t>ChanWunsam</t>
  </si>
  <si>
    <t>MinZ</t>
  </si>
  <si>
    <t>weeeed</t>
  </si>
  <si>
    <t>zhouminzoe@gmail.com</t>
  </si>
  <si>
    <t>might</t>
  </si>
  <si>
    <t>zju_might</t>
  </si>
  <si>
    <t>fang2018</t>
  </si>
  <si>
    <t>longtao.cmu@gmail.com</t>
  </si>
  <si>
    <t>tao long</t>
  </si>
  <si>
    <t>无辄</t>
  </si>
  <si>
    <t>izackwu</t>
  </si>
  <si>
    <t>Lily</t>
  </si>
  <si>
    <t>lilydenris@gmail.com</t>
  </si>
  <si>
    <r>
      <rPr>
        <sz val="11"/>
        <color rgb="FFFF0000"/>
        <rFont val="PingFang SC"/>
        <family val="2"/>
      </rPr>
      <t>今天我写</t>
    </r>
    <r>
      <rPr>
        <sz val="11"/>
        <color rgb="FFFF0000"/>
        <rFont val="Calibri"/>
        <charset val="1"/>
      </rPr>
      <t>bug</t>
    </r>
    <r>
      <rPr>
        <sz val="11"/>
        <color rgb="FFFF0000"/>
        <rFont val="PingFang SC"/>
        <family val="2"/>
      </rPr>
      <t>了吗</t>
    </r>
  </si>
  <si>
    <t>huiwang17</t>
  </si>
  <si>
    <t>AMO</t>
  </si>
  <si>
    <t>jialusui1102</t>
  </si>
  <si>
    <r>
      <rPr>
        <sz val="11"/>
        <color rgb="FFFF0000"/>
        <rFont val="PingFang SC"/>
        <family val="2"/>
      </rPr>
      <t>茂林</t>
    </r>
    <r>
      <rPr>
        <sz val="11"/>
        <color rgb="FFFF0000"/>
        <rFont val="Calibri"/>
        <charset val="1"/>
      </rPr>
      <t>hage</t>
    </r>
  </si>
  <si>
    <t>Solace</t>
  </si>
  <si>
    <t>CarlosTian</t>
  </si>
  <si>
    <t>grisyt</t>
  </si>
  <si>
    <t>lxhgww</t>
  </si>
  <si>
    <t>吹海风的汪</t>
  </si>
  <si>
    <t>nyhneil</t>
  </si>
  <si>
    <t>陈乐乐</t>
  </si>
  <si>
    <t>Chloe</t>
  </si>
  <si>
    <t>wankew</t>
  </si>
  <si>
    <t>Expedia</t>
  </si>
  <si>
    <t>街溜子</t>
  </si>
  <si>
    <t>luzixiaoui</t>
  </si>
  <si>
    <t>吴珺</t>
  </si>
  <si>
    <t>littewj</t>
  </si>
  <si>
    <t>Bixing</t>
  </si>
  <si>
    <t>hirokinakamura</t>
  </si>
  <si>
    <t>linjiale</t>
  </si>
  <si>
    <t>MetaBit</t>
  </si>
  <si>
    <t>Wenqi</t>
  </si>
  <si>
    <t>WinKKKKy</t>
  </si>
  <si>
    <t>TigerGraph</t>
  </si>
  <si>
    <t>征战天下</t>
  </si>
  <si>
    <t>Peak_2250_MID_in_King-of-Glory</t>
  </si>
  <si>
    <t>Ziting Zhu</t>
  </si>
  <si>
    <t>zitingzhu95</t>
  </si>
  <si>
    <t>mike1234421</t>
  </si>
  <si>
    <t>楚乔欣</t>
  </si>
  <si>
    <t>AkaBridge</t>
  </si>
  <si>
    <t>baibest</t>
  </si>
  <si>
    <t>bys031</t>
  </si>
  <si>
    <t>Waymo</t>
  </si>
  <si>
    <t>iven</t>
  </si>
  <si>
    <t>ivennn</t>
  </si>
  <si>
    <t>iven@ivenwang.com</t>
  </si>
  <si>
    <t>杨森</t>
  </si>
  <si>
    <t>sen.yang96@outlook.com</t>
  </si>
  <si>
    <t>小羊肖恩</t>
  </si>
  <si>
    <t>HNY</t>
  </si>
  <si>
    <t>testimony2014</t>
  </si>
  <si>
    <t>陶</t>
  </si>
  <si>
    <t>bttsv</t>
  </si>
  <si>
    <t>taobotong1987@gmail.com</t>
  </si>
  <si>
    <t>changyu_jiang</t>
  </si>
  <si>
    <t>changyu.jiang86@gmail.com</t>
  </si>
  <si>
    <t>丁聪</t>
  </si>
  <si>
    <t>masdc98</t>
  </si>
  <si>
    <t>AnyScale</t>
  </si>
  <si>
    <t>masdc98@gmail.com</t>
  </si>
  <si>
    <t>bots@skins.email</t>
  </si>
  <si>
    <t>Yiming Li</t>
  </si>
  <si>
    <t>AfterPay</t>
  </si>
  <si>
    <t>繁星藏在口袋里</t>
  </si>
  <si>
    <t>clairehe10</t>
  </si>
  <si>
    <t>初岛</t>
  </si>
  <si>
    <t>yx1215</t>
  </si>
  <si>
    <t>LeaFZ</t>
  </si>
  <si>
    <t>miHoYo</t>
  </si>
  <si>
    <t>阿拉斯天</t>
  </si>
  <si>
    <t>alastian</t>
  </si>
  <si>
    <t>liuchengtian@gmail.com</t>
  </si>
  <si>
    <t>Chengtian Liu</t>
  </si>
  <si>
    <t>kuan_525@163.com</t>
  </si>
  <si>
    <t>李嘉元</t>
  </si>
  <si>
    <t>thunderbolts</t>
  </si>
  <si>
    <t>武破立法</t>
  </si>
  <si>
    <t>wo_pa_lang_fei</t>
  </si>
  <si>
    <t>Workday</t>
  </si>
  <si>
    <t>binbenwang1994@gmail.com</t>
  </si>
  <si>
    <t>是阿川啊</t>
  </si>
  <si>
    <t>jichuanz</t>
  </si>
  <si>
    <t>章及川</t>
  </si>
  <si>
    <t>Spotify</t>
  </si>
  <si>
    <t>Yuhan-Lu</t>
  </si>
  <si>
    <t>赫连勃勃大王</t>
  </si>
  <si>
    <t>Mooophy</t>
  </si>
  <si>
    <t>FXT</t>
  </si>
  <si>
    <t>fairyfxt</t>
  </si>
  <si>
    <t>冯雪婷</t>
  </si>
  <si>
    <t>freeloop</t>
  </si>
  <si>
    <t>xiaoxiaobaozi</t>
  </si>
  <si>
    <t>清羽</t>
  </si>
  <si>
    <t>tsingyawn</t>
  </si>
  <si>
    <t>张若天</t>
  </si>
  <si>
    <t>cqfu728</t>
  </si>
  <si>
    <t>Lucid</t>
  </si>
  <si>
    <t>Barthes</t>
  </si>
  <si>
    <t>AC_Barthes0131</t>
  </si>
  <si>
    <t>OScar</t>
  </si>
  <si>
    <t>oli_mbp</t>
  </si>
  <si>
    <t>Tesla</t>
  </si>
  <si>
    <t>ExRoc</t>
  </si>
  <si>
    <r>
      <rPr>
        <sz val="11"/>
        <color rgb="FFFF0000"/>
        <rFont val="PingFang SC"/>
        <family val="2"/>
      </rPr>
      <t>雷锋</t>
    </r>
    <r>
      <rPr>
        <sz val="11"/>
        <color rgb="FFFF0000"/>
        <rFont val="Calibri"/>
        <charset val="1"/>
      </rPr>
      <t>lfss</t>
    </r>
  </si>
  <si>
    <t>lei-feng-lfss</t>
  </si>
  <si>
    <t>服部千军</t>
  </si>
  <si>
    <t>stevensnake</t>
  </si>
  <si>
    <t>Unremitting</t>
  </si>
  <si>
    <t>piangqsq</t>
  </si>
  <si>
    <r>
      <rPr>
        <sz val="11"/>
        <color rgb="FFFF0000"/>
        <rFont val="PingFang SC"/>
        <family val="2"/>
      </rPr>
      <t>小波</t>
    </r>
    <r>
      <rPr>
        <sz val="11"/>
        <color rgb="FFFF0000"/>
        <rFont val="Calibri"/>
        <charset val="1"/>
      </rPr>
      <t>669</t>
    </r>
  </si>
  <si>
    <t>Shirleyyu669</t>
  </si>
  <si>
    <t>敏而好学</t>
  </si>
  <si>
    <t>ggbobo</t>
  </si>
  <si>
    <t>SANTINO</t>
  </si>
  <si>
    <t>andyzhaoxs</t>
  </si>
  <si>
    <t>bruce</t>
  </si>
  <si>
    <t>mmy666</t>
  </si>
  <si>
    <t>Fuuuuuuuuujc</t>
  </si>
  <si>
    <t>fuuuuujc</t>
  </si>
  <si>
    <t>YolkChiChi</t>
  </si>
  <si>
    <t>ryanwong0127</t>
  </si>
  <si>
    <t>ryanwong0127@gmail.com</t>
  </si>
  <si>
    <t>安河桥</t>
  </si>
  <si>
    <t>pleasepickme</t>
  </si>
  <si>
    <t>Five</t>
  </si>
  <si>
    <t>GRCD</t>
  </si>
  <si>
    <t>grcd</t>
  </si>
  <si>
    <t>tommyjiang</t>
  </si>
  <si>
    <t>tommyjiang1987@gmail.com</t>
  </si>
  <si>
    <t>diyylau</t>
  </si>
  <si>
    <t>HugeX</t>
  </si>
  <si>
    <t>郭越</t>
  </si>
  <si>
    <t>kuailema9089</t>
  </si>
  <si>
    <t>RUC</t>
  </si>
  <si>
    <t>yueguo1217@gmail.com</t>
  </si>
  <si>
    <t>蒲溪</t>
  </si>
  <si>
    <t>PUXI</t>
  </si>
  <si>
    <t>Vera Chang</t>
  </si>
  <si>
    <t>wen_chin</t>
  </si>
  <si>
    <t>luv.zip</t>
  </si>
  <si>
    <t>maoshijie20</t>
  </si>
  <si>
    <t>沉默是金</t>
  </si>
  <si>
    <t>ManuShi98</t>
  </si>
  <si>
    <t>最近课程作业太多了</t>
  </si>
  <si>
    <t>jason_wong</t>
  </si>
  <si>
    <t>赶论文</t>
  </si>
  <si>
    <t>freya</t>
  </si>
  <si>
    <t>freya-6</t>
  </si>
  <si>
    <t>国内读研</t>
  </si>
  <si>
    <t>Leyou Hong</t>
  </si>
  <si>
    <t>hongleyou</t>
  </si>
  <si>
    <t>Fortinet</t>
  </si>
  <si>
    <t>leyouhong1991@gmail.com</t>
  </si>
  <si>
    <t>OkCoin</t>
  </si>
  <si>
    <t>千秋</t>
  </si>
  <si>
    <t>chiakimio</t>
  </si>
  <si>
    <t>Ctrip</t>
  </si>
  <si>
    <t>HNU</t>
  </si>
  <si>
    <t>李少阳</t>
  </si>
  <si>
    <t>silvertint10</t>
  </si>
  <si>
    <t>lishaoyang8@msn.com</t>
  </si>
  <si>
    <t>陈光</t>
  </si>
  <si>
    <t>ch365</t>
  </si>
  <si>
    <t>国内创业团队</t>
  </si>
  <si>
    <t>firee</t>
  </si>
  <si>
    <t>fireee</t>
  </si>
  <si>
    <t>Zack Light</t>
  </si>
  <si>
    <t>sampleaccountpage</t>
  </si>
  <si>
    <t>SIG</t>
  </si>
  <si>
    <t>kpole</t>
  </si>
  <si>
    <t>DriveWealth</t>
  </si>
  <si>
    <t>PathAI</t>
  </si>
  <si>
    <t xml:space="preserve"> BUPT</t>
  </si>
  <si>
    <t>htkzmo@gmail.com</t>
  </si>
  <si>
    <t>UCSD</t>
  </si>
  <si>
    <t>sheep</t>
  </si>
  <si>
    <t>sheepforever</t>
  </si>
  <si>
    <t>lympanda</t>
  </si>
  <si>
    <t>雷京颢</t>
  </si>
  <si>
    <t>zjuturtle</t>
  </si>
  <si>
    <t>CQQQQQQ</t>
  </si>
  <si>
    <t>user5807Wf</t>
  </si>
  <si>
    <t>文宇</t>
  </si>
  <si>
    <t>owen2</t>
  </si>
  <si>
    <t>peawinter@gmail.com</t>
  </si>
  <si>
    <t>wenyu3</t>
  </si>
  <si>
    <t>Bryan</t>
  </si>
  <si>
    <t>imsingee</t>
  </si>
  <si>
    <t>Jeemzz</t>
  </si>
  <si>
    <t>jeemzz147</t>
  </si>
  <si>
    <t>赤心不死</t>
  </si>
  <si>
    <t>damn-glamour</t>
  </si>
  <si>
    <t>陈明</t>
  </si>
  <si>
    <t>ming032217</t>
  </si>
  <si>
    <t>WatchDog</t>
  </si>
  <si>
    <t>kun</t>
  </si>
  <si>
    <t>Memoria</t>
  </si>
  <si>
    <t>Stripe</t>
  </si>
  <si>
    <t>kun.hu7602@gmail.com</t>
  </si>
  <si>
    <t>Kun Hu</t>
  </si>
  <si>
    <t>infmount</t>
  </si>
  <si>
    <t>SUN</t>
  </si>
  <si>
    <t>Kode4Fun</t>
  </si>
  <si>
    <t>Sky</t>
  </si>
  <si>
    <t>SkyFan2002</t>
  </si>
  <si>
    <t>憨憨</t>
  </si>
  <si>
    <t>lwy202898</t>
  </si>
  <si>
    <t>徐哗嘉</t>
  </si>
  <si>
    <t>wssx349</t>
  </si>
  <si>
    <t>闫新跃</t>
  </si>
  <si>
    <t>bush117</t>
  </si>
  <si>
    <t>Teri</t>
  </si>
  <si>
    <t>terencewongcs</t>
  </si>
  <si>
    <t>舒永豪</t>
  </si>
  <si>
    <t>Kamikakushi</t>
  </si>
  <si>
    <r>
      <rPr>
        <sz val="11"/>
        <color rgb="FFFF0000"/>
        <rFont val="PingFang SC"/>
        <family val="2"/>
        <charset val="1"/>
      </rPr>
      <t>茂林</t>
    </r>
    <r>
      <rPr>
        <sz val="11"/>
        <color rgb="FFFF0000"/>
        <rFont val="Calibri"/>
        <charset val="1"/>
      </rPr>
      <t>hage</t>
    </r>
  </si>
  <si>
    <t>user2001MS</t>
  </si>
  <si>
    <t>thinkiny</t>
  </si>
  <si>
    <r>
      <rPr>
        <sz val="11"/>
        <color rgb="FFFF0000"/>
        <rFont val="PingFang SC"/>
        <family val="2"/>
      </rPr>
      <t>黄河</t>
    </r>
    <r>
      <rPr>
        <sz val="11"/>
        <color rgb="FFFF0000"/>
        <rFont val="Calibri"/>
        <charset val="1"/>
      </rPr>
      <t>0127</t>
    </r>
  </si>
  <si>
    <t>对方正在输入</t>
  </si>
  <si>
    <t>qinzhe</t>
  </si>
  <si>
    <t>随风</t>
  </si>
  <si>
    <t>AAlchemist</t>
  </si>
  <si>
    <t>Shunfeng</t>
  </si>
  <si>
    <t>Minjiaaa</t>
  </si>
  <si>
    <t>tao_mi</t>
  </si>
  <si>
    <t>Square</t>
  </si>
  <si>
    <t>Nicky</t>
  </si>
  <si>
    <t>miguelmac</t>
  </si>
  <si>
    <t>nickyfoto@gmail.com</t>
  </si>
  <si>
    <t>Qiang Huang</t>
  </si>
  <si>
    <t>angelfw</t>
  </si>
  <si>
    <t>fwang</t>
  </si>
  <si>
    <t>飞飞</t>
  </si>
  <si>
    <t>nyu_ldf</t>
  </si>
  <si>
    <t>pingjing@gmail.com</t>
  </si>
  <si>
    <t>rBao</t>
  </si>
  <si>
    <t>oaixuroab</t>
  </si>
  <si>
    <t>CQU</t>
  </si>
  <si>
    <t>baoruxiao@gmail.com</t>
  </si>
  <si>
    <t>Ruxiao Bao</t>
  </si>
  <si>
    <t>bill</t>
  </si>
  <si>
    <t>billhehe</t>
  </si>
  <si>
    <t>茂林</t>
  </si>
  <si>
    <t>绕着河跑</t>
  </si>
  <si>
    <t>uilnauyis_DP</t>
  </si>
  <si>
    <t>Allan.W</t>
  </si>
  <si>
    <t>XimiW</t>
  </si>
  <si>
    <t>Wes</t>
  </si>
  <si>
    <t>znhy</t>
  </si>
  <si>
    <t>JSTM2022</t>
  </si>
  <si>
    <t>珍珍啊啊啊</t>
  </si>
  <si>
    <t>AulySun</t>
  </si>
  <si>
    <t>曹晨星</t>
  </si>
  <si>
    <t>Courtmouse</t>
  </si>
  <si>
    <t>hzccx94@gmail.com</t>
  </si>
  <si>
    <t>顾云志</t>
  </si>
  <si>
    <t>pang-zi-ai-chui-niu</t>
  </si>
  <si>
    <t>abawlau</t>
  </si>
  <si>
    <t>Luhan Wen</t>
  </si>
  <si>
    <t>LuhanwNEU</t>
  </si>
  <si>
    <t>27rabbitlt</t>
  </si>
  <si>
    <t>Luffy</t>
  </si>
  <si>
    <t>WRWRW</t>
  </si>
  <si>
    <t>kqe2705@gmail.com</t>
  </si>
  <si>
    <t>Weiran Lin</t>
  </si>
  <si>
    <t>曙光磁铁</t>
  </si>
  <si>
    <t>dawnmagnet</t>
  </si>
  <si>
    <t>trick</t>
  </si>
  <si>
    <t>ZJU_Rookie</t>
  </si>
  <si>
    <t>Gavin</t>
  </si>
  <si>
    <t>gavinangelo</t>
  </si>
  <si>
    <t>三月的炸虾</t>
  </si>
  <si>
    <t>PEIZIJIAN001</t>
  </si>
  <si>
    <t>鸡蛋灌饼加俩肠</t>
  </si>
  <si>
    <t>风向决定发型</t>
  </si>
  <si>
    <t>Xiangcan</t>
  </si>
  <si>
    <t>UIUC</t>
  </si>
  <si>
    <r>
      <rPr>
        <sz val="11"/>
        <color rgb="FFFF0000"/>
        <rFont val="PingFang SC"/>
        <family val="2"/>
      </rPr>
      <t>李祥粲</t>
    </r>
    <r>
      <rPr>
        <sz val="11"/>
        <color rgb="FFFF0000"/>
        <rFont val="Calibri"/>
        <charset val="1"/>
      </rPr>
      <t xml:space="preserve">, </t>
    </r>
  </si>
  <si>
    <t>maggie_ruimin_zhao</t>
  </si>
  <si>
    <t>童言</t>
  </si>
  <si>
    <t>ytongxx</t>
  </si>
  <si>
    <t>方</t>
  </si>
  <si>
    <t>feibonaqixu</t>
  </si>
  <si>
    <t>mxc</t>
  </si>
  <si>
    <t>mxc3</t>
  </si>
  <si>
    <r>
      <rPr>
        <sz val="11"/>
        <color rgb="FFFF0000"/>
        <rFont val="PingFang SC"/>
        <family val="2"/>
      </rPr>
      <t>阿</t>
    </r>
    <r>
      <rPr>
        <sz val="11"/>
        <color rgb="FFFF0000"/>
        <rFont val="Calibri"/>
        <charset val="1"/>
      </rPr>
      <t>sa</t>
    </r>
  </si>
  <si>
    <t>yuuinlc</t>
  </si>
  <si>
    <t>trder</t>
  </si>
  <si>
    <t>ak-bot</t>
  </si>
  <si>
    <t>JohnsonMrBear</t>
  </si>
  <si>
    <t>Johnsonxiong</t>
  </si>
  <si>
    <t>五颜六色的白</t>
  </si>
  <si>
    <t>bugmaker2</t>
  </si>
  <si>
    <t>渡边英明</t>
  </si>
  <si>
    <t>Sato_Ken</t>
  </si>
  <si>
    <t>sudan9527@gmail.com</t>
  </si>
  <si>
    <t>褚晓芳</t>
  </si>
  <si>
    <t>Meerka_</t>
  </si>
  <si>
    <t>Betty Liang</t>
  </si>
  <si>
    <t>BettyLiang</t>
  </si>
  <si>
    <t>Mestalla</t>
  </si>
  <si>
    <t>user1679lR</t>
  </si>
  <si>
    <t>Chloe^ipi</t>
  </si>
  <si>
    <t>atom-w94l9</t>
  </si>
  <si>
    <t>v-ger</t>
  </si>
  <si>
    <t>wqyang@bu.edu</t>
  </si>
  <si>
    <t>群友最近没啥刷题的热情 水平也没啥进步 准备退群了。感恩群友们两年多的陪伴。</t>
  </si>
  <si>
    <t>user2550l</t>
  </si>
  <si>
    <t>最近要毕业了，去加拿大一个小厂上班。感谢群友们的陪伴，今年没能在美国找到工作，之后在加拿大，群友们去多伦多的话请你们吃饭。再次感谢群友们陪伴！</t>
  </si>
  <si>
    <t>btcmoon</t>
  </si>
  <si>
    <t>群主你好 群友最近期末季 美国大学的考试有点太扎实了 所以先退群几周</t>
  </si>
  <si>
    <t>丁瑞</t>
  </si>
  <si>
    <t>sfburui</t>
  </si>
  <si>
    <t>柯南</t>
  </si>
  <si>
    <t>goodstudyqaq</t>
  </si>
  <si>
    <t>luhua</t>
  </si>
  <si>
    <t>bangbangwo</t>
  </si>
  <si>
    <t>韩志鹏</t>
  </si>
  <si>
    <t>OneDirection</t>
  </si>
  <si>
    <t>hanzhipeng9@gmail.com</t>
  </si>
  <si>
    <t>李润泽</t>
  </si>
  <si>
    <t>a397704290</t>
  </si>
  <si>
    <t>ZhastDoIT</t>
  </si>
  <si>
    <t>zhastdoit</t>
  </si>
  <si>
    <t>Kurt</t>
  </si>
  <si>
    <t>kaiteli14</t>
  </si>
  <si>
    <t>Northrop</t>
  </si>
  <si>
    <t>nafnil</t>
  </si>
  <si>
    <t>冯文龙</t>
  </si>
  <si>
    <t>algorithm_man</t>
  </si>
  <si>
    <t>THU/NYU</t>
  </si>
  <si>
    <t>zgtmy</t>
  </si>
  <si>
    <t>SAS</t>
  </si>
  <si>
    <t>taimingyang1993@gmail.com</t>
  </si>
  <si>
    <t>找了个小公司工作，想着全身心工作一下</t>
  </si>
  <si>
    <r>
      <rPr>
        <sz val="11"/>
        <color rgb="FFFF0000"/>
        <rFont val="Calibri"/>
        <charset val="1"/>
      </rPr>
      <t>C.</t>
    </r>
    <r>
      <rPr>
        <sz val="11"/>
        <color rgb="FFFF0000"/>
        <rFont val="PingFang SC"/>
        <family val="2"/>
      </rPr>
      <t>琦烨</t>
    </r>
  </si>
  <si>
    <t>qiye_tan</t>
  </si>
  <si>
    <t>Aniurm</t>
  </si>
  <si>
    <t>aniurm35</t>
  </si>
  <si>
    <r>
      <t>小波</t>
    </r>
    <r>
      <rPr>
        <sz val="11"/>
        <color rgb="FFFF0000"/>
        <rFont val="Calibri"/>
        <charset val="1"/>
      </rPr>
      <t>669</t>
    </r>
  </si>
  <si>
    <t>WR8b4gv7</t>
  </si>
  <si>
    <t>LeaFZ96</t>
  </si>
  <si>
    <t>leafzhang714@gmail.com</t>
  </si>
  <si>
    <t>张立夫</t>
  </si>
  <si>
    <t>游成夏</t>
  </si>
  <si>
    <t>cy171</t>
  </si>
  <si>
    <t>tjwyztjwyz</t>
  </si>
  <si>
    <t>最近工作上压力有点大</t>
  </si>
  <si>
    <t>LeetCoding_Pro</t>
  </si>
  <si>
    <t>王聪</t>
  </si>
  <si>
    <t>wyjsdpku</t>
  </si>
  <si>
    <t>MIT</t>
  </si>
  <si>
    <t>farmerswrap</t>
  </si>
  <si>
    <t>Disney</t>
  </si>
  <si>
    <t>林浩</t>
  </si>
  <si>
    <t>Marvelousp4</t>
  </si>
  <si>
    <t>Kitther</t>
  </si>
  <si>
    <t>kitther</t>
  </si>
  <si>
    <t>Tbotc</t>
  </si>
  <si>
    <t>pandaforever</t>
  </si>
  <si>
    <t>Aileen</t>
  </si>
  <si>
    <t>azhang12</t>
  </si>
  <si>
    <t>最近周赛的时间都比较忙先退一阵子</t>
  </si>
  <si>
    <t>小小</t>
  </si>
  <si>
    <t>HelloKitty_CA</t>
  </si>
  <si>
    <t>我去欧洲旅行两周，暂时先退个群，旅行完回来再见了。</t>
  </si>
  <si>
    <t>Kaiyu Ma</t>
  </si>
  <si>
    <t>frankmkmk1</t>
  </si>
  <si>
    <t>Minyi Lin</t>
  </si>
  <si>
    <t>lyi29512</t>
  </si>
  <si>
    <t>minyilin0107</t>
  </si>
  <si>
    <t/>
  </si>
  <si>
    <t>UK</t>
  </si>
  <si>
    <t>怎么会事呢</t>
  </si>
  <si>
    <t>zapkmsd</t>
  </si>
  <si>
    <t>Kai</t>
  </si>
  <si>
    <t>Tyrande</t>
  </si>
  <si>
    <t>njuhekai@gmail.com</t>
  </si>
  <si>
    <t>endlesscheng</t>
  </si>
  <si>
    <t>cheng.endless@gmail.com</t>
  </si>
  <si>
    <t>Cheng Y.</t>
  </si>
  <si>
    <t xml:space="preserve">云 </t>
  </si>
  <si>
    <t>fsyun</t>
  </si>
  <si>
    <t>feishenyun@gmail.com</t>
  </si>
  <si>
    <t>Feishen Yun</t>
  </si>
  <si>
    <t>杨晓萌</t>
  </si>
  <si>
    <t>yangxm</t>
  </si>
  <si>
    <t>shuohe</t>
  </si>
  <si>
    <t>kkk</t>
  </si>
  <si>
    <t>JackSmith0710</t>
  </si>
  <si>
    <t>wisdompduck</t>
  </si>
  <si>
    <t>annoyingpatrick</t>
  </si>
  <si>
    <t>Nvidia</t>
  </si>
  <si>
    <t>Yawn_Sean</t>
  </si>
  <si>
    <t>钰娘娘</t>
  </si>
  <si>
    <t>yu-niang-niang</t>
  </si>
  <si>
    <t>Tony</t>
  </si>
  <si>
    <t>PhoenixAltria</t>
  </si>
  <si>
    <t>zzr</t>
  </si>
  <si>
    <t>meyi</t>
  </si>
  <si>
    <t>Endless</t>
  </si>
  <si>
    <t>1743157835@qq.com</t>
  </si>
  <si>
    <t>Larissa</t>
  </si>
  <si>
    <t>larissatanqian</t>
  </si>
  <si>
    <t>wxxlouisa</t>
  </si>
  <si>
    <t>Zero</t>
  </si>
  <si>
    <t>furuyarei</t>
  </si>
  <si>
    <t>摩尔曼斯克企鹅</t>
  </si>
  <si>
    <t>user7754K</t>
  </si>
  <si>
    <t>lrcwxy</t>
  </si>
  <si>
    <t>deepli, lawrencewxy</t>
  </si>
  <si>
    <t>Meta</t>
  </si>
  <si>
    <t>吱吱</t>
  </si>
  <si>
    <t>zhi-zhi</t>
  </si>
  <si>
    <t>YuanFuDao</t>
  </si>
  <si>
    <t>Confluent</t>
  </si>
  <si>
    <t>kaihong</t>
  </si>
  <si>
    <t>isKai</t>
  </si>
  <si>
    <t>烟花</t>
  </si>
  <si>
    <t>megurine</t>
  </si>
  <si>
    <t>cffinity@gmail.com</t>
  </si>
  <si>
    <t>熊海峰</t>
  </si>
  <si>
    <t>J-Mermaid</t>
  </si>
  <si>
    <t>mfk443838746</t>
  </si>
  <si>
    <t>Zoox</t>
  </si>
  <si>
    <t>mfk443838746@gmail.com</t>
  </si>
  <si>
    <t>Fangkai Ma</t>
  </si>
  <si>
    <t>z2dvWZDIvN</t>
  </si>
  <si>
    <t>OneSwordWestWindCome</t>
  </si>
  <si>
    <t>sola</t>
  </si>
  <si>
    <t>faibzlz</t>
  </si>
  <si>
    <t>zegnog</t>
  </si>
  <si>
    <t>Zardinality</t>
  </si>
  <si>
    <t>asxaqz2@gmail.com</t>
  </si>
  <si>
    <t xml:space="preserve">
Gongze Cao, Time-limit-exceed</t>
  </si>
  <si>
    <t>zrts</t>
  </si>
  <si>
    <t>佳期投资</t>
  </si>
  <si>
    <t>ruotianruotian@googlemail.com</t>
  </si>
  <si>
    <t>uauawi</t>
  </si>
  <si>
    <t>haruhiui</t>
  </si>
  <si>
    <t>haruhiui.clover@gmail.com</t>
  </si>
  <si>
    <t>小健</t>
  </si>
  <si>
    <t>xiaojian9527</t>
  </si>
  <si>
    <t>Starburst Data</t>
  </si>
  <si>
    <t>Roger</t>
  </si>
  <si>
    <t>hf_fl_09</t>
  </si>
  <si>
    <t>Lance</t>
  </si>
  <si>
    <t>mcstone</t>
  </si>
  <si>
    <t>lance_suen@icloud.com</t>
  </si>
  <si>
    <t>_otto</t>
  </si>
  <si>
    <t>yiwenli98623</t>
  </si>
  <si>
    <t>gauss789</t>
  </si>
  <si>
    <t>麻麻</t>
  </si>
  <si>
    <t>mamahhh</t>
  </si>
  <si>
    <t>Randy Tan</t>
  </si>
  <si>
    <t>randytanpty</t>
  </si>
  <si>
    <r>
      <t>SKD</t>
    </r>
    <r>
      <rPr>
        <sz val="11"/>
        <color rgb="FFFF0000"/>
        <rFont val="PingFang SC"/>
        <family val="2"/>
        <charset val="1"/>
      </rPr>
      <t>真勤快</t>
    </r>
  </si>
  <si>
    <t>眺望地平线</t>
  </si>
  <si>
    <t>nK7WNyyDON</t>
  </si>
  <si>
    <t>小猪朱大耗子</t>
  </si>
  <si>
    <t>cybertan0349</t>
  </si>
  <si>
    <t>haz027</t>
  </si>
  <si>
    <t>我</t>
  </si>
  <si>
    <t>user5246n</t>
  </si>
  <si>
    <t>SHEN</t>
  </si>
  <si>
    <t>lily_shen</t>
  </si>
  <si>
    <t>Huiqiang Jiang</t>
  </si>
  <si>
    <t>iofu728</t>
  </si>
  <si>
    <t>jhq@pku.edu.cn</t>
  </si>
  <si>
    <t>Commonwealth bank of Australia</t>
  </si>
  <si>
    <t>Wayne Jiang</t>
  </si>
  <si>
    <t>wayjiang</t>
  </si>
  <si>
    <t>user1017w</t>
  </si>
  <si>
    <t>sssssummer</t>
  </si>
  <si>
    <t>591313782zb@gmail.com</t>
  </si>
  <si>
    <t>sunsq</t>
  </si>
  <si>
    <t>晴</t>
  </si>
  <si>
    <t>susansun1110</t>
  </si>
  <si>
    <t>zj4499</t>
  </si>
  <si>
    <t>Barely</t>
  </si>
  <si>
    <t>zhangsz1998</t>
  </si>
  <si>
    <t>RedNote</t>
  </si>
  <si>
    <t>zhangshangzhio@gmail.com</t>
  </si>
  <si>
    <t>tyrande</t>
  </si>
  <si>
    <t>Melo</t>
  </si>
  <si>
    <t>applebeeble</t>
  </si>
  <si>
    <t>felt</t>
  </si>
  <si>
    <t>dingmingcheng1</t>
  </si>
  <si>
    <t>Mike</t>
  </si>
  <si>
    <t>mikeac</t>
  </si>
  <si>
    <t>ch</t>
  </si>
  <si>
    <t>Travolta</t>
  </si>
  <si>
    <t>民乐自然</t>
  </si>
  <si>
    <t>Emily Liu</t>
  </si>
  <si>
    <t>zfle_tvlx</t>
  </si>
  <si>
    <t>chacha</t>
  </si>
  <si>
    <t>Lucipher</t>
  </si>
  <si>
    <t>蹦蹦跳</t>
  </si>
  <si>
    <t>potatoyy</t>
  </si>
  <si>
    <t>potatoY</t>
  </si>
  <si>
    <t>张凯杰</t>
  </si>
  <si>
    <t>Andy0315</t>
  </si>
  <si>
    <t>kaijie_zhang</t>
  </si>
  <si>
    <t>OM14</t>
  </si>
  <si>
    <t>OneMore14</t>
  </si>
  <si>
    <t>IBM</t>
  </si>
  <si>
    <t>大可</t>
  </si>
  <si>
    <t>shannonl</t>
  </si>
  <si>
    <t>Arista Networks</t>
  </si>
  <si>
    <t>94l9Ruf6FK</t>
  </si>
  <si>
    <t>DW</t>
  </si>
  <si>
    <t>math666999</t>
  </si>
  <si>
    <t>nnnatsuu</t>
  </si>
  <si>
    <t>AntGroup</t>
  </si>
  <si>
    <t>Edi</t>
  </si>
  <si>
    <t>SuperEdi</t>
  </si>
  <si>
    <t>Q2PPSElacY</t>
  </si>
  <si>
    <t>不刷不爽斯基</t>
  </si>
  <si>
    <t>luckyboylxc</t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</si>
  <si>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4934</t>
    </r>
    <r>
      <rPr>
        <sz val="11"/>
        <color rgb="FF000000"/>
        <rFont val="PingFang SC"/>
        <family val="2"/>
      </rPr>
      <t>）</t>
    </r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</si>
  <si>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4385</t>
    </r>
    <r>
      <rPr>
        <sz val="11"/>
        <color rgb="FF000000"/>
        <rFont val="PingFang SC"/>
        <family val="2"/>
      </rPr>
      <t>）</t>
    </r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</si>
  <si>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4160</t>
    </r>
    <r>
      <rPr>
        <sz val="11"/>
        <color rgb="FF000000"/>
        <rFont val="PingFang SC"/>
        <family val="2"/>
      </rPr>
      <t>）</t>
    </r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</si>
  <si>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3579</t>
    </r>
    <r>
      <rPr>
        <sz val="11"/>
        <color rgb="FF000000"/>
        <rFont val="PingFang SC"/>
        <family val="2"/>
      </rPr>
      <t>）</t>
    </r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</si>
  <si>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3523</t>
    </r>
    <r>
      <rPr>
        <sz val="11"/>
        <color rgb="FF000000"/>
        <rFont val="PingFang SC"/>
        <family val="2"/>
      </rPr>
      <t>）</t>
    </r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</si>
  <si>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3068</t>
    </r>
    <r>
      <rPr>
        <sz val="11"/>
        <color rgb="FF000000"/>
        <rFont val="PingFang SC"/>
        <family val="2"/>
      </rPr>
      <t>）</t>
    </r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</si>
  <si>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3711</t>
    </r>
    <r>
      <rPr>
        <sz val="11"/>
        <color rgb="FF000000"/>
        <rFont val="PingFang SC"/>
        <family val="2"/>
      </rPr>
      <t>）</t>
    </r>
  </si>
  <si>
    <r>
      <rPr>
        <sz val="11"/>
        <color rgb="FF000000"/>
        <rFont val="PingFang SC"/>
        <family val="2"/>
      </rPr>
      <t>（</t>
    </r>
    <r>
      <rPr>
        <sz val="11"/>
        <color rgb="FF000000"/>
        <rFont val="Calibri"/>
        <family val="2"/>
        <charset val="1"/>
      </rPr>
      <t>3652</t>
    </r>
    <r>
      <rPr>
        <sz val="11"/>
        <color rgb="FF000000"/>
        <rFont val="PingFang SC"/>
        <family val="2"/>
      </rPr>
      <t>）</t>
    </r>
  </si>
  <si>
    <t>Score</t>
  </si>
  <si>
    <t>-</t>
  </si>
  <si>
    <t>O</t>
  </si>
  <si>
    <t>Ansonluo</t>
  </si>
  <si>
    <t>betty</t>
  </si>
  <si>
    <t>jianzhun</t>
  </si>
  <si>
    <t>galiniunan</t>
  </si>
  <si>
    <t>X.Zhao</t>
  </si>
  <si>
    <r>
      <rPr>
        <sz val="11"/>
        <color rgb="FFFF0000"/>
        <rFont val="Calibri"/>
        <family val="2"/>
        <charset val="1"/>
      </rPr>
      <t xml:space="preserve">Zac </t>
    </r>
    <r>
      <rPr>
        <sz val="11"/>
        <color rgb="FFFF0000"/>
        <rFont val="PingFang SC"/>
        <family val="2"/>
      </rPr>
      <t>謙</t>
    </r>
  </si>
  <si>
    <t>qiusi315</t>
  </si>
  <si>
    <t>刘昊然</t>
  </si>
  <si>
    <t>krain033</t>
  </si>
  <si>
    <r>
      <rPr>
        <sz val="11"/>
        <color rgb="FF000000"/>
        <rFont val="Calibri"/>
        <family val="2"/>
        <charset val="1"/>
      </rPr>
      <t>leet</t>
    </r>
    <r>
      <rPr>
        <sz val="11"/>
        <color rgb="FF000000"/>
        <rFont val="PingFang SC"/>
        <family val="2"/>
      </rPr>
      <t>扣绿钻</t>
    </r>
  </si>
  <si>
    <r>
      <rPr>
        <sz val="11"/>
        <color rgb="FF000000"/>
        <rFont val="Calibri"/>
        <family val="2"/>
        <charset val="1"/>
      </rPr>
      <t>Aaron_</t>
    </r>
    <r>
      <rPr>
        <sz val="11"/>
        <color rgb="FF000000"/>
        <rFont val="PingFang SC"/>
        <family val="2"/>
      </rPr>
      <t>施晓彤</t>
    </r>
  </si>
  <si>
    <r>
      <rPr>
        <sz val="11"/>
        <color rgb="FFFF0000"/>
        <rFont val="Calibri"/>
        <family val="2"/>
        <charset val="1"/>
      </rPr>
      <t>YY</t>
    </r>
    <r>
      <rPr>
        <sz val="11"/>
        <color rgb="FFFF0000"/>
        <rFont val="PingFang SC"/>
        <family val="2"/>
      </rPr>
      <t>一条街</t>
    </r>
  </si>
  <si>
    <r>
      <rPr>
        <sz val="11"/>
        <color rgb="FFFF0000"/>
        <rFont val="PingFang SC"/>
        <family val="2"/>
      </rPr>
      <t>陈伟嘉</t>
    </r>
    <r>
      <rPr>
        <sz val="11"/>
        <color rgb="FFFF0000"/>
        <rFont val="Calibri"/>
        <family val="2"/>
        <charset val="1"/>
      </rPr>
      <t>Victor</t>
    </r>
  </si>
  <si>
    <r>
      <rPr>
        <sz val="11"/>
        <color rgb="FFFF0000"/>
        <rFont val="Calibri"/>
        <family val="2"/>
        <charset val="1"/>
      </rPr>
      <t>flushing</t>
    </r>
    <r>
      <rPr>
        <sz val="11"/>
        <color rgb="FFFF0000"/>
        <rFont val="PingFang SC"/>
        <family val="2"/>
      </rPr>
      <t>小当家</t>
    </r>
  </si>
  <si>
    <r>
      <rPr>
        <sz val="11"/>
        <color rgb="FFFF0000"/>
        <rFont val="Calibri"/>
        <family val="2"/>
        <charset val="1"/>
      </rPr>
      <t>Phoenix</t>
    </r>
    <r>
      <rPr>
        <sz val="11"/>
        <color rgb="FFFF0000"/>
        <rFont val="PingFang SC"/>
        <family val="2"/>
      </rPr>
      <t>大飞</t>
    </r>
  </si>
  <si>
    <r>
      <rPr>
        <sz val="11"/>
        <color rgb="FFFF0000"/>
        <rFont val="PingFang SC"/>
        <family val="2"/>
      </rPr>
      <t>寻找</t>
    </r>
    <r>
      <rPr>
        <sz val="11"/>
        <color rgb="FFFF0000"/>
        <rFont val="Calibri"/>
        <family val="2"/>
        <charset val="1"/>
      </rPr>
      <t>L</t>
    </r>
    <r>
      <rPr>
        <sz val="11"/>
        <color rgb="FFFF0000"/>
        <rFont val="PingFang SC"/>
        <family val="2"/>
      </rPr>
      <t>先森</t>
    </r>
  </si>
  <si>
    <r>
      <t>leet</t>
    </r>
    <r>
      <rPr>
        <sz val="11"/>
        <color rgb="FF000000"/>
        <rFont val="PingFang SC"/>
        <family val="2"/>
      </rPr>
      <t>扣绿钻</t>
    </r>
  </si>
  <si>
    <r>
      <t>A</t>
    </r>
    <r>
      <rPr>
        <sz val="11"/>
        <color rgb="FF000000"/>
        <rFont val="PingFang SC"/>
        <family val="2"/>
      </rPr>
      <t>杨习艺</t>
    </r>
  </si>
  <si>
    <r>
      <t>津铭</t>
    </r>
    <r>
      <rPr>
        <sz val="11"/>
        <color rgb="FF000000"/>
        <rFont val="Calibri"/>
        <family val="2"/>
        <charset val="1"/>
      </rPr>
      <t>Conan</t>
    </r>
  </si>
  <si>
    <r>
      <t>YY</t>
    </r>
    <r>
      <rPr>
        <sz val="11"/>
        <color rgb="FF000000"/>
        <rFont val="PingFang SC"/>
        <family val="2"/>
      </rPr>
      <t>一条街</t>
    </r>
  </si>
  <si>
    <t>茂林hage</t>
  </si>
  <si>
    <r>
      <t>Phoenix</t>
    </r>
    <r>
      <rPr>
        <sz val="11"/>
        <color rgb="FF000000"/>
        <rFont val="PingFang SC"/>
        <family val="2"/>
      </rPr>
      <t>大飞</t>
    </r>
  </si>
  <si>
    <r>
      <rPr>
        <sz val="11"/>
        <color rgb="FFFF0000"/>
        <rFont val="Noto sans cjk sc regular"/>
        <charset val="1"/>
      </rPr>
      <t>Ag</t>
    </r>
    <r>
      <rPr>
        <sz val="11"/>
        <color rgb="FFFF0000"/>
        <rFont val="PingFang SC"/>
        <family val="2"/>
      </rPr>
      <t>银</t>
    </r>
  </si>
  <si>
    <r>
      <rPr>
        <sz val="11"/>
        <color rgb="FFFF0000"/>
        <rFont val="Noto sans cjk sc regular"/>
        <charset val="1"/>
      </rPr>
      <t>August</t>
    </r>
    <r>
      <rPr>
        <sz val="11"/>
        <color rgb="FFFF0000"/>
        <rFont val="PingFang SC"/>
        <family val="2"/>
      </rPr>
      <t>八八八</t>
    </r>
  </si>
  <si>
    <r>
      <rPr>
        <sz val="11"/>
        <color rgb="FFFF0000"/>
        <rFont val="PingFang SC"/>
        <family val="2"/>
      </rPr>
      <t>王</t>
    </r>
    <r>
      <rPr>
        <sz val="11"/>
        <color rgb="FFFF0000"/>
        <rFont val="Calibri"/>
        <charset val="1"/>
      </rPr>
      <t>ty</t>
    </r>
  </si>
  <si>
    <r>
      <rPr>
        <sz val="11"/>
        <color rgb="FFFF0000"/>
        <rFont val="PingFang SC"/>
        <family val="2"/>
      </rPr>
      <t>苏苏苏</t>
    </r>
    <r>
      <rPr>
        <sz val="11"/>
        <color rgb="FFFF0000"/>
        <rFont val="Calibri"/>
        <family val="2"/>
        <charset val="1"/>
      </rPr>
      <t>key</t>
    </r>
  </si>
  <si>
    <r>
      <t xml:space="preserve">Zac </t>
    </r>
    <r>
      <rPr>
        <sz val="11"/>
        <color rgb="FF000000"/>
        <rFont val="PingFang SC"/>
        <family val="2"/>
      </rPr>
      <t>謙</t>
    </r>
  </si>
  <si>
    <t>猫生大病需要照顾</t>
  </si>
  <si>
    <r>
      <t>陈伟嘉</t>
    </r>
    <r>
      <rPr>
        <sz val="11"/>
        <color rgb="FF0070C0"/>
        <rFont val="Calibri"/>
        <family val="2"/>
        <charset val="1"/>
      </rPr>
      <t>Victor</t>
    </r>
  </si>
  <si>
    <r>
      <t>鸡</t>
    </r>
    <r>
      <rPr>
        <sz val="11"/>
        <color rgb="FF4472C4"/>
        <rFont val="Calibri"/>
        <charset val="1"/>
      </rPr>
      <t>-lil</t>
    </r>
  </si>
  <si>
    <r>
      <t>y</t>
    </r>
    <r>
      <rPr>
        <sz val="11"/>
        <color rgb="FF000000"/>
        <rFont val="PingFang SC"/>
        <family val="2"/>
      </rPr>
      <t>方等于</t>
    </r>
    <r>
      <rPr>
        <sz val="11"/>
        <color rgb="FF000000"/>
        <rFont val="Calibri"/>
        <family val="2"/>
        <charset val="1"/>
      </rPr>
      <t>4x</t>
    </r>
  </si>
  <si>
    <t>今天我写bug了吗</t>
  </si>
  <si>
    <r>
      <rPr>
        <sz val="11"/>
        <color rgb="FFFF0000"/>
        <rFont val="Calibri"/>
        <family val="2"/>
        <charset val="1"/>
      </rPr>
      <t xml:space="preserve">Castling </t>
    </r>
    <r>
      <rPr>
        <sz val="11"/>
        <color rgb="FFFF0000"/>
        <rFont val="PingFang SC"/>
        <family val="2"/>
      </rPr>
      <t>劳</t>
    </r>
  </si>
  <si>
    <r>
      <t>苏苏苏</t>
    </r>
    <r>
      <rPr>
        <sz val="11"/>
        <color theme="4"/>
        <rFont val="Calibri"/>
        <family val="2"/>
        <charset val="1"/>
      </rPr>
      <t>key</t>
    </r>
  </si>
  <si>
    <r>
      <rPr>
        <sz val="11"/>
        <color rgb="FFFF0000"/>
        <rFont val="PingFang SC"/>
        <family val="2"/>
      </rPr>
      <t>手机用户</t>
    </r>
    <r>
      <rPr>
        <sz val="11"/>
        <color rgb="FFFF0000"/>
        <rFont val="Calibri"/>
        <charset val="1"/>
      </rPr>
      <t>47</t>
    </r>
  </si>
  <si>
    <r>
      <t>寻找</t>
    </r>
    <r>
      <rPr>
        <sz val="11"/>
        <color theme="1"/>
        <rFont val="Calibri"/>
        <family val="2"/>
        <charset val="1"/>
      </rPr>
      <t>L</t>
    </r>
    <r>
      <rPr>
        <sz val="11"/>
        <color theme="1"/>
        <rFont val="PingFang SC"/>
        <family val="2"/>
      </rPr>
      <t>先森</t>
    </r>
  </si>
  <si>
    <r>
      <t>flusing</t>
    </r>
    <r>
      <rPr>
        <sz val="11"/>
        <color theme="4"/>
        <rFont val="PingFang SC"/>
        <family val="2"/>
      </rPr>
      <t>小当家</t>
    </r>
  </si>
  <si>
    <t>雷锋lfss</t>
  </si>
  <si>
    <r>
      <rPr>
        <sz val="11"/>
        <color rgb="FFFF0000"/>
        <rFont val="PingFang SC"/>
        <family val="2"/>
      </rPr>
      <t>剌瑞</t>
    </r>
    <r>
      <rPr>
        <sz val="11"/>
        <color rgb="FFFF0000"/>
        <rFont val="Noto sans cjk sc"/>
        <charset val="1"/>
      </rPr>
      <t>larry</t>
    </r>
  </si>
  <si>
    <r>
      <rPr>
        <sz val="11"/>
        <color rgb="FFFF0000"/>
        <rFont val="Calibri"/>
        <family val="2"/>
        <charset val="1"/>
      </rPr>
      <t>leet</t>
    </r>
    <r>
      <rPr>
        <sz val="11"/>
        <color rgb="FFFF0000"/>
        <rFont val="PingFang SC"/>
        <family val="2"/>
      </rPr>
      <t>扣绿钻</t>
    </r>
  </si>
  <si>
    <r>
      <t xml:space="preserve">Castling </t>
    </r>
    <r>
      <rPr>
        <sz val="11"/>
        <color theme="1"/>
        <rFont val="PingFang SC"/>
        <family val="2"/>
      </rPr>
      <t>劳</t>
    </r>
  </si>
  <si>
    <r>
      <rPr>
        <sz val="11"/>
        <color rgb="FFFF0000"/>
        <rFont val="Calibri"/>
        <charset val="1"/>
      </rPr>
      <t>wyt</t>
    </r>
    <r>
      <rPr>
        <sz val="11"/>
        <color rgb="FFFF0000"/>
        <rFont val="PingFang SC"/>
        <family val="2"/>
      </rPr>
      <t>今天早睡了吗</t>
    </r>
  </si>
  <si>
    <r>
      <rPr>
        <sz val="11"/>
        <color rgb="FFFF0000"/>
        <rFont val="Calibri"/>
        <family val="2"/>
        <charset val="1"/>
      </rPr>
      <t>SKD</t>
    </r>
    <r>
      <rPr>
        <sz val="11"/>
        <color rgb="FFFF0000"/>
        <rFont val="PingFang SC"/>
        <family val="2"/>
      </rPr>
      <t>真勤快</t>
    </r>
  </si>
  <si>
    <r>
      <rPr>
        <sz val="11"/>
        <color rgb="FFFF0000"/>
        <rFont val="PingFang SC"/>
        <family val="2"/>
      </rPr>
      <t>耀民</t>
    </r>
    <r>
      <rPr>
        <sz val="11"/>
        <color rgb="FFFF0000"/>
        <rFont val="Calibri"/>
        <family val="2"/>
        <charset val="1"/>
      </rPr>
      <t>Allen</t>
    </r>
  </si>
  <si>
    <r>
      <rPr>
        <sz val="11"/>
        <color rgb="FFFF0000"/>
        <rFont val="PingFang SC"/>
        <family val="2"/>
      </rPr>
      <t>布拉德</t>
    </r>
    <r>
      <rPr>
        <sz val="11"/>
        <color rgb="FFFF0000"/>
        <rFont val="Calibri"/>
        <family val="2"/>
        <charset val="1"/>
      </rPr>
      <t>hgq</t>
    </r>
  </si>
  <si>
    <r>
      <rPr>
        <sz val="11"/>
        <color rgb="FFFF0000"/>
        <rFont val="Calibri"/>
        <family val="2"/>
        <charset val="1"/>
      </rPr>
      <t xml:space="preserve">Ryan </t>
    </r>
    <r>
      <rPr>
        <sz val="11"/>
        <color rgb="FFFF0000"/>
        <rFont val="PingFang SC"/>
        <family val="2"/>
      </rPr>
      <t>李</t>
    </r>
  </si>
  <si>
    <t>小波669</t>
  </si>
  <si>
    <r>
      <rPr>
        <sz val="11"/>
        <color rgb="FFFF0000"/>
        <rFont val="Calibri"/>
        <family val="2"/>
        <charset val="1"/>
      </rPr>
      <t xml:space="preserve">dataminr </t>
    </r>
    <r>
      <rPr>
        <sz val="11"/>
        <color rgb="FFFF0000"/>
        <rFont val="PingFang SC"/>
        <family val="2"/>
      </rPr>
      <t>实习</t>
    </r>
  </si>
  <si>
    <r>
      <rPr>
        <sz val="11"/>
        <color rgb="FFFF0000"/>
        <rFont val="PingFang SC"/>
        <family val="2"/>
      </rPr>
      <t xml:space="preserve">于可 </t>
    </r>
    <r>
      <rPr>
        <sz val="11"/>
        <color rgb="FFFF0000"/>
        <rFont val="Calibri"/>
        <family val="2"/>
        <charset val="1"/>
      </rPr>
      <t>Peter</t>
    </r>
  </si>
  <si>
    <r>
      <rPr>
        <sz val="11"/>
        <color rgb="FFFF0000"/>
        <rFont val="PingFang SC"/>
        <family val="2"/>
      </rPr>
      <t>秦</t>
    </r>
    <r>
      <rPr>
        <sz val="11"/>
        <color rgb="FFFF0000"/>
        <rFont val="Calibri"/>
        <family val="2"/>
        <charset val="1"/>
      </rPr>
      <t>baibai</t>
    </r>
  </si>
  <si>
    <r>
      <rPr>
        <sz val="11"/>
        <color rgb="FFFF0000"/>
        <rFont val="PingFang SC"/>
        <family val="2"/>
      </rPr>
      <t>万园</t>
    </r>
    <r>
      <rPr>
        <sz val="11"/>
        <color rgb="FFFF0000"/>
        <rFont val="Calibri"/>
        <family val="2"/>
        <charset val="1"/>
      </rPr>
      <t>Tom</t>
    </r>
  </si>
  <si>
    <r>
      <rPr>
        <sz val="11"/>
        <color rgb="FFFF0000"/>
        <rFont val="Calibri"/>
        <family val="2"/>
        <charset val="1"/>
      </rPr>
      <t>Aaron_</t>
    </r>
    <r>
      <rPr>
        <sz val="11"/>
        <color rgb="FFFF0000"/>
        <rFont val="PingFang SC"/>
        <family val="2"/>
      </rPr>
      <t>施晓彤</t>
    </r>
  </si>
  <si>
    <r>
      <rPr>
        <sz val="11"/>
        <color rgb="FFFF0000"/>
        <rFont val="Calibri"/>
        <family val="2"/>
        <charset val="1"/>
      </rPr>
      <t>jianyi</t>
    </r>
    <r>
      <rPr>
        <sz val="11"/>
        <color rgb="FFFF0000"/>
        <rFont val="PingFang SC"/>
        <family val="2"/>
      </rPr>
      <t>可乐</t>
    </r>
  </si>
  <si>
    <r>
      <rPr>
        <sz val="11"/>
        <color rgb="FFCE181E"/>
        <rFont val="Calibri"/>
        <family val="2"/>
        <charset val="1"/>
      </rPr>
      <t>leet</t>
    </r>
    <r>
      <rPr>
        <sz val="11"/>
        <color rgb="FFCE181E"/>
        <rFont val="PingFang SC"/>
        <family val="2"/>
      </rPr>
      <t>扣绿钻</t>
    </r>
  </si>
  <si>
    <t>First</t>
  </si>
  <si>
    <t>Last</t>
  </si>
  <si>
    <t>Duration</t>
  </si>
  <si>
    <t>打卡</t>
  </si>
  <si>
    <t>零</t>
  </si>
  <si>
    <t>水群</t>
  </si>
  <si>
    <t>leo</t>
  </si>
  <si>
    <t>二进宫</t>
  </si>
  <si>
    <t>summer</t>
  </si>
  <si>
    <t>toyama</t>
  </si>
  <si>
    <r>
      <rPr>
        <sz val="11"/>
        <color rgb="FF000000"/>
        <rFont val="PingFang SC"/>
        <family val="2"/>
      </rPr>
      <t>苏苏苏</t>
    </r>
    <r>
      <rPr>
        <sz val="11"/>
        <color rgb="FF000000"/>
        <rFont val="Calibri"/>
        <charset val="1"/>
      </rPr>
      <t>key</t>
    </r>
  </si>
  <si>
    <t>test</t>
  </si>
  <si>
    <t>Q.A</t>
  </si>
  <si>
    <t>连坐</t>
  </si>
  <si>
    <t>R Hong</t>
  </si>
  <si>
    <t>Starseeker</t>
  </si>
  <si>
    <t>luke</t>
  </si>
  <si>
    <t>周赛</t>
  </si>
  <si>
    <t>whe</t>
  </si>
  <si>
    <t>好雨知时节</t>
  </si>
  <si>
    <t>ky</t>
  </si>
  <si>
    <t>长颈鹿</t>
  </si>
  <si>
    <t>祺雯</t>
  </si>
  <si>
    <t>Malik</t>
  </si>
  <si>
    <t>UPenn</t>
  </si>
  <si>
    <t>Wayfair</t>
  </si>
  <si>
    <r>
      <rPr>
        <sz val="11"/>
        <color rgb="FFFF0000"/>
        <rFont val="Calibri"/>
        <family val="2"/>
        <charset val="1"/>
      </rPr>
      <t>flusing</t>
    </r>
    <r>
      <rPr>
        <sz val="11"/>
        <color rgb="FFFF0000"/>
        <rFont val="PingFang SC"/>
        <family val="2"/>
      </rPr>
      <t>小当家</t>
    </r>
  </si>
  <si>
    <t>chu</t>
  </si>
  <si>
    <r>
      <rPr>
        <sz val="11"/>
        <color rgb="FFFF0000"/>
        <rFont val="Calibri"/>
        <family val="2"/>
        <charset val="1"/>
      </rPr>
      <t>A</t>
    </r>
    <r>
      <rPr>
        <sz val="11"/>
        <color rgb="FFFF0000"/>
        <rFont val="PingFang SC"/>
        <family val="2"/>
      </rPr>
      <t>杨习艺</t>
    </r>
  </si>
  <si>
    <t>竞赛分</t>
  </si>
  <si>
    <t>是否周赛长期垫底</t>
  </si>
  <si>
    <t>退群后是否仍在刷题</t>
  </si>
  <si>
    <t>2247</t>
  </si>
  <si>
    <t>否</t>
  </si>
  <si>
    <t>是</t>
  </si>
  <si>
    <t>1975</t>
  </si>
  <si>
    <t>2400</t>
  </si>
  <si>
    <t>1764</t>
  </si>
  <si>
    <t>是，但样本太少</t>
  </si>
  <si>
    <t>2017</t>
  </si>
  <si>
    <t>1434</t>
  </si>
  <si>
    <t>1577</t>
  </si>
  <si>
    <t>1664</t>
  </si>
  <si>
    <t>2078</t>
  </si>
  <si>
    <t>3443</t>
  </si>
  <si>
    <t>被封号</t>
  </si>
  <si>
    <t>azhang12（已回群）</t>
  </si>
  <si>
    <t>1503</t>
  </si>
  <si>
    <t>1894</t>
  </si>
  <si>
    <t>lxhgww（已回群）</t>
  </si>
  <si>
    <t>2694</t>
  </si>
  <si>
    <t>1448</t>
  </si>
  <si>
    <t>1535</t>
  </si>
  <si>
    <t>2092</t>
  </si>
  <si>
    <t>2079</t>
  </si>
  <si>
    <t>2353</t>
  </si>
  <si>
    <t>2372</t>
  </si>
  <si>
    <t>2094</t>
  </si>
  <si>
    <t>2004</t>
  </si>
  <si>
    <t>70%低于2100</t>
  </si>
  <si>
    <t>58%被长期收割</t>
  </si>
  <si>
    <t>仅8%退群后仍在刷题，且都不是长期被割者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</si>
</sst>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/d/yyyy"/>
    <numFmt numFmtId="165" formatCode="[$]@"/>
    <numFmt numFmtId="166" formatCode="0.0"/>
    <numFmt numFmtId="167" formatCode="[$-409]0"/>
    <numFmt numFmtId="168" formatCode="&quot;[$]&quot;@"/>
  </numFmts>
  <fonts count="50">
    <font>
      <sz val="11"/>
      <color rgb="FF000000"/>
      <name val="Calibri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PingFang SC"/>
      <family val="2"/>
    </font>
    <font>
      <sz val="11"/>
      <color rgb="FF000000"/>
      <name val="Noto sans cjk sc"/>
      <charset val="1"/>
    </font>
    <font>
      <u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Helvetica Neue"/>
      <charset val="1"/>
    </font>
    <font>
      <sz val="11"/>
      <color rgb="FF000000"/>
      <name val="Noto sans cjk sc regular"/>
      <charset val="1"/>
    </font>
    <font>
      <u/>
      <sz val="11"/>
      <color rgb="FF0000FF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PingFang SC"/>
      <family val="2"/>
    </font>
    <font>
      <sz val="11"/>
      <color rgb="FFFF0000"/>
      <name val="Calibri"/>
      <family val="2"/>
      <charset val="1"/>
    </font>
    <font>
      <sz val="11"/>
      <color rgb="FFFF3333"/>
      <name val="Calibri"/>
      <family val="2"/>
      <charset val="1"/>
    </font>
    <font>
      <u/>
      <sz val="11"/>
      <color rgb="FFFF0000"/>
      <name val="Calibri"/>
      <family val="2"/>
      <charset val="1"/>
    </font>
    <font>
      <sz val="11"/>
      <color rgb="FFFF0000"/>
      <name val="Noto sans cjk sc"/>
      <charset val="1"/>
    </font>
    <font>
      <sz val="11"/>
      <color rgb="FFCE181E"/>
      <name val="Calibri"/>
      <family val="2"/>
      <charset val="1"/>
    </font>
    <font>
      <sz val="11"/>
      <color rgb="FFFF0000"/>
      <name val="Noto sans cjk sc regular"/>
      <charset val="1"/>
    </font>
    <font>
      <sz val="11"/>
      <color rgb="FFCE181E"/>
      <name val="PingFang SC"/>
      <family val="2"/>
    </font>
    <font>
      <sz val="11"/>
      <color rgb="FFC9211E"/>
      <name val="Calibri"/>
      <family val="2"/>
      <charset val="1"/>
    </font>
    <font>
      <sz val="11"/>
      <color rgb="FFFF3333"/>
      <name val="PingFang SC"/>
      <family val="2"/>
    </font>
    <font>
      <sz val="11"/>
      <color rgb="FFCE181E"/>
      <name val="Noto sans cjk sc regular"/>
      <charset val="1"/>
    </font>
    <font>
      <sz val="11"/>
      <color rgb="FFFF0000"/>
      <name val="Calibri"/>
      <charset val="1"/>
    </font>
    <font>
      <sz val="11"/>
      <color rgb="FF4472C4"/>
      <name val="PingFang SC"/>
      <family val="2"/>
    </font>
    <font>
      <sz val="11"/>
      <color rgb="FF4472C4"/>
      <name val="Calibri"/>
      <charset val="1"/>
    </font>
    <font>
      <sz val="11"/>
      <color rgb="FF4472C4"/>
      <name val="Calibri"/>
      <family val="2"/>
      <charset val="1"/>
    </font>
    <font>
      <u/>
      <sz val="11"/>
      <color rgb="FF4472C4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B050"/>
      <name val="PingFang SC"/>
      <family val="2"/>
    </font>
    <font>
      <sz val="11"/>
      <color rgb="FF4472C4"/>
      <name val="Noto sans cjk sc"/>
      <charset val="1"/>
    </font>
    <font>
      <sz val="11"/>
      <color rgb="FF0070C0"/>
      <name val="PingFang SC"/>
      <family val="2"/>
    </font>
    <font>
      <sz val="11"/>
      <color rgb="FF0070C0"/>
      <name val="Calibri"/>
      <charset val="1"/>
    </font>
    <font>
      <sz val="11"/>
      <color rgb="FF0070C0"/>
      <name val="Calibri"/>
      <family val="2"/>
      <charset val="1"/>
    </font>
    <font>
      <u/>
      <sz val="11"/>
      <color rgb="FF0070C0"/>
      <name val="Calibri"/>
      <family val="2"/>
      <charset val="1"/>
    </font>
    <font>
      <sz val="11"/>
      <color rgb="FF0070C0"/>
      <name val="Noto sans cjk sc regular"/>
      <charset val="1"/>
    </font>
    <font>
      <sz val="11"/>
      <color theme="4"/>
      <name val="Noto sans cjk sc regular"/>
      <charset val="1"/>
    </font>
    <font>
      <sz val="11"/>
      <color theme="4"/>
      <name val="Calibri"/>
      <family val="2"/>
      <charset val="1"/>
    </font>
    <font>
      <sz val="11"/>
      <color theme="4"/>
      <name val="Calibri"/>
      <charset val="1"/>
    </font>
    <font>
      <sz val="11"/>
      <color theme="4"/>
      <name val="PingFang SC"/>
      <family val="2"/>
    </font>
    <font>
      <sz val="11"/>
      <color rgb="FF000000"/>
      <name val="PingFang SC"/>
      <family val="2"/>
      <charset val="1"/>
    </font>
    <font>
      <sz val="11"/>
      <name val="PingFang SC"/>
      <family val="2"/>
      <charset val="1"/>
    </font>
    <font>
      <sz val="11"/>
      <color rgb="FFFF0000"/>
      <name val="PingFang SC"/>
      <family val="2"/>
      <charset val="1"/>
    </font>
    <font>
      <sz val="11"/>
      <color rgb="FFCE181E"/>
      <name val="PingFang SC"/>
      <family val="2"/>
      <charset val="1"/>
    </font>
    <font>
      <sz val="11"/>
      <color rgb="FFFF3333"/>
      <name val="PingFang SC"/>
      <family val="2"/>
      <charset val="1"/>
    </font>
    <font>
      <sz val="11"/>
      <color rgb="FFC9211E"/>
      <name val="Calibri"/>
      <charset val="1"/>
    </font>
    <font>
      <u/>
      <sz val="11"/>
      <color theme="4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charset val="1"/>
    </font>
    <font>
      <sz val="11"/>
      <color theme="1"/>
      <name val="PingFang SC"/>
      <family val="2"/>
    </font>
    <font>
      <sz val="11"/>
      <color theme="4"/>
      <name val="Noto sans cjk sc"/>
      <charset val="1"/>
    </font>
    <font>
      <sz val="11"/>
      <color theme="4"/>
      <name val="PingFang SC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FFFF66"/>
        <bgColor rgb="FFFFFF00"/>
      </patternFill>
    </fill>
    <fill>
      <patternFill patternType="solid">
        <fgColor rgb="FFB7DEE8"/>
        <bgColor rgb="FF99CCFF"/>
      </patternFill>
    </fill>
  </fills>
  <borders count="1">
    <border>
      <left/>
      <right/>
      <top/>
      <bottom/>
      <diagonal/>
    </border>
  </borders>
  <cellStyleXfs count="2">
    <xf numFmtId="164" fontId="0" fillId="0" borderId="0"/>
    <xf numFmtId="164" fontId="1" fillId="0" borderId="0" applyBorder="0" applyProtection="0"/>
  </cellStyleXfs>
  <cellXfs count="269">
    <xf numFmtId="164" fontId="0" fillId="0" borderId="0" xfId="0"/>
    <xf numFmtId="164" fontId="0" fillId="0" borderId="0" xfId="0" applyFont="1"/>
    <xf numFmtId="14" fontId="0" fillId="0" borderId="0" xfId="0" applyNumberFormat="1" applyFont="1" applyAlignment="1">
      <alignment horizontal="center"/>
    </xf>
    <xf numFmtId="164" fontId="1" fillId="0" borderId="0" xfId="0" applyFont="1"/>
    <xf numFmtId="164" fontId="2" fillId="0" borderId="0" xfId="0" applyFont="1"/>
    <xf numFmtId="164" fontId="0" fillId="0" borderId="0" xfId="0" applyFont="1" applyAlignment="1">
      <alignment horizontal="center" vertical="center"/>
    </xf>
    <xf numFmtId="164" fontId="3" fillId="0" borderId="0" xfId="0" applyFont="1"/>
    <xf numFmtId="164" fontId="4" fillId="0" borderId="0" xfId="0" applyFont="1"/>
    <xf numFmtId="164" fontId="5" fillId="0" borderId="0" xfId="0" applyFont="1" applyAlignment="1">
      <alignment horizontal="left"/>
    </xf>
    <xf numFmtId="164" fontId="6" fillId="0" borderId="0" xfId="0" applyFont="1"/>
    <xf numFmtId="164" fontId="5" fillId="0" borderId="0" xfId="0" applyFont="1"/>
    <xf numFmtId="164" fontId="2" fillId="0" borderId="0" xfId="0" applyFont="1" applyAlignment="1">
      <alignment horizontal="center" vertical="center"/>
    </xf>
    <xf numFmtId="164" fontId="5" fillId="0" borderId="0" xfId="0" applyFont="1" applyAlignment="1">
      <alignment horizontal="center"/>
    </xf>
    <xf numFmtId="164" fontId="7" fillId="0" borderId="0" xfId="0" applyFont="1"/>
    <xf numFmtId="14" fontId="0" fillId="0" borderId="0" xfId="0" applyNumberFormat="1" applyFont="1" applyAlignment="1">
      <alignment horizontal="center" vertical="center"/>
    </xf>
    <xf numFmtId="165" fontId="0" fillId="0" borderId="0" xfId="0" applyNumberFormat="1" applyFont="1"/>
    <xf numFmtId="164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64" fontId="5" fillId="0" borderId="0" xfId="0" applyFont="1" applyAlignment="1"/>
    <xf numFmtId="164" fontId="8" fillId="0" borderId="0" xfId="0" applyFont="1"/>
    <xf numFmtId="164" fontId="9" fillId="0" borderId="0" xfId="0" applyFont="1" applyAlignment="1">
      <alignment horizontal="center" vertical="center"/>
    </xf>
    <xf numFmtId="164" fontId="2" fillId="0" borderId="0" xfId="0" applyFont="1" applyAlignment="1"/>
    <xf numFmtId="164" fontId="9" fillId="0" borderId="0" xfId="0" applyFont="1"/>
    <xf numFmtId="14" fontId="9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164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164" fontId="2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4" fontId="3" fillId="0" borderId="0" xfId="0" applyFont="1" applyAlignment="1"/>
    <xf numFmtId="165" fontId="5" fillId="0" borderId="0" xfId="0" applyNumberFormat="1" applyFont="1"/>
    <xf numFmtId="167" fontId="5" fillId="0" borderId="0" xfId="0" applyNumberFormat="1" applyFont="1" applyAlignment="1">
      <alignment horizontal="center"/>
    </xf>
    <xf numFmtId="164" fontId="0" fillId="0" borderId="0" xfId="0" applyFont="1" applyAlignment="1">
      <alignment wrapText="1"/>
    </xf>
    <xf numFmtId="167" fontId="9" fillId="0" borderId="0" xfId="0" applyNumberFormat="1" applyFont="1" applyAlignment="1">
      <alignment horizontal="center" vertical="center"/>
    </xf>
    <xf numFmtId="164" fontId="3" fillId="0" borderId="0" xfId="0" applyFont="1" applyAlignment="1">
      <alignment horizontal="center"/>
    </xf>
    <xf numFmtId="167" fontId="0" fillId="0" borderId="0" xfId="0" applyNumberFormat="1" applyFont="1" applyAlignment="1"/>
    <xf numFmtId="164" fontId="10" fillId="0" borderId="0" xfId="0" applyFont="1"/>
    <xf numFmtId="165" fontId="11" fillId="0" borderId="0" xfId="0" applyNumberFormat="1" applyFont="1"/>
    <xf numFmtId="14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4" fontId="11" fillId="0" borderId="0" xfId="0" applyFont="1"/>
    <xf numFmtId="164" fontId="11" fillId="0" borderId="0" xfId="0" applyFont="1" applyAlignment="1">
      <alignment horizontal="center" vertical="center"/>
    </xf>
    <xf numFmtId="164" fontId="0" fillId="0" borderId="0" xfId="0" applyFont="1" applyAlignment="1">
      <alignment horizontal="center"/>
    </xf>
    <xf numFmtId="164" fontId="11" fillId="0" borderId="0" xfId="0" applyFont="1" applyAlignment="1">
      <alignment horizontal="center"/>
    </xf>
    <xf numFmtId="164" fontId="10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164" fontId="10" fillId="0" borderId="0" xfId="0" applyFont="1" applyAlignment="1">
      <alignment horizontal="center" vertical="center"/>
    </xf>
    <xf numFmtId="164" fontId="12" fillId="0" borderId="0" xfId="0" applyFont="1" applyAlignment="1">
      <alignment horizontal="center"/>
    </xf>
    <xf numFmtId="164" fontId="12" fillId="0" borderId="0" xfId="0" applyFont="1"/>
    <xf numFmtId="165" fontId="11" fillId="0" borderId="0" xfId="0" applyNumberFormat="1" applyFont="1" applyAlignment="1">
      <alignment horizontal="left"/>
    </xf>
    <xf numFmtId="164" fontId="11" fillId="0" borderId="0" xfId="0" applyFont="1" applyAlignment="1">
      <alignment horizontal="left"/>
    </xf>
    <xf numFmtId="164" fontId="13" fillId="0" borderId="0" xfId="0" applyFont="1"/>
    <xf numFmtId="164" fontId="14" fillId="0" borderId="0" xfId="0" applyFont="1" applyAlignment="1">
      <alignment horizontal="center"/>
    </xf>
    <xf numFmtId="164" fontId="15" fillId="0" borderId="0" xfId="0" applyFont="1" applyAlignment="1">
      <alignment horizontal="center"/>
    </xf>
    <xf numFmtId="164" fontId="15" fillId="0" borderId="0" xfId="0" applyFont="1"/>
    <xf numFmtId="164" fontId="16" fillId="0" borderId="0" xfId="0" applyFont="1"/>
    <xf numFmtId="165" fontId="16" fillId="0" borderId="0" xfId="0" applyNumberFormat="1" applyFont="1"/>
    <xf numFmtId="164" fontId="17" fillId="0" borderId="0" xfId="0" applyFont="1"/>
    <xf numFmtId="165" fontId="15" fillId="0" borderId="0" xfId="0" applyNumberFormat="1" applyFont="1"/>
    <xf numFmtId="14" fontId="15" fillId="0" borderId="0" xfId="0" applyNumberFormat="1" applyFont="1" applyAlignment="1">
      <alignment horizontal="center"/>
    </xf>
    <xf numFmtId="164" fontId="15" fillId="0" borderId="0" xfId="0" applyFont="1" applyAlignment="1">
      <alignment horizontal="center" vertical="center"/>
    </xf>
    <xf numFmtId="164" fontId="16" fillId="0" borderId="0" xfId="0" applyFont="1" applyAlignment="1">
      <alignment horizontal="center"/>
    </xf>
    <xf numFmtId="164" fontId="18" fillId="0" borderId="0" xfId="0" applyFont="1" applyAlignment="1">
      <alignment horizontal="center"/>
    </xf>
    <xf numFmtId="164" fontId="14" fillId="0" borderId="0" xfId="0" applyFont="1"/>
    <xf numFmtId="14" fontId="12" fillId="0" borderId="0" xfId="0" applyNumberFormat="1" applyFont="1" applyAlignment="1">
      <alignment horizontal="center"/>
    </xf>
    <xf numFmtId="164" fontId="12" fillId="0" borderId="0" xfId="0" applyFont="1" applyAlignment="1">
      <alignment horizontal="center" vertical="center"/>
    </xf>
    <xf numFmtId="164" fontId="19" fillId="0" borderId="0" xfId="0" applyFont="1"/>
    <xf numFmtId="164" fontId="20" fillId="0" borderId="0" xfId="0" applyFont="1"/>
    <xf numFmtId="164" fontId="15" fillId="0" borderId="0" xfId="0" applyFont="1" applyAlignment="1">
      <alignment horizontal="left"/>
    </xf>
    <xf numFmtId="167" fontId="15" fillId="0" borderId="0" xfId="0" applyNumberFormat="1" applyFont="1" applyAlignment="1">
      <alignment horizontal="center"/>
    </xf>
    <xf numFmtId="164" fontId="14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left" vertical="center"/>
    </xf>
    <xf numFmtId="164" fontId="11" fillId="0" borderId="0" xfId="0" applyFont="1" applyAlignment="1">
      <alignment wrapText="1"/>
    </xf>
    <xf numFmtId="164" fontId="11" fillId="0" borderId="0" xfId="0" applyFont="1" applyAlignment="1"/>
    <xf numFmtId="164" fontId="13" fillId="0" borderId="0" xfId="1" applyFont="1" applyBorder="1" applyAlignment="1" applyProtection="1"/>
    <xf numFmtId="164" fontId="10" fillId="0" borderId="0" xfId="0" applyFont="1" applyAlignment="1"/>
    <xf numFmtId="164" fontId="21" fillId="0" borderId="0" xfId="0" applyFont="1" applyAlignment="1">
      <alignment horizontal="center" wrapText="1"/>
    </xf>
    <xf numFmtId="14" fontId="21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center" vertical="center"/>
    </xf>
    <xf numFmtId="164" fontId="21" fillId="0" borderId="0" xfId="0" applyFont="1" applyAlignment="1">
      <alignment horizontal="center"/>
    </xf>
    <xf numFmtId="164" fontId="21" fillId="0" borderId="0" xfId="0" applyFont="1" applyAlignment="1"/>
    <xf numFmtId="164" fontId="21" fillId="0" borderId="0" xfId="0" applyFont="1" applyAlignment="1">
      <alignment horizontal="center" vertical="center"/>
    </xf>
    <xf numFmtId="164" fontId="14" fillId="0" borderId="0" xfId="0" applyFont="1" applyAlignment="1"/>
    <xf numFmtId="164" fontId="11" fillId="0" borderId="0" xfId="0" applyFont="1" applyAlignment="1">
      <alignment horizontal="left" wrapText="1"/>
    </xf>
    <xf numFmtId="164" fontId="21" fillId="0" borderId="0" xfId="0" applyFont="1" applyAlignment="1">
      <alignment horizontal="left"/>
    </xf>
    <xf numFmtId="164" fontId="21" fillId="0" borderId="0" xfId="0" applyFont="1"/>
    <xf numFmtId="164" fontId="13" fillId="0" borderId="0" xfId="1" applyFont="1" applyBorder="1" applyAlignment="1" applyProtection="1">
      <alignment horizontal="left"/>
    </xf>
    <xf numFmtId="165" fontId="21" fillId="0" borderId="0" xfId="0" applyNumberFormat="1" applyFont="1"/>
    <xf numFmtId="164" fontId="13" fillId="0" borderId="0" xfId="1" applyFont="1" applyBorder="1" applyAlignment="1" applyProtection="1">
      <alignment wrapText="1"/>
    </xf>
    <xf numFmtId="164" fontId="21" fillId="0" borderId="0" xfId="0" applyFont="1" applyAlignment="1">
      <alignment wrapText="1"/>
    </xf>
    <xf numFmtId="164" fontId="0" fillId="3" borderId="0" xfId="0" applyFont="1" applyFill="1" applyBorder="1" applyAlignment="1">
      <alignment horizontal="center" vertical="center"/>
    </xf>
    <xf numFmtId="164" fontId="0" fillId="4" borderId="0" xfId="0" applyFont="1" applyFill="1" applyBorder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6" fontId="0" fillId="0" borderId="0" xfId="0" applyNumberFormat="1" applyFont="1" applyAlignment="1">
      <alignment horizontal="center"/>
    </xf>
    <xf numFmtId="164" fontId="0" fillId="5" borderId="0" xfId="0" applyFont="1" applyFill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164" fontId="0" fillId="6" borderId="0" xfId="0" applyFont="1" applyFill="1" applyBorder="1" applyAlignment="1">
      <alignment horizontal="center" vertical="center"/>
    </xf>
    <xf numFmtId="164" fontId="0" fillId="7" borderId="0" xfId="0" applyFont="1" applyFill="1" applyBorder="1" applyAlignment="1">
      <alignment horizontal="center" vertical="center"/>
    </xf>
    <xf numFmtId="164" fontId="11" fillId="8" borderId="0" xfId="0" applyFont="1" applyFill="1" applyBorder="1" applyAlignment="1">
      <alignment horizontal="center" vertical="center"/>
    </xf>
    <xf numFmtId="164" fontId="11" fillId="6" borderId="0" xfId="0" applyFont="1" applyFill="1" applyBorder="1" applyAlignment="1">
      <alignment horizontal="center" vertical="center"/>
    </xf>
    <xf numFmtId="164" fontId="11" fillId="5" borderId="0" xfId="0" applyFont="1" applyFill="1" applyBorder="1" applyAlignment="1">
      <alignment horizontal="center" vertical="center"/>
    </xf>
    <xf numFmtId="164" fontId="11" fillId="4" borderId="0" xfId="0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164" fontId="11" fillId="3" borderId="0" xfId="0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/>
    </xf>
    <xf numFmtId="164" fontId="5" fillId="8" borderId="0" xfId="0" applyFont="1" applyFill="1" applyBorder="1" applyAlignment="1">
      <alignment horizontal="center" vertical="center"/>
    </xf>
    <xf numFmtId="164" fontId="0" fillId="8" borderId="0" xfId="0" applyFont="1" applyFill="1" applyBorder="1" applyAlignment="1">
      <alignment horizontal="center" vertical="center"/>
    </xf>
    <xf numFmtId="164" fontId="11" fillId="7" borderId="0" xfId="0" applyFont="1" applyFill="1" applyBorder="1" applyAlignment="1">
      <alignment horizontal="center" vertical="center"/>
    </xf>
    <xf numFmtId="164" fontId="12" fillId="6" borderId="0" xfId="0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164" fontId="0" fillId="0" borderId="0" xfId="0" applyFont="1" applyAlignment="1"/>
    <xf numFmtId="164" fontId="11" fillId="0" borderId="0" xfId="0" applyFont="1" applyAlignment="1">
      <alignment vertical="center"/>
    </xf>
    <xf numFmtId="164" fontId="0" fillId="0" borderId="0" xfId="0" applyAlignment="1">
      <alignment horizontal="center" vertical="center"/>
    </xf>
    <xf numFmtId="164" fontId="22" fillId="0" borderId="0" xfId="0" applyFont="1" applyAlignment="1"/>
    <xf numFmtId="164" fontId="23" fillId="0" borderId="0" xfId="0" applyFont="1" applyAlignment="1"/>
    <xf numFmtId="14" fontId="23" fillId="0" borderId="0" xfId="0" applyNumberFormat="1" applyFont="1" applyAlignment="1">
      <alignment horizontal="center"/>
    </xf>
    <xf numFmtId="14" fontId="23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64" fontId="23" fillId="0" borderId="0" xfId="0" applyFont="1" applyAlignment="1">
      <alignment horizontal="center" vertical="center"/>
    </xf>
    <xf numFmtId="164" fontId="22" fillId="0" borderId="0" xfId="0" applyFont="1" applyAlignment="1">
      <alignment horizontal="center"/>
    </xf>
    <xf numFmtId="164" fontId="23" fillId="0" borderId="0" xfId="0" applyFont="1"/>
    <xf numFmtId="164" fontId="24" fillId="0" borderId="0" xfId="0" applyFont="1" applyAlignment="1">
      <alignment horizontal="center" vertical="center"/>
    </xf>
    <xf numFmtId="164" fontId="23" fillId="0" borderId="0" xfId="0" applyFont="1" applyAlignment="1">
      <alignment horizontal="center"/>
    </xf>
    <xf numFmtId="164" fontId="24" fillId="0" borderId="0" xfId="0" applyFont="1" applyAlignment="1"/>
    <xf numFmtId="14" fontId="24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 vertical="center"/>
    </xf>
    <xf numFmtId="164" fontId="22" fillId="0" borderId="0" xfId="0" applyFont="1" applyAlignment="1">
      <alignment horizontal="center" vertical="center"/>
    </xf>
    <xf numFmtId="164" fontId="24" fillId="0" borderId="0" xfId="0" applyFont="1" applyAlignment="1">
      <alignment horizontal="center"/>
    </xf>
    <xf numFmtId="164" fontId="24" fillId="0" borderId="0" xfId="0" applyFont="1"/>
    <xf numFmtId="164" fontId="22" fillId="0" borderId="0" xfId="0" applyFont="1"/>
    <xf numFmtId="167" fontId="24" fillId="0" borderId="0" xfId="0" applyNumberFormat="1" applyFont="1" applyAlignment="1">
      <alignment horizontal="center"/>
    </xf>
    <xf numFmtId="164" fontId="25" fillId="0" borderId="0" xfId="0" applyFont="1"/>
    <xf numFmtId="165" fontId="24" fillId="0" borderId="0" xfId="0" applyNumberFormat="1" applyFont="1"/>
    <xf numFmtId="164" fontId="26" fillId="0" borderId="0" xfId="0" applyFont="1"/>
    <xf numFmtId="14" fontId="26" fillId="0" borderId="0" xfId="0" applyNumberFormat="1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164" fontId="27" fillId="0" borderId="0" xfId="0" applyFont="1" applyAlignment="1">
      <alignment horizontal="center" vertical="center"/>
    </xf>
    <xf numFmtId="164" fontId="27" fillId="0" borderId="0" xfId="0" applyFont="1" applyAlignment="1">
      <alignment horizontal="center"/>
    </xf>
    <xf numFmtId="164" fontId="27" fillId="0" borderId="0" xfId="0" applyFont="1"/>
    <xf numFmtId="164" fontId="27" fillId="0" borderId="0" xfId="0" applyFont="1" applyAlignment="1"/>
    <xf numFmtId="165" fontId="26" fillId="0" borderId="0" xfId="0" applyNumberFormat="1" applyFont="1"/>
    <xf numFmtId="167" fontId="26" fillId="0" borderId="0" xfId="0" applyNumberFormat="1" applyFont="1" applyAlignment="1">
      <alignment horizontal="center"/>
    </xf>
    <xf numFmtId="164" fontId="26" fillId="0" borderId="0" xfId="0" applyFont="1" applyAlignment="1">
      <alignment horizontal="center" vertical="center"/>
    </xf>
    <xf numFmtId="164" fontId="26" fillId="0" borderId="0" xfId="0" applyFont="1" applyAlignment="1">
      <alignment horizontal="center"/>
    </xf>
    <xf numFmtId="165" fontId="5" fillId="0" borderId="0" xfId="0" applyNumberFormat="1" applyFont="1" applyAlignment="1">
      <alignment horizontal="left"/>
    </xf>
    <xf numFmtId="164" fontId="25" fillId="0" borderId="0" xfId="1" applyFont="1" applyBorder="1" applyAlignment="1" applyProtection="1"/>
    <xf numFmtId="164" fontId="28" fillId="0" borderId="0" xfId="0" applyFont="1" applyAlignment="1"/>
    <xf numFmtId="164" fontId="0" fillId="0" borderId="0" xfId="0" applyAlignment="1">
      <alignment horizontal="center"/>
    </xf>
    <xf numFmtId="165" fontId="24" fillId="0" borderId="0" xfId="0" applyNumberFormat="1" applyFont="1" applyAlignment="1">
      <alignment horizontal="left"/>
    </xf>
    <xf numFmtId="164" fontId="28" fillId="0" borderId="0" xfId="0" applyFont="1"/>
    <xf numFmtId="164" fontId="29" fillId="0" borderId="0" xfId="0" applyFont="1" applyAlignment="1"/>
    <xf numFmtId="164" fontId="30" fillId="0" borderId="0" xfId="0" applyFont="1" applyAlignment="1"/>
    <xf numFmtId="14" fontId="30" fillId="0" borderId="0" xfId="0" applyNumberFormat="1" applyFont="1" applyAlignment="1">
      <alignment horizontal="center"/>
    </xf>
    <xf numFmtId="14" fontId="30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64" fontId="30" fillId="0" borderId="0" xfId="0" applyFont="1" applyAlignment="1">
      <alignment horizontal="center" vertical="center"/>
    </xf>
    <xf numFmtId="164" fontId="30" fillId="0" borderId="0" xfId="0" applyFont="1" applyAlignment="1">
      <alignment horizontal="center"/>
    </xf>
    <xf numFmtId="164" fontId="29" fillId="0" borderId="0" xfId="0" applyFont="1" applyAlignment="1">
      <alignment horizontal="center"/>
    </xf>
    <xf numFmtId="164" fontId="30" fillId="0" borderId="0" xfId="0" applyFont="1"/>
    <xf numFmtId="164" fontId="31" fillId="0" borderId="0" xfId="0" applyFont="1" applyAlignment="1">
      <alignment horizontal="center" vertical="center"/>
    </xf>
    <xf numFmtId="164" fontId="32" fillId="0" borderId="0" xfId="1" applyFont="1" applyBorder="1" applyAlignment="1" applyProtection="1"/>
    <xf numFmtId="164" fontId="29" fillId="0" borderId="0" xfId="0" applyFont="1"/>
    <xf numFmtId="165" fontId="31" fillId="0" borderId="0" xfId="0" applyNumberFormat="1" applyFont="1"/>
    <xf numFmtId="14" fontId="31" fillId="0" borderId="0" xfId="0" applyNumberFormat="1" applyFont="1" applyAlignment="1">
      <alignment horizontal="center"/>
    </xf>
    <xf numFmtId="14" fontId="31" fillId="0" borderId="0" xfId="0" applyNumberFormat="1" applyFont="1" applyAlignment="1">
      <alignment horizontal="center" vertical="center"/>
    </xf>
    <xf numFmtId="164" fontId="33" fillId="0" borderId="0" xfId="0" applyFont="1"/>
    <xf numFmtId="167" fontId="31" fillId="0" borderId="0" xfId="0" applyNumberFormat="1" applyFont="1" applyAlignment="1">
      <alignment horizontal="center"/>
    </xf>
    <xf numFmtId="164" fontId="31" fillId="0" borderId="0" xfId="0" applyFont="1" applyAlignment="1">
      <alignment horizontal="center"/>
    </xf>
    <xf numFmtId="164" fontId="31" fillId="0" borderId="0" xfId="0" applyFont="1"/>
    <xf numFmtId="164" fontId="34" fillId="0" borderId="0" xfId="0" applyFont="1"/>
    <xf numFmtId="165" fontId="35" fillId="0" borderId="0" xfId="0" applyNumberFormat="1" applyFont="1" applyAlignment="1">
      <alignment horizontal="left"/>
    </xf>
    <xf numFmtId="14" fontId="35" fillId="0" borderId="0" xfId="0" applyNumberFormat="1" applyFont="1" applyAlignment="1">
      <alignment horizontal="center"/>
    </xf>
    <xf numFmtId="167" fontId="35" fillId="0" borderId="0" xfId="0" applyNumberFormat="1" applyFont="1" applyAlignment="1">
      <alignment horizontal="center"/>
    </xf>
    <xf numFmtId="164" fontId="35" fillId="0" borderId="0" xfId="0" applyFont="1" applyAlignment="1">
      <alignment horizontal="center" vertical="center"/>
    </xf>
    <xf numFmtId="164" fontId="35" fillId="0" borderId="0" xfId="0" applyFont="1" applyAlignment="1">
      <alignment horizontal="center"/>
    </xf>
    <xf numFmtId="164" fontId="35" fillId="0" borderId="0" xfId="0" applyFont="1"/>
    <xf numFmtId="164" fontId="36" fillId="0" borderId="0" xfId="0" applyFont="1"/>
    <xf numFmtId="164" fontId="37" fillId="0" borderId="0" xfId="0" applyFont="1"/>
    <xf numFmtId="165" fontId="35" fillId="0" borderId="0" xfId="0" applyNumberFormat="1" applyFont="1"/>
    <xf numFmtId="164" fontId="37" fillId="0" borderId="0" xfId="0" applyFont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167" fontId="35" fillId="0" borderId="0" xfId="0" applyNumberFormat="1" applyFont="1" applyAlignment="1">
      <alignment horizontal="center" vertical="center"/>
    </xf>
    <xf numFmtId="164" fontId="7" fillId="0" borderId="0" xfId="0" applyFont="1" applyAlignment="1">
      <alignment horizontal="center"/>
    </xf>
    <xf numFmtId="164" fontId="31" fillId="0" borderId="0" xfId="0" applyFont="1" applyAlignment="1"/>
    <xf numFmtId="164" fontId="36" fillId="0" borderId="0" xfId="0" applyFont="1" applyAlignment="1"/>
    <xf numFmtId="14" fontId="36" fillId="0" borderId="0" xfId="0" applyNumberFormat="1" applyFont="1" applyAlignment="1">
      <alignment horizontal="center" vertical="center"/>
    </xf>
    <xf numFmtId="164" fontId="37" fillId="0" borderId="0" xfId="0" applyFont="1" applyAlignment="1">
      <alignment horizontal="center"/>
    </xf>
    <xf numFmtId="164" fontId="37" fillId="0" borderId="0" xfId="0" applyFont="1" applyAlignment="1"/>
    <xf numFmtId="164" fontId="0" fillId="0" borderId="0" xfId="0" applyAlignment="1">
      <alignment horizontal="center" wrapText="1"/>
    </xf>
    <xf numFmtId="164" fontId="29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1" fillId="0" borderId="0" xfId="1" applyBorder="1" applyProtection="1"/>
    <xf numFmtId="164" fontId="38" fillId="0" borderId="0" xfId="0" applyFont="1"/>
    <xf numFmtId="164" fontId="38" fillId="0" borderId="0" xfId="0" applyFont="1" applyAlignment="1">
      <alignment horizontal="center" vertical="center"/>
    </xf>
    <xf numFmtId="164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  <xf numFmtId="164" fontId="39" fillId="0" borderId="0" xfId="0" applyFont="1"/>
    <xf numFmtId="164" fontId="38" fillId="0" borderId="0" xfId="0" applyFont="1" applyAlignment="1">
      <alignment horizontal="center"/>
    </xf>
    <xf numFmtId="164" fontId="4" fillId="0" borderId="0" xfId="1" applyFont="1" applyBorder="1" applyProtection="1"/>
    <xf numFmtId="164" fontId="40" fillId="0" borderId="0" xfId="0" applyFont="1"/>
    <xf numFmtId="49" fontId="11" fillId="0" borderId="0" xfId="0" applyNumberFormat="1" applyFont="1"/>
    <xf numFmtId="164" fontId="40" fillId="0" borderId="0" xfId="0" applyFont="1" applyAlignment="1">
      <alignment horizontal="center"/>
    </xf>
    <xf numFmtId="164" fontId="40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/>
    </xf>
    <xf numFmtId="168" fontId="11" fillId="0" borderId="0" xfId="0" applyNumberFormat="1" applyFont="1"/>
    <xf numFmtId="49" fontId="16" fillId="0" borderId="0" xfId="0" applyNumberFormat="1" applyFont="1"/>
    <xf numFmtId="164" fontId="41" fillId="0" borderId="0" xfId="0" applyFont="1"/>
    <xf numFmtId="49" fontId="15" fillId="0" borderId="0" xfId="0" applyNumberFormat="1" applyFont="1"/>
    <xf numFmtId="164" fontId="42" fillId="0" borderId="0" xfId="0" applyFont="1"/>
    <xf numFmtId="49" fontId="12" fillId="0" borderId="0" xfId="0" applyNumberFormat="1" applyFont="1"/>
    <xf numFmtId="49" fontId="15" fillId="0" borderId="0" xfId="0" applyNumberFormat="1" applyFont="1" applyAlignment="1">
      <alignment horizontal="left"/>
    </xf>
    <xf numFmtId="49" fontId="14" fillId="0" borderId="0" xfId="0" applyNumberFormat="1" applyFont="1"/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wrapText="1"/>
    </xf>
    <xf numFmtId="164" fontId="13" fillId="0" borderId="0" xfId="1" applyFont="1" applyBorder="1" applyProtection="1"/>
    <xf numFmtId="49" fontId="21" fillId="0" borderId="0" xfId="0" applyNumberFormat="1" applyFont="1"/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>
      <alignment wrapText="1"/>
    </xf>
    <xf numFmtId="164" fontId="43" fillId="0" borderId="0" xfId="0" applyFont="1" applyAlignment="1">
      <alignment wrapText="1"/>
    </xf>
    <xf numFmtId="49" fontId="43" fillId="0" borderId="0" xfId="0" applyNumberFormat="1" applyFont="1" applyAlignment="1">
      <alignment wrapText="1"/>
    </xf>
    <xf numFmtId="164" fontId="43" fillId="0" borderId="0" xfId="0" applyFont="1" applyAlignment="1">
      <alignment horizontal="center" wrapText="1"/>
    </xf>
    <xf numFmtId="164" fontId="43" fillId="0" borderId="0" xfId="0" applyFont="1"/>
    <xf numFmtId="164" fontId="43" fillId="0" borderId="0" xfId="0" applyFont="1" applyAlignment="1">
      <alignment horizontal="center"/>
    </xf>
    <xf numFmtId="49" fontId="5" fillId="0" borderId="0" xfId="0" applyNumberFormat="1" applyFont="1"/>
    <xf numFmtId="49" fontId="0" fillId="0" borderId="0" xfId="0" applyNumberFormat="1"/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9" fillId="0" borderId="0" xfId="0" applyNumberFormat="1" applyFont="1"/>
    <xf numFmtId="164" fontId="35" fillId="0" borderId="0" xfId="0" applyFont="1" applyAlignment="1"/>
    <xf numFmtId="14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center"/>
    </xf>
    <xf numFmtId="164" fontId="44" fillId="0" borderId="0" xfId="1" applyFont="1" applyBorder="1" applyAlignment="1" applyProtection="1"/>
    <xf numFmtId="49" fontId="0" fillId="0" borderId="0" xfId="0" applyNumberFormat="1" applyFont="1"/>
    <xf numFmtId="49" fontId="40" fillId="0" borderId="0" xfId="0" applyNumberFormat="1" applyFont="1"/>
    <xf numFmtId="164" fontId="0" fillId="0" borderId="0" xfId="0" applyFont="1" applyAlignment="1">
      <alignment horizontal="center" wrapText="1"/>
    </xf>
    <xf numFmtId="164" fontId="4" fillId="0" borderId="0" xfId="1" applyFont="1" applyBorder="1" applyAlignment="1" applyProtection="1"/>
    <xf numFmtId="164" fontId="36" fillId="0" borderId="0" xfId="0" applyFont="1" applyAlignment="1">
      <alignment horizontal="center" vertical="center"/>
    </xf>
    <xf numFmtId="164" fontId="45" fillId="0" borderId="0" xfId="0" applyFont="1"/>
    <xf numFmtId="165" fontId="45" fillId="0" borderId="0" xfId="0" applyNumberFormat="1" applyFont="1"/>
    <xf numFmtId="14" fontId="45" fillId="0" borderId="0" xfId="0" applyNumberFormat="1" applyFont="1" applyAlignment="1">
      <alignment horizontal="center"/>
    </xf>
    <xf numFmtId="167" fontId="45" fillId="0" borderId="0" xfId="0" applyNumberFormat="1" applyFont="1" applyAlignment="1">
      <alignment horizontal="center" vertical="center"/>
    </xf>
    <xf numFmtId="164" fontId="46" fillId="0" borderId="0" xfId="0" applyFont="1" applyAlignment="1">
      <alignment horizontal="center"/>
    </xf>
    <xf numFmtId="164" fontId="46" fillId="0" borderId="0" xfId="0" applyFont="1"/>
    <xf numFmtId="167" fontId="45" fillId="0" borderId="0" xfId="0" applyNumberFormat="1" applyFont="1" applyAlignment="1">
      <alignment horizontal="center"/>
    </xf>
    <xf numFmtId="164" fontId="45" fillId="0" borderId="0" xfId="0" applyFont="1" applyAlignment="1">
      <alignment horizontal="center" vertical="center"/>
    </xf>
    <xf numFmtId="164" fontId="45" fillId="0" borderId="0" xfId="0" applyFont="1" applyAlignment="1">
      <alignment horizontal="center"/>
    </xf>
    <xf numFmtId="164" fontId="44" fillId="0" borderId="0" xfId="0" applyFont="1"/>
    <xf numFmtId="164" fontId="35" fillId="0" borderId="0" xfId="0" applyFont="1" applyAlignment="1">
      <alignment wrapText="1"/>
    </xf>
    <xf numFmtId="164" fontId="47" fillId="0" borderId="0" xfId="0" applyFont="1"/>
    <xf numFmtId="164" fontId="47" fillId="0" borderId="0" xfId="0" applyFont="1" applyAlignment="1">
      <alignment horizontal="center"/>
    </xf>
    <xf numFmtId="164" fontId="48" fillId="0" borderId="0" xfId="0" applyFont="1"/>
    <xf numFmtId="14" fontId="45" fillId="0" borderId="0" xfId="0" applyNumberFormat="1" applyFont="1" applyAlignment="1">
      <alignment horizontal="center" vertical="center"/>
    </xf>
    <xf numFmtId="164" fontId="45" fillId="0" borderId="0" xfId="0" applyFont="1" applyAlignment="1"/>
    <xf numFmtId="164" fontId="13" fillId="2" borderId="0" xfId="1" applyFont="1" applyFill="1" applyBorder="1" applyProtection="1"/>
    <xf numFmtId="164" fontId="46" fillId="0" borderId="0" xfId="0" applyFont="1" applyAlignment="1"/>
    <xf numFmtId="14" fontId="46" fillId="0" borderId="0" xfId="0" applyNumberFormat="1" applyFont="1" applyAlignment="1">
      <alignment horizontal="center"/>
    </xf>
    <xf numFmtId="14" fontId="46" fillId="0" borderId="0" xfId="0" applyNumberFormat="1" applyFont="1" applyAlignment="1">
      <alignment horizontal="center" vertical="center"/>
    </xf>
    <xf numFmtId="164" fontId="46" fillId="0" borderId="0" xfId="0" applyFont="1" applyAlignment="1">
      <alignment horizontal="center" vertical="center"/>
    </xf>
    <xf numFmtId="164" fontId="47" fillId="0" borderId="0" xfId="0" applyFont="1" applyAlignment="1"/>
    <xf numFmtId="164" fontId="47" fillId="0" borderId="0" xfId="0" applyFont="1" applyAlignment="1">
      <alignment horizontal="center" vertical="center"/>
    </xf>
    <xf numFmtId="164" fontId="49" fillId="0" borderId="0" xfId="0" applyFont="1"/>
    <xf numFmtId="164" fontId="35" fillId="0" borderId="0" xfId="0" applyFont="1" applyAlignment="1">
      <alignment horizontal="left"/>
    </xf>
    <xf numFmtId="164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E181E"/>
      <rgbColor rgb="FFFFFFCC"/>
      <rgbColor rgb="FFCCFFFF"/>
      <rgbColor rgb="FF660066"/>
      <rgbColor rgb="FFFF8080"/>
      <rgbColor rgb="FF0563C1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BBB59"/>
      <rgbColor rgb="FFFFCC00"/>
      <rgbColor rgb="FFFF9900"/>
      <rgbColor rgb="FFFF3333"/>
      <rgbColor rgb="FF6666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eichaodu@gmail.com" TargetMode="External"/><Relationship Id="rId21" Type="http://schemas.openxmlformats.org/officeDocument/2006/relationships/hyperlink" Target="mailto:arignote2@gmail.com" TargetMode="External"/><Relationship Id="rId34" Type="http://schemas.openxmlformats.org/officeDocument/2006/relationships/hyperlink" Target="mailto:yuanlu0210@gmail.com" TargetMode="External"/><Relationship Id="rId42" Type="http://schemas.openxmlformats.org/officeDocument/2006/relationships/hyperlink" Target="mailto:1487761808@qq.com" TargetMode="External"/><Relationship Id="rId47" Type="http://schemas.openxmlformats.org/officeDocument/2006/relationships/hyperlink" Target="mailto:hanyuanhuang@hotmail.com" TargetMode="External"/><Relationship Id="rId50" Type="http://schemas.openxmlformats.org/officeDocument/2006/relationships/hyperlink" Target="mailto:787306974@zju.edu.cn" TargetMode="External"/><Relationship Id="rId55" Type="http://schemas.openxmlformats.org/officeDocument/2006/relationships/hyperlink" Target="mailto:Guofeng.Deng@colorado.edu" TargetMode="External"/><Relationship Id="rId63" Type="http://schemas.openxmlformats.org/officeDocument/2006/relationships/hyperlink" Target="mailto:larui529@gmail.com" TargetMode="External"/><Relationship Id="rId7" Type="http://schemas.openxmlformats.org/officeDocument/2006/relationships/hyperlink" Target="mailto:li.feiteng@gmail.com" TargetMode="External"/><Relationship Id="rId2" Type="http://schemas.openxmlformats.org/officeDocument/2006/relationships/hyperlink" Target="mailto:lee215code@gmail.com" TargetMode="External"/><Relationship Id="rId16" Type="http://schemas.openxmlformats.org/officeDocument/2006/relationships/hyperlink" Target="mailto:harttleharttle@gmail.com" TargetMode="External"/><Relationship Id="rId29" Type="http://schemas.openxmlformats.org/officeDocument/2006/relationships/hyperlink" Target="mailto:hanzhoutang@gmail.com" TargetMode="External"/><Relationship Id="rId11" Type="http://schemas.openxmlformats.org/officeDocument/2006/relationships/hyperlink" Target="mailto:tianlong0717@gmail.com" TargetMode="External"/><Relationship Id="rId24" Type="http://schemas.openxmlformats.org/officeDocument/2006/relationships/hyperlink" Target="mailto:lbyxiafei@gmail.com" TargetMode="External"/><Relationship Id="rId32" Type="http://schemas.openxmlformats.org/officeDocument/2006/relationships/hyperlink" Target="mailto:raymonday20@gmail.com" TargetMode="External"/><Relationship Id="rId37" Type="http://schemas.openxmlformats.org/officeDocument/2006/relationships/hyperlink" Target="mailto:haozihong@hotmail.com" TargetMode="External"/><Relationship Id="rId40" Type="http://schemas.openxmlformats.org/officeDocument/2006/relationships/hyperlink" Target="mailto:js4198@rit.edu" TargetMode="External"/><Relationship Id="rId45" Type="http://schemas.openxmlformats.org/officeDocument/2006/relationships/hyperlink" Target="mailto:zouyu9631@gmail.com" TargetMode="External"/><Relationship Id="rId53" Type="http://schemas.openxmlformats.org/officeDocument/2006/relationships/hyperlink" Target="mailto:yuyaoz423@gmail.com" TargetMode="External"/><Relationship Id="rId58" Type="http://schemas.openxmlformats.org/officeDocument/2006/relationships/hyperlink" Target="mailto:fightmingz@gmail.com" TargetMode="External"/><Relationship Id="rId66" Type="http://schemas.openxmlformats.org/officeDocument/2006/relationships/hyperlink" Target="mailto:tsianzuo@gmail.com" TargetMode="External"/><Relationship Id="rId5" Type="http://schemas.openxmlformats.org/officeDocument/2006/relationships/hyperlink" Target="mailto:liu.fan.zju@gmail.com" TargetMode="External"/><Relationship Id="rId61" Type="http://schemas.openxmlformats.org/officeDocument/2006/relationships/hyperlink" Target="mailto:skyzjkang@gmail.com" TargetMode="External"/><Relationship Id="rId19" Type="http://schemas.openxmlformats.org/officeDocument/2006/relationships/hyperlink" Target="mailto:yuxiaoyuan93@gmail.com" TargetMode="External"/><Relationship Id="rId14" Type="http://schemas.openxmlformats.org/officeDocument/2006/relationships/hyperlink" Target="mailto:wangzhiyu0517@gmail.com" TargetMode="External"/><Relationship Id="rId22" Type="http://schemas.openxmlformats.org/officeDocument/2006/relationships/hyperlink" Target="mailto:huaiguxie@gmail.com" TargetMode="External"/><Relationship Id="rId27" Type="http://schemas.openxmlformats.org/officeDocument/2006/relationships/hyperlink" Target="mailto:wwwaap@gmail.com" TargetMode="External"/><Relationship Id="rId30" Type="http://schemas.openxmlformats.org/officeDocument/2006/relationships/hyperlink" Target="mailto:yinghua.hu@gmail.com" TargetMode="External"/><Relationship Id="rId35" Type="http://schemas.openxmlformats.org/officeDocument/2006/relationships/hyperlink" Target="mailto:nickee1942@gmail.com" TargetMode="External"/><Relationship Id="rId43" Type="http://schemas.openxmlformats.org/officeDocument/2006/relationships/hyperlink" Target="mailto:gfan@ncsu.edu" TargetMode="External"/><Relationship Id="rId48" Type="http://schemas.openxmlformats.org/officeDocument/2006/relationships/hyperlink" Target="mailto:ceaxyz@gmail.com" TargetMode="External"/><Relationship Id="rId56" Type="http://schemas.openxmlformats.org/officeDocument/2006/relationships/hyperlink" Target="mailto:3772259@gmail.com" TargetMode="External"/><Relationship Id="rId64" Type="http://schemas.openxmlformats.org/officeDocument/2006/relationships/hyperlink" Target="mailto:xjnull@gmail.com" TargetMode="External"/><Relationship Id="rId8" Type="http://schemas.openxmlformats.org/officeDocument/2006/relationships/hyperlink" Target="mailto:xiaoyuw07@gmail.com" TargetMode="External"/><Relationship Id="rId51" Type="http://schemas.openxmlformats.org/officeDocument/2006/relationships/hyperlink" Target="mailto:lifengxiang.1025@bytedance.com" TargetMode="External"/><Relationship Id="rId3" Type="http://schemas.openxmlformats.org/officeDocument/2006/relationships/hyperlink" Target="mailto:liuyuzhi83@gmail.com" TargetMode="External"/><Relationship Id="rId12" Type="http://schemas.openxmlformats.org/officeDocument/2006/relationships/hyperlink" Target="mailto:ottffyzy@gmail.com" TargetMode="External"/><Relationship Id="rId17" Type="http://schemas.openxmlformats.org/officeDocument/2006/relationships/hyperlink" Target="mailto:nanzhoumails@gmail.com" TargetMode="External"/><Relationship Id="rId25" Type="http://schemas.openxmlformats.org/officeDocument/2006/relationships/hyperlink" Target="mailto:warriorzwy01@gmail.com" TargetMode="External"/><Relationship Id="rId33" Type="http://schemas.openxmlformats.org/officeDocument/2006/relationships/hyperlink" Target="mailto:hiuhchan@gmail.com" TargetMode="External"/><Relationship Id="rId38" Type="http://schemas.openxmlformats.org/officeDocument/2006/relationships/hyperlink" Target="mailto:ftdejo@gmail.com" TargetMode="External"/><Relationship Id="rId46" Type="http://schemas.openxmlformats.org/officeDocument/2006/relationships/hyperlink" Target="mailto:coderhare@gmail.com" TargetMode="External"/><Relationship Id="rId59" Type="http://schemas.openxmlformats.org/officeDocument/2006/relationships/hyperlink" Target="mailto:wangyanstorm@163.com" TargetMode="External"/><Relationship Id="rId20" Type="http://schemas.openxmlformats.org/officeDocument/2006/relationships/hyperlink" Target="mailto:erutan@pku.edu.cn" TargetMode="External"/><Relationship Id="rId41" Type="http://schemas.openxmlformats.org/officeDocument/2006/relationships/hyperlink" Target="mailto:chenfushan20@gmail.com" TargetMode="External"/><Relationship Id="rId54" Type="http://schemas.openxmlformats.org/officeDocument/2006/relationships/hyperlink" Target="mailto:jsong0805@gmail.com" TargetMode="External"/><Relationship Id="rId62" Type="http://schemas.openxmlformats.org/officeDocument/2006/relationships/hyperlink" Target="mailto:zhuoshen617@gmail.com" TargetMode="External"/><Relationship Id="rId1" Type="http://schemas.openxmlformats.org/officeDocument/2006/relationships/hyperlink" Target="mailto:guan.huifeng@gmail.com" TargetMode="External"/><Relationship Id="rId6" Type="http://schemas.openxmlformats.org/officeDocument/2006/relationships/hyperlink" Target="mailto:ss5410@columbia.edu" TargetMode="External"/><Relationship Id="rId15" Type="http://schemas.openxmlformats.org/officeDocument/2006/relationships/hyperlink" Target="mailto:huanglanzhiguan@gmail.com" TargetMode="External"/><Relationship Id="rId23" Type="http://schemas.openxmlformats.org/officeDocument/2006/relationships/hyperlink" Target="mailto:yjf27281181@gmail.com" TargetMode="External"/><Relationship Id="rId28" Type="http://schemas.openxmlformats.org/officeDocument/2006/relationships/hyperlink" Target="mailto:mcuallen@gmail.com" TargetMode="External"/><Relationship Id="rId36" Type="http://schemas.openxmlformats.org/officeDocument/2006/relationships/hyperlink" Target="mailto:volker.way@gmail.com" TargetMode="External"/><Relationship Id="rId49" Type="http://schemas.openxmlformats.org/officeDocument/2006/relationships/hyperlink" Target="mailto:zhuxin17@tsinghua.org.cn" TargetMode="External"/><Relationship Id="rId57" Type="http://schemas.openxmlformats.org/officeDocument/2006/relationships/hyperlink" Target="mailto:jxphxufh@gmail.com" TargetMode="External"/><Relationship Id="rId10" Type="http://schemas.openxmlformats.org/officeDocument/2006/relationships/hyperlink" Target="mailto:zac.wen7@gmail.com" TargetMode="External"/><Relationship Id="rId31" Type="http://schemas.openxmlformats.org/officeDocument/2006/relationships/hyperlink" Target="mailto:jiutiany1127@gmail.com" TargetMode="External"/><Relationship Id="rId44" Type="http://schemas.openxmlformats.org/officeDocument/2006/relationships/hyperlink" Target="mailto:zhezhangcs@gmail.com" TargetMode="External"/><Relationship Id="rId52" Type="http://schemas.openxmlformats.org/officeDocument/2006/relationships/hyperlink" Target="mailto:jiangjinjinyxt@gmail.com" TargetMode="External"/><Relationship Id="rId60" Type="http://schemas.openxmlformats.org/officeDocument/2006/relationships/hyperlink" Target="mailto:bo.20@intl.zju.edu.cn" TargetMode="External"/><Relationship Id="rId65" Type="http://schemas.openxmlformats.org/officeDocument/2006/relationships/hyperlink" Target="mailto:williamwxz@gmail.com" TargetMode="External"/><Relationship Id="rId4" Type="http://schemas.openxmlformats.org/officeDocument/2006/relationships/hyperlink" Target="mailto:ws1255@nyu.edu" TargetMode="External"/><Relationship Id="rId9" Type="http://schemas.openxmlformats.org/officeDocument/2006/relationships/hyperlink" Target="mailto:thumbpixels@gmail.com" TargetMode="External"/><Relationship Id="rId13" Type="http://schemas.openxmlformats.org/officeDocument/2006/relationships/hyperlink" Target="mailto:lichuan@umich.edu" TargetMode="External"/><Relationship Id="rId18" Type="http://schemas.openxmlformats.org/officeDocument/2006/relationships/hyperlink" Target="mailto:uygnim.iel@gmail.com" TargetMode="External"/><Relationship Id="rId39" Type="http://schemas.openxmlformats.org/officeDocument/2006/relationships/hyperlink" Target="mailto:panrui180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yu.dongfeng@outlook.com" TargetMode="External"/><Relationship Id="rId299" Type="http://schemas.openxmlformats.org/officeDocument/2006/relationships/hyperlink" Target="mailto:iven@ivenwang.com" TargetMode="External"/><Relationship Id="rId21" Type="http://schemas.openxmlformats.org/officeDocument/2006/relationships/hyperlink" Target="mailto:yijingannie@gmail.com" TargetMode="External"/><Relationship Id="rId63" Type="http://schemas.openxmlformats.org/officeDocument/2006/relationships/hyperlink" Target="mailto:hangjianyuan@gmail.com" TargetMode="External"/><Relationship Id="rId159" Type="http://schemas.openxmlformats.org/officeDocument/2006/relationships/hyperlink" Target="mailto:clementchaoshucheng@gmail.com" TargetMode="External"/><Relationship Id="rId324" Type="http://schemas.openxmlformats.org/officeDocument/2006/relationships/hyperlink" Target="mailto:wangtengyi55555@gmail.com" TargetMode="External"/><Relationship Id="rId366" Type="http://schemas.openxmlformats.org/officeDocument/2006/relationships/hyperlink" Target="mailto:kqe2705@gmail.com" TargetMode="External"/><Relationship Id="rId170" Type="http://schemas.openxmlformats.org/officeDocument/2006/relationships/hyperlink" Target="mailto:liudy.zju@gmail.com" TargetMode="External"/><Relationship Id="rId226" Type="http://schemas.openxmlformats.org/officeDocument/2006/relationships/hyperlink" Target="mailto:claire.liang.engineer@gmail.com" TargetMode="External"/><Relationship Id="rId268" Type="http://schemas.openxmlformats.org/officeDocument/2006/relationships/hyperlink" Target="mailto:lukeyang008@gmail.com" TargetMode="External"/><Relationship Id="rId32" Type="http://schemas.openxmlformats.org/officeDocument/2006/relationships/hyperlink" Target="mailto:fish444555@gmail.com" TargetMode="External"/><Relationship Id="rId74" Type="http://schemas.openxmlformats.org/officeDocument/2006/relationships/hyperlink" Target="mailto:yinfirefire@gmail.com" TargetMode="External"/><Relationship Id="rId128" Type="http://schemas.openxmlformats.org/officeDocument/2006/relationships/hyperlink" Target="mailto:homily707@outlook.com" TargetMode="External"/><Relationship Id="rId335" Type="http://schemas.openxmlformats.org/officeDocument/2006/relationships/hyperlink" Target="mailto:aiz@uci.edu" TargetMode="External"/><Relationship Id="rId377" Type="http://schemas.openxmlformats.org/officeDocument/2006/relationships/hyperlink" Target="mailto:feishenyun@gmail.com" TargetMode="External"/><Relationship Id="rId5" Type="http://schemas.openxmlformats.org/officeDocument/2006/relationships/hyperlink" Target="mailto:pengfeng2000@gmail.com" TargetMode="External"/><Relationship Id="rId181" Type="http://schemas.openxmlformats.org/officeDocument/2006/relationships/hyperlink" Target="mailto:hp1100@nyu.edu" TargetMode="External"/><Relationship Id="rId237" Type="http://schemas.openxmlformats.org/officeDocument/2006/relationships/hyperlink" Target="mailto:shiyaow@umich.edu" TargetMode="External"/><Relationship Id="rId402" Type="http://schemas.openxmlformats.org/officeDocument/2006/relationships/hyperlink" Target="mailto:wangkaiyu16bupt@gmail.com" TargetMode="External"/><Relationship Id="rId279" Type="http://schemas.openxmlformats.org/officeDocument/2006/relationships/hyperlink" Target="mailto:yixiangsd@gmail.com" TargetMode="External"/><Relationship Id="rId43" Type="http://schemas.openxmlformats.org/officeDocument/2006/relationships/hyperlink" Target="mailto:zerotrac2259@gmail.com" TargetMode="External"/><Relationship Id="rId139" Type="http://schemas.openxmlformats.org/officeDocument/2006/relationships/hyperlink" Target="mailto:wxhelloworld@gmail.com" TargetMode="External"/><Relationship Id="rId290" Type="http://schemas.openxmlformats.org/officeDocument/2006/relationships/hyperlink" Target="mailto:zhouminzoe@gmail.com" TargetMode="External"/><Relationship Id="rId304" Type="http://schemas.openxmlformats.org/officeDocument/2006/relationships/hyperlink" Target="mailto:taobotong1987@gmail.com" TargetMode="External"/><Relationship Id="rId346" Type="http://schemas.openxmlformats.org/officeDocument/2006/relationships/hyperlink" Target="mailto:mickchen@yahoo.com" TargetMode="External"/><Relationship Id="rId388" Type="http://schemas.openxmlformats.org/officeDocument/2006/relationships/hyperlink" Target="mailto:mfk443838746@gmail.com" TargetMode="External"/><Relationship Id="rId85" Type="http://schemas.openxmlformats.org/officeDocument/2006/relationships/hyperlink" Target="mailto:inyuo1997@gmail.com" TargetMode="External"/><Relationship Id="rId150" Type="http://schemas.openxmlformats.org/officeDocument/2006/relationships/hyperlink" Target="mailto:tammyruan@gmail.com" TargetMode="External"/><Relationship Id="rId192" Type="http://schemas.openxmlformats.org/officeDocument/2006/relationships/hyperlink" Target="mailto:yangmingliu16@gmail.com" TargetMode="External"/><Relationship Id="rId206" Type="http://schemas.openxmlformats.org/officeDocument/2006/relationships/hyperlink" Target="mailto:zhangn49.freeman@gmail.com" TargetMode="External"/><Relationship Id="rId413" Type="http://schemas.openxmlformats.org/officeDocument/2006/relationships/hyperlink" Target="mailto:ryanwong0127@gmail.com" TargetMode="External"/><Relationship Id="rId248" Type="http://schemas.openxmlformats.org/officeDocument/2006/relationships/hyperlink" Target="mailto:yn1106@rit.edu" TargetMode="External"/><Relationship Id="rId12" Type="http://schemas.openxmlformats.org/officeDocument/2006/relationships/hyperlink" Target="mailto:siqiaochen@gmail.com" TargetMode="External"/><Relationship Id="rId108" Type="http://schemas.openxmlformats.org/officeDocument/2006/relationships/hyperlink" Target="mailto:hellowordsunny@gmail.com" TargetMode="External"/><Relationship Id="rId315" Type="http://schemas.openxmlformats.org/officeDocument/2006/relationships/hyperlink" Target="mailto:binbenwang1994@gmail.com" TargetMode="External"/><Relationship Id="rId357" Type="http://schemas.openxmlformats.org/officeDocument/2006/relationships/hyperlink" Target="mailto:hanzhipeng9@gmail.com" TargetMode="External"/><Relationship Id="rId54" Type="http://schemas.openxmlformats.org/officeDocument/2006/relationships/hyperlink" Target="mailto:zhuyuxiao.mail@gmail.com" TargetMode="External"/><Relationship Id="rId96" Type="http://schemas.openxmlformats.org/officeDocument/2006/relationships/hyperlink" Target="mailto:hongru52@gmail.com" TargetMode="External"/><Relationship Id="rId161" Type="http://schemas.openxmlformats.org/officeDocument/2006/relationships/hyperlink" Target="mailto:jonathanyuheng@gmail.com" TargetMode="External"/><Relationship Id="rId217" Type="http://schemas.openxmlformats.org/officeDocument/2006/relationships/hyperlink" Target="mailto:33sharewithu@gmail.com" TargetMode="External"/><Relationship Id="rId399" Type="http://schemas.openxmlformats.org/officeDocument/2006/relationships/hyperlink" Target="mailto:kqe2705@gmail.com" TargetMode="External"/><Relationship Id="rId259" Type="http://schemas.openxmlformats.org/officeDocument/2006/relationships/hyperlink" Target="mailto:cozlind@live.com" TargetMode="External"/><Relationship Id="rId23" Type="http://schemas.openxmlformats.org/officeDocument/2006/relationships/hyperlink" Target="mailto:yli792@usc.edu" TargetMode="External"/><Relationship Id="rId119" Type="http://schemas.openxmlformats.org/officeDocument/2006/relationships/hyperlink" Target="mailto:yiding.ely@gmail.com" TargetMode="External"/><Relationship Id="rId270" Type="http://schemas.openxmlformats.org/officeDocument/2006/relationships/hyperlink" Target="mailto:hongru52@gmail.com" TargetMode="External"/><Relationship Id="rId326" Type="http://schemas.openxmlformats.org/officeDocument/2006/relationships/hyperlink" Target="mailto:yueguo1217@gmail.com" TargetMode="External"/><Relationship Id="rId65" Type="http://schemas.openxmlformats.org/officeDocument/2006/relationships/hyperlink" Target="mailto:dongli.pek@gmail.com" TargetMode="External"/><Relationship Id="rId130" Type="http://schemas.openxmlformats.org/officeDocument/2006/relationships/hyperlink" Target="mailto:april.s.qi@gmail.com" TargetMode="External"/><Relationship Id="rId368" Type="http://schemas.openxmlformats.org/officeDocument/2006/relationships/hyperlink" Target="mailto:bots@skins.email" TargetMode="External"/><Relationship Id="rId172" Type="http://schemas.openxmlformats.org/officeDocument/2006/relationships/hyperlink" Target="mailto:bairf2niu@gmail.com" TargetMode="External"/><Relationship Id="rId228" Type="http://schemas.openxmlformats.org/officeDocument/2006/relationships/hyperlink" Target="mailto:xilianguc@gmail.com" TargetMode="External"/><Relationship Id="rId281" Type="http://schemas.openxmlformats.org/officeDocument/2006/relationships/hyperlink" Target="mailto:zexuan.wang@hotmail.com" TargetMode="External"/><Relationship Id="rId337" Type="http://schemas.openxmlformats.org/officeDocument/2006/relationships/hyperlink" Target="mailto:johnkelvinson@gmail.com" TargetMode="External"/><Relationship Id="rId34" Type="http://schemas.openxmlformats.org/officeDocument/2006/relationships/hyperlink" Target="mailto:joychenrice@gmail.com" TargetMode="External"/><Relationship Id="rId76" Type="http://schemas.openxmlformats.org/officeDocument/2006/relationships/hyperlink" Target="mailto:sjzhang1901@gmail.com" TargetMode="External"/><Relationship Id="rId141" Type="http://schemas.openxmlformats.org/officeDocument/2006/relationships/hyperlink" Target="mailto:lighteningzhang@163.com" TargetMode="External"/><Relationship Id="rId379" Type="http://schemas.openxmlformats.org/officeDocument/2006/relationships/hyperlink" Target="mailto:wangxinya5@gmail.com" TargetMode="External"/><Relationship Id="rId7" Type="http://schemas.openxmlformats.org/officeDocument/2006/relationships/hyperlink" Target="mailto:irischangguo@gmail.com" TargetMode="External"/><Relationship Id="rId183" Type="http://schemas.openxmlformats.org/officeDocument/2006/relationships/hyperlink" Target="mailto:805482395@qq.com" TargetMode="External"/><Relationship Id="rId239" Type="http://schemas.openxmlformats.org/officeDocument/2006/relationships/hyperlink" Target="mailto:kaizhangcs@gmail.com" TargetMode="External"/><Relationship Id="rId390" Type="http://schemas.openxmlformats.org/officeDocument/2006/relationships/hyperlink" Target="mailto:xdcao0903@gmail.com" TargetMode="External"/><Relationship Id="rId404" Type="http://schemas.openxmlformats.org/officeDocument/2006/relationships/hyperlink" Target="mailto:njuhekai@gmail.com" TargetMode="External"/><Relationship Id="rId250" Type="http://schemas.openxmlformats.org/officeDocument/2006/relationships/hyperlink" Target="mailto:rainyforest4869@gmail.com" TargetMode="External"/><Relationship Id="rId292" Type="http://schemas.openxmlformats.org/officeDocument/2006/relationships/hyperlink" Target="mailto:shiyaow@umich.edu" TargetMode="External"/><Relationship Id="rId306" Type="http://schemas.openxmlformats.org/officeDocument/2006/relationships/hyperlink" Target="mailto:masdc98@gmail.com" TargetMode="External"/><Relationship Id="rId45" Type="http://schemas.openxmlformats.org/officeDocument/2006/relationships/hyperlink" Target="mailto:kealyn1002@gmail.com" TargetMode="External"/><Relationship Id="rId87" Type="http://schemas.openxmlformats.org/officeDocument/2006/relationships/hyperlink" Target="mailto:hfuwu5@gmail.com" TargetMode="External"/><Relationship Id="rId110" Type="http://schemas.openxmlformats.org/officeDocument/2006/relationships/hyperlink" Target="mailto:ljr941226@gmail.com" TargetMode="External"/><Relationship Id="rId348" Type="http://schemas.openxmlformats.org/officeDocument/2006/relationships/hyperlink" Target="mailto:wangxinya5@gmail.com" TargetMode="External"/><Relationship Id="rId152" Type="http://schemas.openxmlformats.org/officeDocument/2006/relationships/hyperlink" Target="mailto:meiyiyang1201@gmail.com" TargetMode="External"/><Relationship Id="rId194" Type="http://schemas.openxmlformats.org/officeDocument/2006/relationships/hyperlink" Target="mailto:sl4685@columbia.edu" TargetMode="External"/><Relationship Id="rId208" Type="http://schemas.openxmlformats.org/officeDocument/2006/relationships/hyperlink" Target="mailto:nealhuang0.0@gmail.com" TargetMode="External"/><Relationship Id="rId261" Type="http://schemas.openxmlformats.org/officeDocument/2006/relationships/hyperlink" Target="mailto:chenjianxu97@gmail.com" TargetMode="External"/><Relationship Id="rId14" Type="http://schemas.openxmlformats.org/officeDocument/2006/relationships/hyperlink" Target="mailto:got7amy@gmail.com" TargetMode="External"/><Relationship Id="rId56" Type="http://schemas.openxmlformats.org/officeDocument/2006/relationships/hyperlink" Target="mailto:weidong6686@gmail.com" TargetMode="External"/><Relationship Id="rId317" Type="http://schemas.openxmlformats.org/officeDocument/2006/relationships/hyperlink" Target="mailto:changlu591@gmail.com" TargetMode="External"/><Relationship Id="rId359" Type="http://schemas.openxmlformats.org/officeDocument/2006/relationships/hyperlink" Target="mailto:kuan_525@163.com" TargetMode="External"/><Relationship Id="rId98" Type="http://schemas.openxmlformats.org/officeDocument/2006/relationships/hyperlink" Target="mailto:lgc20407@gmail.com" TargetMode="External"/><Relationship Id="rId121" Type="http://schemas.openxmlformats.org/officeDocument/2006/relationships/hyperlink" Target="mailto:xiaoyuzhang0217@gmail.com" TargetMode="External"/><Relationship Id="rId163" Type="http://schemas.openxmlformats.org/officeDocument/2006/relationships/hyperlink" Target="mailto:scott.cc1206@gmail.com" TargetMode="External"/><Relationship Id="rId219" Type="http://schemas.openxmlformats.org/officeDocument/2006/relationships/hyperlink" Target="mailto:yanggunyit@gmail.com" TargetMode="External"/><Relationship Id="rId370" Type="http://schemas.openxmlformats.org/officeDocument/2006/relationships/hyperlink" Target="mailto:inyuo1997@gmail.com" TargetMode="External"/><Relationship Id="rId230" Type="http://schemas.openxmlformats.org/officeDocument/2006/relationships/hyperlink" Target="mailto:haoyuumb@gmail.com" TargetMode="External"/><Relationship Id="rId25" Type="http://schemas.openxmlformats.org/officeDocument/2006/relationships/hyperlink" Target="mailto:jiecongwang@gmail.com" TargetMode="External"/><Relationship Id="rId67" Type="http://schemas.openxmlformats.org/officeDocument/2006/relationships/hyperlink" Target="mailto:wdy317138@gmail.com" TargetMode="External"/><Relationship Id="rId272" Type="http://schemas.openxmlformats.org/officeDocument/2006/relationships/hyperlink" Target="mailto:yuanmeng@buffalo.edu" TargetMode="External"/><Relationship Id="rId328" Type="http://schemas.openxmlformats.org/officeDocument/2006/relationships/hyperlink" Target="mailto:klutzoder@gmail.com" TargetMode="External"/><Relationship Id="rId132" Type="http://schemas.openxmlformats.org/officeDocument/2006/relationships/hyperlink" Target="mailto:danielle.yueyi.chen@gmail.com" TargetMode="External"/><Relationship Id="rId174" Type="http://schemas.openxmlformats.org/officeDocument/2006/relationships/hyperlink" Target="mailto:tongliu562@gmail.com" TargetMode="External"/><Relationship Id="rId381" Type="http://schemas.openxmlformats.org/officeDocument/2006/relationships/hyperlink" Target="mailto:1743157835@qq.com" TargetMode="External"/><Relationship Id="rId241" Type="http://schemas.openxmlformats.org/officeDocument/2006/relationships/hyperlink" Target="mailto:yilun.zhao@yale.edu" TargetMode="External"/><Relationship Id="rId36" Type="http://schemas.openxmlformats.org/officeDocument/2006/relationships/hyperlink" Target="mailto:rogerhong1996@gmail.com" TargetMode="External"/><Relationship Id="rId283" Type="http://schemas.openxmlformats.org/officeDocument/2006/relationships/hyperlink" Target="mailto:jzcheng@umich.edu" TargetMode="External"/><Relationship Id="rId339" Type="http://schemas.openxmlformats.org/officeDocument/2006/relationships/hyperlink" Target="mailto:peawinter@gmail.com" TargetMode="External"/><Relationship Id="rId78" Type="http://schemas.openxmlformats.org/officeDocument/2006/relationships/hyperlink" Target="mailto:xinganlu1@gmail.com" TargetMode="External"/><Relationship Id="rId101" Type="http://schemas.openxmlformats.org/officeDocument/2006/relationships/hyperlink" Target="mailto:changlu591@gmail.com" TargetMode="External"/><Relationship Id="rId143" Type="http://schemas.openxmlformats.org/officeDocument/2006/relationships/hyperlink" Target="mailto:ftdejo@gmail.com" TargetMode="External"/><Relationship Id="rId185" Type="http://schemas.openxmlformats.org/officeDocument/2006/relationships/hyperlink" Target="mailto:yuantingwhu@gmail.com" TargetMode="External"/><Relationship Id="rId350" Type="http://schemas.openxmlformats.org/officeDocument/2006/relationships/hyperlink" Target="mailto:kqe2705@gmail.com" TargetMode="External"/><Relationship Id="rId406" Type="http://schemas.openxmlformats.org/officeDocument/2006/relationships/hyperlink" Target="mailto:htkzmo@gmail.com" TargetMode="External"/><Relationship Id="rId9" Type="http://schemas.openxmlformats.org/officeDocument/2006/relationships/hyperlink" Target="mailto:yueb@umich.edu" TargetMode="External"/><Relationship Id="rId210" Type="http://schemas.openxmlformats.org/officeDocument/2006/relationships/hyperlink" Target="mailto:jiekunliang@gmail.com" TargetMode="External"/><Relationship Id="rId392" Type="http://schemas.openxmlformats.org/officeDocument/2006/relationships/hyperlink" Target="mailto:ruotianruotian@googlemail.com" TargetMode="External"/><Relationship Id="rId252" Type="http://schemas.openxmlformats.org/officeDocument/2006/relationships/hyperlink" Target="mailto:wangxinya5@gmail.com" TargetMode="External"/><Relationship Id="rId294" Type="http://schemas.openxmlformats.org/officeDocument/2006/relationships/hyperlink" Target="mailto:daojing.guo@gmail.com" TargetMode="External"/><Relationship Id="rId308" Type="http://schemas.openxmlformats.org/officeDocument/2006/relationships/hyperlink" Target="mailto:skyzjkang@gmail.com" TargetMode="External"/><Relationship Id="rId47" Type="http://schemas.openxmlformats.org/officeDocument/2006/relationships/hyperlink" Target="mailto:cherishsunyi@gmail.com" TargetMode="External"/><Relationship Id="rId89" Type="http://schemas.openxmlformats.org/officeDocument/2006/relationships/hyperlink" Target="mailto:redickhao@gmail.com" TargetMode="External"/><Relationship Id="rId112" Type="http://schemas.openxmlformats.org/officeDocument/2006/relationships/hyperlink" Target="mailto:suzyzhang0@gmail.com" TargetMode="External"/><Relationship Id="rId154" Type="http://schemas.openxmlformats.org/officeDocument/2006/relationships/hyperlink" Target="mailto:he.junyi96@gmail.com" TargetMode="External"/><Relationship Id="rId361" Type="http://schemas.openxmlformats.org/officeDocument/2006/relationships/hyperlink" Target="mailto:leafzhang714@gmail.com" TargetMode="External"/><Relationship Id="rId196" Type="http://schemas.openxmlformats.org/officeDocument/2006/relationships/hyperlink" Target="mailto:hongbo.qin.1001@gmail.com" TargetMode="External"/><Relationship Id="rId16" Type="http://schemas.openxmlformats.org/officeDocument/2006/relationships/hyperlink" Target="mailto:machaochun1@gmail.com" TargetMode="External"/><Relationship Id="rId221" Type="http://schemas.openxmlformats.org/officeDocument/2006/relationships/hyperlink" Target="mailto:djhwslzy@gmail.com" TargetMode="External"/><Relationship Id="rId263" Type="http://schemas.openxmlformats.org/officeDocument/2006/relationships/hyperlink" Target="mailto:aguang.xyz@gmail.com" TargetMode="External"/><Relationship Id="rId319" Type="http://schemas.openxmlformats.org/officeDocument/2006/relationships/hyperlink" Target="mailto:haiqianz@usc.edu" TargetMode="External"/><Relationship Id="rId58" Type="http://schemas.openxmlformats.org/officeDocument/2006/relationships/hyperlink" Target="mailto:huangkeqi1995@gmail.com" TargetMode="External"/><Relationship Id="rId123" Type="http://schemas.openxmlformats.org/officeDocument/2006/relationships/hyperlink" Target="mailto:larui529@gmail.com" TargetMode="External"/><Relationship Id="rId330" Type="http://schemas.openxmlformats.org/officeDocument/2006/relationships/hyperlink" Target="mailto:jiachengliu@tamu.edu" TargetMode="External"/><Relationship Id="rId165" Type="http://schemas.openxmlformats.org/officeDocument/2006/relationships/hyperlink" Target="mailto:lwh14710@gmail.com" TargetMode="External"/><Relationship Id="rId372" Type="http://schemas.openxmlformats.org/officeDocument/2006/relationships/hyperlink" Target="mailto:zhuoshen617@gmail.com" TargetMode="External"/><Relationship Id="rId232" Type="http://schemas.openxmlformats.org/officeDocument/2006/relationships/hyperlink" Target="mailto:yimingli.cs@gmail.com" TargetMode="External"/><Relationship Id="rId274" Type="http://schemas.openxmlformats.org/officeDocument/2006/relationships/hyperlink" Target="mailto:jxphxufh@gmail.com" TargetMode="External"/><Relationship Id="rId27" Type="http://schemas.openxmlformats.org/officeDocument/2006/relationships/hyperlink" Target="mailto:johnkelvinson@gmail.com" TargetMode="External"/><Relationship Id="rId69" Type="http://schemas.openxmlformats.org/officeDocument/2006/relationships/hyperlink" Target="mailto:aiz@uci.edu" TargetMode="External"/><Relationship Id="rId134" Type="http://schemas.openxmlformats.org/officeDocument/2006/relationships/hyperlink" Target="mailto:rarry2012@gmail.com" TargetMode="External"/><Relationship Id="rId80" Type="http://schemas.openxmlformats.org/officeDocument/2006/relationships/hyperlink" Target="mailto:jiaweiwang930426@gmail.com" TargetMode="External"/><Relationship Id="rId155" Type="http://schemas.openxmlformats.org/officeDocument/2006/relationships/hyperlink" Target="mailto:dexin.ren00@gmail.com" TargetMode="External"/><Relationship Id="rId176" Type="http://schemas.openxmlformats.org/officeDocument/2006/relationships/hyperlink" Target="mailto:dennanisny@gmail.com" TargetMode="External"/><Relationship Id="rId197" Type="http://schemas.openxmlformats.org/officeDocument/2006/relationships/hyperlink" Target="mailto:zhichuanxun@gmail.com" TargetMode="External"/><Relationship Id="rId341" Type="http://schemas.openxmlformats.org/officeDocument/2006/relationships/hyperlink" Target="mailto:waynechen.ut@gmail.com" TargetMode="External"/><Relationship Id="rId362" Type="http://schemas.openxmlformats.org/officeDocument/2006/relationships/hyperlink" Target="mailto:yingyingchen10@gmail.com" TargetMode="External"/><Relationship Id="rId383" Type="http://schemas.openxmlformats.org/officeDocument/2006/relationships/hyperlink" Target="mailto:wangxinya5@gmail.com" TargetMode="External"/><Relationship Id="rId201" Type="http://schemas.openxmlformats.org/officeDocument/2006/relationships/hyperlink" Target="mailto:larui529@gmail.com" TargetMode="External"/><Relationship Id="rId222" Type="http://schemas.openxmlformats.org/officeDocument/2006/relationships/hyperlink" Target="mailto:jianmin0105@gmail.com" TargetMode="External"/><Relationship Id="rId243" Type="http://schemas.openxmlformats.org/officeDocument/2006/relationships/hyperlink" Target="mailto:tsianzuo@gmail.com" TargetMode="External"/><Relationship Id="rId264" Type="http://schemas.openxmlformats.org/officeDocument/2006/relationships/hyperlink" Target="mailto:maxchen290@gmail.com" TargetMode="External"/><Relationship Id="rId285" Type="http://schemas.openxmlformats.org/officeDocument/2006/relationships/hyperlink" Target="mailto:sugaruncle1996@gmail.com" TargetMode="External"/><Relationship Id="rId17" Type="http://schemas.openxmlformats.org/officeDocument/2006/relationships/hyperlink" Target="mailto:haiqianz@usc.edu" TargetMode="External"/><Relationship Id="rId38" Type="http://schemas.openxmlformats.org/officeDocument/2006/relationships/hyperlink" Target="mailto:zeyu.zoe.wang@gmail.com" TargetMode="External"/><Relationship Id="rId59" Type="http://schemas.openxmlformats.org/officeDocument/2006/relationships/hyperlink" Target="mailto:rizeng.zheng@gmail.com" TargetMode="External"/><Relationship Id="rId103" Type="http://schemas.openxmlformats.org/officeDocument/2006/relationships/hyperlink" Target="mailto:jiashenzzzzz@gmail.com" TargetMode="External"/><Relationship Id="rId124" Type="http://schemas.openxmlformats.org/officeDocument/2006/relationships/hyperlink" Target="mailto:yuhanwu2018@gmail.com" TargetMode="External"/><Relationship Id="rId310" Type="http://schemas.openxmlformats.org/officeDocument/2006/relationships/hyperlink" Target="mailto:shuadan4025@gmail.com" TargetMode="External"/><Relationship Id="rId70" Type="http://schemas.openxmlformats.org/officeDocument/2006/relationships/hyperlink" Target="mailto:machaochun1@gmail.com" TargetMode="External"/><Relationship Id="rId91" Type="http://schemas.openxmlformats.org/officeDocument/2006/relationships/hyperlink" Target="mailto:terry331221@gmail.com" TargetMode="External"/><Relationship Id="rId145" Type="http://schemas.openxmlformats.org/officeDocument/2006/relationships/hyperlink" Target="mailto:fuchengshun@gmail.com" TargetMode="External"/><Relationship Id="rId166" Type="http://schemas.openxmlformats.org/officeDocument/2006/relationships/hyperlink" Target="mailto:anhpp123@gmail.com" TargetMode="External"/><Relationship Id="rId187" Type="http://schemas.openxmlformats.org/officeDocument/2006/relationships/hyperlink" Target="mailto:johnkelvinson@gmail.com" TargetMode="External"/><Relationship Id="rId331" Type="http://schemas.openxmlformats.org/officeDocument/2006/relationships/hyperlink" Target="mailto:jiaxinhuang1013@gmail.com" TargetMode="External"/><Relationship Id="rId352" Type="http://schemas.openxmlformats.org/officeDocument/2006/relationships/hyperlink" Target="mailto:sudan9527@gmail.com" TargetMode="External"/><Relationship Id="rId373" Type="http://schemas.openxmlformats.org/officeDocument/2006/relationships/hyperlink" Target="mailto:zexuan.wang@hotmail.com" TargetMode="External"/><Relationship Id="rId394" Type="http://schemas.openxmlformats.org/officeDocument/2006/relationships/hyperlink" Target="mailto:lance_suen@icloud.com" TargetMode="External"/><Relationship Id="rId408" Type="http://schemas.openxmlformats.org/officeDocument/2006/relationships/hyperlink" Target="mailto:arthurma124@gmail.com" TargetMode="External"/><Relationship Id="rId1" Type="http://schemas.openxmlformats.org/officeDocument/2006/relationships/hyperlink" Target="mailto:natalieding007@gmail.com" TargetMode="External"/><Relationship Id="rId212" Type="http://schemas.openxmlformats.org/officeDocument/2006/relationships/hyperlink" Target="mailto:ziyezhu92@gmail.com" TargetMode="External"/><Relationship Id="rId233" Type="http://schemas.openxmlformats.org/officeDocument/2006/relationships/hyperlink" Target="mailto:jasysj@gmail.com" TargetMode="External"/><Relationship Id="rId254" Type="http://schemas.openxmlformats.org/officeDocument/2006/relationships/hyperlink" Target="mailto:liuzhenglaichn@gmail.com" TargetMode="External"/><Relationship Id="rId28" Type="http://schemas.openxmlformats.org/officeDocument/2006/relationships/hyperlink" Target="mailto:lihao199408@gmail.com" TargetMode="External"/><Relationship Id="rId49" Type="http://schemas.openxmlformats.org/officeDocument/2006/relationships/hyperlink" Target="mailto:xingyu.long.97@gmail.com" TargetMode="External"/><Relationship Id="rId114" Type="http://schemas.openxmlformats.org/officeDocument/2006/relationships/hyperlink" Target="mailto:jerryxyj289@gmail.com" TargetMode="External"/><Relationship Id="rId275" Type="http://schemas.openxmlformats.org/officeDocument/2006/relationships/hyperlink" Target="mailto:thucscw@gmail.com" TargetMode="External"/><Relationship Id="rId296" Type="http://schemas.openxmlformats.org/officeDocument/2006/relationships/hyperlink" Target="mailto:yilun.zhao@yale.edu" TargetMode="External"/><Relationship Id="rId300" Type="http://schemas.openxmlformats.org/officeDocument/2006/relationships/hyperlink" Target="mailto:sen.yang96@outlook.com" TargetMode="External"/><Relationship Id="rId60" Type="http://schemas.openxmlformats.org/officeDocument/2006/relationships/hyperlink" Target="mailto:jiachengliu@tamu.edu" TargetMode="External"/><Relationship Id="rId81" Type="http://schemas.openxmlformats.org/officeDocument/2006/relationships/hyperlink" Target="mailto:zhengxu1994620@gmail.com" TargetMode="External"/><Relationship Id="rId135" Type="http://schemas.openxmlformats.org/officeDocument/2006/relationships/hyperlink" Target="mailto:zerotrac2259@gmail.com" TargetMode="External"/><Relationship Id="rId156" Type="http://schemas.openxmlformats.org/officeDocument/2006/relationships/hyperlink" Target="mailto:sugaruncle1996@gmail.com" TargetMode="External"/><Relationship Id="rId177" Type="http://schemas.openxmlformats.org/officeDocument/2006/relationships/hyperlink" Target="mailto:sirgarfield.c@gmail.com" TargetMode="External"/><Relationship Id="rId198" Type="http://schemas.openxmlformats.org/officeDocument/2006/relationships/hyperlink" Target="mailto:xdcao0903@gmail.com" TargetMode="External"/><Relationship Id="rId321" Type="http://schemas.openxmlformats.org/officeDocument/2006/relationships/hyperlink" Target="mailto:ryanwong0127@gmail.com" TargetMode="External"/><Relationship Id="rId342" Type="http://schemas.openxmlformats.org/officeDocument/2006/relationships/hyperlink" Target="mailto:ryanwong0127@gmail.com" TargetMode="External"/><Relationship Id="rId363" Type="http://schemas.openxmlformats.org/officeDocument/2006/relationships/hyperlink" Target="mailto:williamwxz@gmail.com" TargetMode="External"/><Relationship Id="rId384" Type="http://schemas.openxmlformats.org/officeDocument/2006/relationships/hyperlink" Target="mailto:jonathanyuheng@gmail.com" TargetMode="External"/><Relationship Id="rId202" Type="http://schemas.openxmlformats.org/officeDocument/2006/relationships/hyperlink" Target="mailto:daojing.guo@gmail.com" TargetMode="External"/><Relationship Id="rId223" Type="http://schemas.openxmlformats.org/officeDocument/2006/relationships/hyperlink" Target="mailto:wy907645377@gmail.com" TargetMode="External"/><Relationship Id="rId244" Type="http://schemas.openxmlformats.org/officeDocument/2006/relationships/hyperlink" Target="mailto:xdcao0903@gmail.com" TargetMode="External"/><Relationship Id="rId18" Type="http://schemas.openxmlformats.org/officeDocument/2006/relationships/hyperlink" Target="mailto:b.ben.hjy@gmail.com" TargetMode="External"/><Relationship Id="rId39" Type="http://schemas.openxmlformats.org/officeDocument/2006/relationships/hyperlink" Target="mailto:hannaw0124@gmail.com" TargetMode="External"/><Relationship Id="rId265" Type="http://schemas.openxmlformats.org/officeDocument/2006/relationships/hyperlink" Target="mailto:zerolj42@gmail.com" TargetMode="External"/><Relationship Id="rId286" Type="http://schemas.openxmlformats.org/officeDocument/2006/relationships/hyperlink" Target="mailto:pengfeng2000@gmail.com" TargetMode="External"/><Relationship Id="rId50" Type="http://schemas.openxmlformats.org/officeDocument/2006/relationships/hyperlink" Target="mailto:yvonneyu0303@gmail.com" TargetMode="External"/><Relationship Id="rId104" Type="http://schemas.openxmlformats.org/officeDocument/2006/relationships/hyperlink" Target="mailto:arthurma124@gmail.com" TargetMode="External"/><Relationship Id="rId125" Type="http://schemas.openxmlformats.org/officeDocument/2006/relationships/hyperlink" Target="mailto:nealhuang0.0@gmail.com" TargetMode="External"/><Relationship Id="rId146" Type="http://schemas.openxmlformats.org/officeDocument/2006/relationships/hyperlink" Target="mailto:gr33nmnk3y@gmail.com" TargetMode="External"/><Relationship Id="rId167" Type="http://schemas.openxmlformats.org/officeDocument/2006/relationships/hyperlink" Target="mailto:biqingcc@gmail.com" TargetMode="External"/><Relationship Id="rId188" Type="http://schemas.openxmlformats.org/officeDocument/2006/relationships/hyperlink" Target="mailto:scott.cc1206@gmail.com" TargetMode="External"/><Relationship Id="rId311" Type="http://schemas.openxmlformats.org/officeDocument/2006/relationships/hyperlink" Target="mailto:liuchengtian@gmail.com" TargetMode="External"/><Relationship Id="rId332" Type="http://schemas.openxmlformats.org/officeDocument/2006/relationships/hyperlink" Target="mailto:lwh14710@gmail.com" TargetMode="External"/><Relationship Id="rId353" Type="http://schemas.openxmlformats.org/officeDocument/2006/relationships/hyperlink" Target="mailto:lilydenris@gmail.com" TargetMode="External"/><Relationship Id="rId374" Type="http://schemas.openxmlformats.org/officeDocument/2006/relationships/hyperlink" Target="mailto:njuhekai@gmail.com" TargetMode="External"/><Relationship Id="rId395" Type="http://schemas.openxmlformats.org/officeDocument/2006/relationships/hyperlink" Target="mailto:zexuan.wang@hotmail.com" TargetMode="External"/><Relationship Id="rId409" Type="http://schemas.openxmlformats.org/officeDocument/2006/relationships/hyperlink" Target="mailto:ryanwong0127@gmail.com" TargetMode="External"/><Relationship Id="rId71" Type="http://schemas.openxmlformats.org/officeDocument/2006/relationships/hyperlink" Target="mailto:henansam.sh@gmail.com" TargetMode="External"/><Relationship Id="rId92" Type="http://schemas.openxmlformats.org/officeDocument/2006/relationships/hyperlink" Target="mailto:wuhuajun132@gmail.com" TargetMode="External"/><Relationship Id="rId213" Type="http://schemas.openxmlformats.org/officeDocument/2006/relationships/hyperlink" Target="mailto:jiashenzzzzz@gmail.com" TargetMode="External"/><Relationship Id="rId234" Type="http://schemas.openxmlformats.org/officeDocument/2006/relationships/hyperlink" Target="mailto:jiaxinhuang1013@gmail.com" TargetMode="External"/><Relationship Id="rId2" Type="http://schemas.openxmlformats.org/officeDocument/2006/relationships/hyperlink" Target="mailto:huangkeqi1995@gmail.com" TargetMode="External"/><Relationship Id="rId29" Type="http://schemas.openxmlformats.org/officeDocument/2006/relationships/hyperlink" Target="mailto:michelle2020up@gmail.com" TargetMode="External"/><Relationship Id="rId255" Type="http://schemas.openxmlformats.org/officeDocument/2006/relationships/hyperlink" Target="mailto:yingshuo.zhang@uwaterloo.ca" TargetMode="External"/><Relationship Id="rId276" Type="http://schemas.openxmlformats.org/officeDocument/2006/relationships/hyperlink" Target="mailto:huiz0213@gmail.com" TargetMode="External"/><Relationship Id="rId297" Type="http://schemas.openxmlformats.org/officeDocument/2006/relationships/hyperlink" Target="mailto:sl4685@columbia.edu" TargetMode="External"/><Relationship Id="rId40" Type="http://schemas.openxmlformats.org/officeDocument/2006/relationships/hyperlink" Target="mailto:vivianvvang@gmail.com" TargetMode="External"/><Relationship Id="rId115" Type="http://schemas.openxmlformats.org/officeDocument/2006/relationships/hyperlink" Target="mailto:djzdevin@gmail.com" TargetMode="External"/><Relationship Id="rId136" Type="http://schemas.openxmlformats.org/officeDocument/2006/relationships/hyperlink" Target="mailto:chenjipengpeng@gmail.com" TargetMode="External"/><Relationship Id="rId157" Type="http://schemas.openxmlformats.org/officeDocument/2006/relationships/hyperlink" Target="mailto:ryoyukiyangy@gmail.com" TargetMode="External"/><Relationship Id="rId178" Type="http://schemas.openxmlformats.org/officeDocument/2006/relationships/hyperlink" Target="mailto:waynechen.ut@gmail.com" TargetMode="External"/><Relationship Id="rId301" Type="http://schemas.openxmlformats.org/officeDocument/2006/relationships/hyperlink" Target="mailto:jasysj@gmail.com" TargetMode="External"/><Relationship Id="rId322" Type="http://schemas.openxmlformats.org/officeDocument/2006/relationships/hyperlink" Target="mailto:sl4685@columbia.edu" TargetMode="External"/><Relationship Id="rId343" Type="http://schemas.openxmlformats.org/officeDocument/2006/relationships/hyperlink" Target="mailto:nickyfoto@gmail.com" TargetMode="External"/><Relationship Id="rId364" Type="http://schemas.openxmlformats.org/officeDocument/2006/relationships/hyperlink" Target="mailto:zexuan.wang@hotmail.com" TargetMode="External"/><Relationship Id="rId61" Type="http://schemas.openxmlformats.org/officeDocument/2006/relationships/hyperlink" Target="mailto:yjf27281181@gmail.com" TargetMode="External"/><Relationship Id="rId82" Type="http://schemas.openxmlformats.org/officeDocument/2006/relationships/hyperlink" Target="mailto:nealhuang0.0@gmail.com" TargetMode="External"/><Relationship Id="rId199" Type="http://schemas.openxmlformats.org/officeDocument/2006/relationships/hyperlink" Target="mailto:a729381063@gmail.com" TargetMode="External"/><Relationship Id="rId203" Type="http://schemas.openxmlformats.org/officeDocument/2006/relationships/hyperlink" Target="mailto:wendingp@gmail.com" TargetMode="External"/><Relationship Id="rId385" Type="http://schemas.openxmlformats.org/officeDocument/2006/relationships/hyperlink" Target="mailto:jiachengliu@tamu.edu" TargetMode="External"/><Relationship Id="rId19" Type="http://schemas.openxmlformats.org/officeDocument/2006/relationships/hyperlink" Target="mailto:aiz@uci.edu" TargetMode="External"/><Relationship Id="rId224" Type="http://schemas.openxmlformats.org/officeDocument/2006/relationships/hyperlink" Target="mailto:whtttth@gmail.com" TargetMode="External"/><Relationship Id="rId245" Type="http://schemas.openxmlformats.org/officeDocument/2006/relationships/hyperlink" Target="mailto:lukeyang008@gmail.com" TargetMode="External"/><Relationship Id="rId266" Type="http://schemas.openxmlformats.org/officeDocument/2006/relationships/hyperlink" Target="mailto:cnliusen@gmail.com" TargetMode="External"/><Relationship Id="rId287" Type="http://schemas.openxmlformats.org/officeDocument/2006/relationships/hyperlink" Target="mailto:yanggunyit@gmail.com" TargetMode="External"/><Relationship Id="rId410" Type="http://schemas.openxmlformats.org/officeDocument/2006/relationships/hyperlink" Target="mailto:jiaxinhuang1013@gmail.com" TargetMode="External"/><Relationship Id="rId30" Type="http://schemas.openxmlformats.org/officeDocument/2006/relationships/hyperlink" Target="mailto:tsianzuo@gmail.com" TargetMode="External"/><Relationship Id="rId105" Type="http://schemas.openxmlformats.org/officeDocument/2006/relationships/hyperlink" Target="mailto:jerrydream123@gmail.com" TargetMode="External"/><Relationship Id="rId126" Type="http://schemas.openxmlformats.org/officeDocument/2006/relationships/hyperlink" Target="mailto:shuadan4025@gmail.com" TargetMode="External"/><Relationship Id="rId147" Type="http://schemas.openxmlformats.org/officeDocument/2006/relationships/hyperlink" Target="mailto:klutzoder@gmail.com" TargetMode="External"/><Relationship Id="rId168" Type="http://schemas.openxmlformats.org/officeDocument/2006/relationships/hyperlink" Target="mailto:allenxulu@gmail.com" TargetMode="External"/><Relationship Id="rId312" Type="http://schemas.openxmlformats.org/officeDocument/2006/relationships/hyperlink" Target="mailto:kuan_525@163.com" TargetMode="External"/><Relationship Id="rId333" Type="http://schemas.openxmlformats.org/officeDocument/2006/relationships/hyperlink" Target="mailto:leyouhong1991@gmail.com" TargetMode="External"/><Relationship Id="rId354" Type="http://schemas.openxmlformats.org/officeDocument/2006/relationships/hyperlink" Target="mailto:tsianzuo@gmail.com" TargetMode="External"/><Relationship Id="rId51" Type="http://schemas.openxmlformats.org/officeDocument/2006/relationships/hyperlink" Target="mailto:renjie73@outlook.com" TargetMode="External"/><Relationship Id="rId72" Type="http://schemas.openxmlformats.org/officeDocument/2006/relationships/hyperlink" Target="mailto:jiecongwang@gmail.com" TargetMode="External"/><Relationship Id="rId93" Type="http://schemas.openxmlformats.org/officeDocument/2006/relationships/hyperlink" Target="mailto:qizhong19920114@gmail.com" TargetMode="External"/><Relationship Id="rId189" Type="http://schemas.openxmlformats.org/officeDocument/2006/relationships/hyperlink" Target="mailto:zhijiezhang0124@gmail.com" TargetMode="External"/><Relationship Id="rId375" Type="http://schemas.openxmlformats.org/officeDocument/2006/relationships/hyperlink" Target="mailto:arthurma124@gmail.com" TargetMode="External"/><Relationship Id="rId396" Type="http://schemas.openxmlformats.org/officeDocument/2006/relationships/hyperlink" Target="mailto:shaokedong123@gmail.com" TargetMode="External"/><Relationship Id="rId3" Type="http://schemas.openxmlformats.org/officeDocument/2006/relationships/hyperlink" Target="mailto:djzdevin@gmail.com" TargetMode="External"/><Relationship Id="rId214" Type="http://schemas.openxmlformats.org/officeDocument/2006/relationships/hyperlink" Target="mailto:sl4685@columbia.edu" TargetMode="External"/><Relationship Id="rId235" Type="http://schemas.openxmlformats.org/officeDocument/2006/relationships/hyperlink" Target="mailto:melody324324@gmail.com" TargetMode="External"/><Relationship Id="rId256" Type="http://schemas.openxmlformats.org/officeDocument/2006/relationships/hyperlink" Target="mailto:xywang0520@gmail.com" TargetMode="External"/><Relationship Id="rId277" Type="http://schemas.openxmlformats.org/officeDocument/2006/relationships/hyperlink" Target="mailto:kaizhangcs@gmail.com" TargetMode="External"/><Relationship Id="rId298" Type="http://schemas.openxmlformats.org/officeDocument/2006/relationships/hyperlink" Target="mailto:wangkaiyu16bupt@gmail.com" TargetMode="External"/><Relationship Id="rId400" Type="http://schemas.openxmlformats.org/officeDocument/2006/relationships/hyperlink" Target="mailto:591313782zb@gmail.com" TargetMode="External"/><Relationship Id="rId116" Type="http://schemas.openxmlformats.org/officeDocument/2006/relationships/hyperlink" Target="mailto:haiqianz@usc.edu" TargetMode="External"/><Relationship Id="rId137" Type="http://schemas.openxmlformats.org/officeDocument/2006/relationships/hyperlink" Target="mailto:gangliang0320@yahoo.ca" TargetMode="External"/><Relationship Id="rId158" Type="http://schemas.openxmlformats.org/officeDocument/2006/relationships/hyperlink" Target="mailto:zhengxu1994620@gmail.com" TargetMode="External"/><Relationship Id="rId302" Type="http://schemas.openxmlformats.org/officeDocument/2006/relationships/hyperlink" Target="mailto:carotwang@126.com" TargetMode="External"/><Relationship Id="rId323" Type="http://schemas.openxmlformats.org/officeDocument/2006/relationships/hyperlink" Target="mailto:zerolj42@gmail.com" TargetMode="External"/><Relationship Id="rId344" Type="http://schemas.openxmlformats.org/officeDocument/2006/relationships/hyperlink" Target="mailto:pingjing@gmail.com" TargetMode="External"/><Relationship Id="rId20" Type="http://schemas.openxmlformats.org/officeDocument/2006/relationships/hyperlink" Target="mailto:linshuhsin@gmail.com" TargetMode="External"/><Relationship Id="rId41" Type="http://schemas.openxmlformats.org/officeDocument/2006/relationships/hyperlink" Target="mailto:arron1990spring@gmail.com" TargetMode="External"/><Relationship Id="rId62" Type="http://schemas.openxmlformats.org/officeDocument/2006/relationships/hyperlink" Target="mailto:haiqianz@usc.edu" TargetMode="External"/><Relationship Id="rId83" Type="http://schemas.openxmlformats.org/officeDocument/2006/relationships/hyperlink" Target="mailto:fanhongjin19940206@gmail.com" TargetMode="External"/><Relationship Id="rId179" Type="http://schemas.openxmlformats.org/officeDocument/2006/relationships/hyperlink" Target="mailto:zhangwanying421@gmail.com" TargetMode="External"/><Relationship Id="rId365" Type="http://schemas.openxmlformats.org/officeDocument/2006/relationships/hyperlink" Target="mailto:liuchengtian@gmail.com" TargetMode="External"/><Relationship Id="rId386" Type="http://schemas.openxmlformats.org/officeDocument/2006/relationships/hyperlink" Target="mailto:zexuan.wang@hotmail.com" TargetMode="External"/><Relationship Id="rId190" Type="http://schemas.openxmlformats.org/officeDocument/2006/relationships/hyperlink" Target="mailto:hongru52@gmail.com" TargetMode="External"/><Relationship Id="rId204" Type="http://schemas.openxmlformats.org/officeDocument/2006/relationships/hyperlink" Target="mailto:stevenhuang42195@gmail.com" TargetMode="External"/><Relationship Id="rId225" Type="http://schemas.openxmlformats.org/officeDocument/2006/relationships/hyperlink" Target="mailto:littlewang2021@gmail.com" TargetMode="External"/><Relationship Id="rId246" Type="http://schemas.openxmlformats.org/officeDocument/2006/relationships/hyperlink" Target="mailto:yt2985@gmail.com" TargetMode="External"/><Relationship Id="rId267" Type="http://schemas.openxmlformats.org/officeDocument/2006/relationships/hyperlink" Target="mailto:shaokedong123@gmail.com" TargetMode="External"/><Relationship Id="rId288" Type="http://schemas.openxmlformats.org/officeDocument/2006/relationships/hyperlink" Target="mailto:carotwang@126.com" TargetMode="External"/><Relationship Id="rId411" Type="http://schemas.openxmlformats.org/officeDocument/2006/relationships/hyperlink" Target="mailto:jiachengliu@tamu.edu" TargetMode="External"/><Relationship Id="rId106" Type="http://schemas.openxmlformats.org/officeDocument/2006/relationships/hyperlink" Target="mailto:zuoqy.gk@gmail.com" TargetMode="External"/><Relationship Id="rId127" Type="http://schemas.openxmlformats.org/officeDocument/2006/relationships/hyperlink" Target="mailto:afu@forresty.com" TargetMode="External"/><Relationship Id="rId313" Type="http://schemas.openxmlformats.org/officeDocument/2006/relationships/hyperlink" Target="mailto:matthewzhu2232@gmail.com" TargetMode="External"/><Relationship Id="rId10" Type="http://schemas.openxmlformats.org/officeDocument/2006/relationships/hyperlink" Target="mailto:got7amy@gmail.com" TargetMode="External"/><Relationship Id="rId31" Type="http://schemas.openxmlformats.org/officeDocument/2006/relationships/hyperlink" Target="mailto:hcai.pku@gmail.com" TargetMode="External"/><Relationship Id="rId52" Type="http://schemas.openxmlformats.org/officeDocument/2006/relationships/hyperlink" Target="mailto:litian930220@gmail.com" TargetMode="External"/><Relationship Id="rId73" Type="http://schemas.openxmlformats.org/officeDocument/2006/relationships/hyperlink" Target="mailto:nianl_h@hotmail.com" TargetMode="External"/><Relationship Id="rId94" Type="http://schemas.openxmlformats.org/officeDocument/2006/relationships/hyperlink" Target="mailto:lilyliao48@gmail.com" TargetMode="External"/><Relationship Id="rId148" Type="http://schemas.openxmlformats.org/officeDocument/2006/relationships/hyperlink" Target="mailto:chunzizheng@gmail.com" TargetMode="External"/><Relationship Id="rId169" Type="http://schemas.openxmlformats.org/officeDocument/2006/relationships/hyperlink" Target="mailto:zhenguowcs@gmail.com" TargetMode="External"/><Relationship Id="rId334" Type="http://schemas.openxmlformats.org/officeDocument/2006/relationships/hyperlink" Target="mailto:tsianzuo@gmail.com" TargetMode="External"/><Relationship Id="rId355" Type="http://schemas.openxmlformats.org/officeDocument/2006/relationships/hyperlink" Target="mailto:wqyang@bu.edu" TargetMode="External"/><Relationship Id="rId376" Type="http://schemas.openxmlformats.org/officeDocument/2006/relationships/hyperlink" Target="mailto:cheng.endless@gmail.com" TargetMode="External"/><Relationship Id="rId397" Type="http://schemas.openxmlformats.org/officeDocument/2006/relationships/hyperlink" Target="mailto:jiachengliu@tamu.edu" TargetMode="External"/><Relationship Id="rId4" Type="http://schemas.openxmlformats.org/officeDocument/2006/relationships/hyperlink" Target="mailto:chengchuan94@gmail.com" TargetMode="External"/><Relationship Id="rId180" Type="http://schemas.openxmlformats.org/officeDocument/2006/relationships/hyperlink" Target="mailto:qypeng12@outlook.com" TargetMode="External"/><Relationship Id="rId215" Type="http://schemas.openxmlformats.org/officeDocument/2006/relationships/hyperlink" Target="mailto:chenjipengpeng@gmail.com" TargetMode="External"/><Relationship Id="rId236" Type="http://schemas.openxmlformats.org/officeDocument/2006/relationships/hyperlink" Target="mailto:jzcheng@umich.edu" TargetMode="External"/><Relationship Id="rId257" Type="http://schemas.openxmlformats.org/officeDocument/2006/relationships/hyperlink" Target="mailto:borong.lyu@nyu.edu" TargetMode="External"/><Relationship Id="rId278" Type="http://schemas.openxmlformats.org/officeDocument/2006/relationships/hyperlink" Target="mailto:jamesfan1101@gmail.com" TargetMode="External"/><Relationship Id="rId401" Type="http://schemas.openxmlformats.org/officeDocument/2006/relationships/hyperlink" Target="mailto:scott.cc1206@gmail.com" TargetMode="External"/><Relationship Id="rId303" Type="http://schemas.openxmlformats.org/officeDocument/2006/relationships/hyperlink" Target="mailto:wangyanstorm@163.com" TargetMode="External"/><Relationship Id="rId42" Type="http://schemas.openxmlformats.org/officeDocument/2006/relationships/hyperlink" Target="mailto:wangyxjason@gmail.com" TargetMode="External"/><Relationship Id="rId84" Type="http://schemas.openxmlformats.org/officeDocument/2006/relationships/hyperlink" Target="mailto:warriorzwy01@gmail.com" TargetMode="External"/><Relationship Id="rId138" Type="http://schemas.openxmlformats.org/officeDocument/2006/relationships/hyperlink" Target="mailto:louzhenglun@gmail.com" TargetMode="External"/><Relationship Id="rId345" Type="http://schemas.openxmlformats.org/officeDocument/2006/relationships/hyperlink" Target="mailto:baoruxiao@gmail.com" TargetMode="External"/><Relationship Id="rId387" Type="http://schemas.openxmlformats.org/officeDocument/2006/relationships/hyperlink" Target="mailto:cffinity@gmail.com" TargetMode="External"/><Relationship Id="rId191" Type="http://schemas.openxmlformats.org/officeDocument/2006/relationships/hyperlink" Target="mailto:jonathanyuheng@gmail.com" TargetMode="External"/><Relationship Id="rId205" Type="http://schemas.openxmlformats.org/officeDocument/2006/relationships/hyperlink" Target="mailto:jamesfan1101@gmail.com" TargetMode="External"/><Relationship Id="rId247" Type="http://schemas.openxmlformats.org/officeDocument/2006/relationships/hyperlink" Target="mailto:yingyingchen10@gmail.com" TargetMode="External"/><Relationship Id="rId412" Type="http://schemas.openxmlformats.org/officeDocument/2006/relationships/hyperlink" Target="mailto:591313782zb@gmail.com" TargetMode="External"/><Relationship Id="rId107" Type="http://schemas.openxmlformats.org/officeDocument/2006/relationships/hyperlink" Target="mailto:wangkaiyu16bupt@gmail.com" TargetMode="External"/><Relationship Id="rId289" Type="http://schemas.openxmlformats.org/officeDocument/2006/relationships/hyperlink" Target="mailto:zhichuanxun@gmail.com" TargetMode="External"/><Relationship Id="rId11" Type="http://schemas.openxmlformats.org/officeDocument/2006/relationships/hyperlink" Target="mailto:zhangwanying421@gmail.com" TargetMode="External"/><Relationship Id="rId53" Type="http://schemas.openxmlformats.org/officeDocument/2006/relationships/hyperlink" Target="mailto:Feiteng@gmail.com" TargetMode="External"/><Relationship Id="rId149" Type="http://schemas.openxmlformats.org/officeDocument/2006/relationships/hyperlink" Target="mailto:tigermlt1@gmail.com" TargetMode="External"/><Relationship Id="rId314" Type="http://schemas.openxmlformats.org/officeDocument/2006/relationships/hyperlink" Target="mailto:sugaruncle1996@gmail.com" TargetMode="External"/><Relationship Id="rId356" Type="http://schemas.openxmlformats.org/officeDocument/2006/relationships/hyperlink" Target="mailto:inyuo1997@gmail.com" TargetMode="External"/><Relationship Id="rId398" Type="http://schemas.openxmlformats.org/officeDocument/2006/relationships/hyperlink" Target="mailto:jhq@pku.edu.cn" TargetMode="External"/><Relationship Id="rId95" Type="http://schemas.openxmlformats.org/officeDocument/2006/relationships/hyperlink" Target="mailto:jwzhang86@gmail.com" TargetMode="External"/><Relationship Id="rId160" Type="http://schemas.openxmlformats.org/officeDocument/2006/relationships/hyperlink" Target="mailto:aiz@uci.edu" TargetMode="External"/><Relationship Id="rId216" Type="http://schemas.openxmlformats.org/officeDocument/2006/relationships/hyperlink" Target="mailto:tom.yjl3104@gmail.com" TargetMode="External"/><Relationship Id="rId258" Type="http://schemas.openxmlformats.org/officeDocument/2006/relationships/hyperlink" Target="mailto:isshgao@gmail.com" TargetMode="External"/><Relationship Id="rId22" Type="http://schemas.openxmlformats.org/officeDocument/2006/relationships/hyperlink" Target="mailto:yaxauw@gmail.com" TargetMode="External"/><Relationship Id="rId64" Type="http://schemas.openxmlformats.org/officeDocument/2006/relationships/hyperlink" Target="mailto:zhiyuanalwang@gmail.com" TargetMode="External"/><Relationship Id="rId118" Type="http://schemas.openxmlformats.org/officeDocument/2006/relationships/hyperlink" Target="mailto:littletiger1926@gmail.com" TargetMode="External"/><Relationship Id="rId325" Type="http://schemas.openxmlformats.org/officeDocument/2006/relationships/hyperlink" Target="mailto:tommyjiang1987@gmail.com" TargetMode="External"/><Relationship Id="rId367" Type="http://schemas.openxmlformats.org/officeDocument/2006/relationships/hyperlink" Target="mailto:jiaxinhuang1013@gmail.com" TargetMode="External"/><Relationship Id="rId171" Type="http://schemas.openxmlformats.org/officeDocument/2006/relationships/hyperlink" Target="mailto:adayxiang@gmail.com" TargetMode="External"/><Relationship Id="rId227" Type="http://schemas.openxmlformats.org/officeDocument/2006/relationships/hyperlink" Target="mailto:wangtengyi55555@gmail.com" TargetMode="External"/><Relationship Id="rId269" Type="http://schemas.openxmlformats.org/officeDocument/2006/relationships/hyperlink" Target="mailto:michael.liang1103@gmail.com" TargetMode="External"/><Relationship Id="rId33" Type="http://schemas.openxmlformats.org/officeDocument/2006/relationships/hyperlink" Target="mailto:edward250250@gmail.com" TargetMode="External"/><Relationship Id="rId129" Type="http://schemas.openxmlformats.org/officeDocument/2006/relationships/hyperlink" Target="mailto:zerotrac2259@gmail.com" TargetMode="External"/><Relationship Id="rId280" Type="http://schemas.openxmlformats.org/officeDocument/2006/relationships/hyperlink" Target="mailto:chen.mercer@gmail.com" TargetMode="External"/><Relationship Id="rId336" Type="http://schemas.openxmlformats.org/officeDocument/2006/relationships/hyperlink" Target="mailto:lishaoyang8@msn.com" TargetMode="External"/><Relationship Id="rId75" Type="http://schemas.openxmlformats.org/officeDocument/2006/relationships/hyperlink" Target="mailto:tiffanytingliu@gmail.com" TargetMode="External"/><Relationship Id="rId140" Type="http://schemas.openxmlformats.org/officeDocument/2006/relationships/hyperlink" Target="mailto:danielle.yueyi.chen@gmail.com" TargetMode="External"/><Relationship Id="rId182" Type="http://schemas.openxmlformats.org/officeDocument/2006/relationships/hyperlink" Target="mailto:williamwxz@gmail.com" TargetMode="External"/><Relationship Id="rId378" Type="http://schemas.openxmlformats.org/officeDocument/2006/relationships/hyperlink" Target="mailto:williamwxz@gmail.com" TargetMode="External"/><Relationship Id="rId403" Type="http://schemas.openxmlformats.org/officeDocument/2006/relationships/hyperlink" Target="mailto:zhangshangzhio@gmail.com" TargetMode="External"/><Relationship Id="rId6" Type="http://schemas.openxmlformats.org/officeDocument/2006/relationships/hyperlink" Target="about:blank" TargetMode="External"/><Relationship Id="rId238" Type="http://schemas.openxmlformats.org/officeDocument/2006/relationships/hyperlink" Target="mailto:bit3tbb@gmail.com" TargetMode="External"/><Relationship Id="rId291" Type="http://schemas.openxmlformats.org/officeDocument/2006/relationships/hyperlink" Target="mailto:longtao.cmu@gmail.com" TargetMode="External"/><Relationship Id="rId305" Type="http://schemas.openxmlformats.org/officeDocument/2006/relationships/hyperlink" Target="mailto:changyu.jiang86@gmail.com" TargetMode="External"/><Relationship Id="rId347" Type="http://schemas.openxmlformats.org/officeDocument/2006/relationships/hyperlink" Target="mailto:bing.wu@marylandsmith.umd.edu" TargetMode="External"/><Relationship Id="rId44" Type="http://schemas.openxmlformats.org/officeDocument/2006/relationships/hyperlink" Target="mailto:amangoworks@gmail.com" TargetMode="External"/><Relationship Id="rId86" Type="http://schemas.openxmlformats.org/officeDocument/2006/relationships/hyperlink" Target="mailto:zqzhang2101@gmail.com" TargetMode="External"/><Relationship Id="rId151" Type="http://schemas.openxmlformats.org/officeDocument/2006/relationships/hyperlink" Target="mailto:luojingyaoex@gmail.com" TargetMode="External"/><Relationship Id="rId389" Type="http://schemas.openxmlformats.org/officeDocument/2006/relationships/hyperlink" Target="mailto:sugaruncle1996@gmail.com" TargetMode="External"/><Relationship Id="rId193" Type="http://schemas.openxmlformats.org/officeDocument/2006/relationships/hyperlink" Target="mailto:mprclibo@gmail.com" TargetMode="External"/><Relationship Id="rId207" Type="http://schemas.openxmlformats.org/officeDocument/2006/relationships/hyperlink" Target="mailto:jiachengliu@tamu.edu" TargetMode="External"/><Relationship Id="rId249" Type="http://schemas.openxmlformats.org/officeDocument/2006/relationships/hyperlink" Target="mailto:dingluyuan@gmail.com" TargetMode="External"/><Relationship Id="rId13" Type="http://schemas.openxmlformats.org/officeDocument/2006/relationships/hyperlink" Target="mailto:cs.vivian04@gmail.com" TargetMode="External"/><Relationship Id="rId109" Type="http://schemas.openxmlformats.org/officeDocument/2006/relationships/hyperlink" Target="mailto:chenjianxu97@gmail.com" TargetMode="External"/><Relationship Id="rId260" Type="http://schemas.openxmlformats.org/officeDocument/2006/relationships/hyperlink" Target="mailto:chenjipengpeng@gmail.com" TargetMode="External"/><Relationship Id="rId316" Type="http://schemas.openxmlformats.org/officeDocument/2006/relationships/hyperlink" Target="mailto:chenjipengpeng@gmail.com" TargetMode="External"/><Relationship Id="rId55" Type="http://schemas.openxmlformats.org/officeDocument/2006/relationships/hyperlink" Target="mailto:djzdevin@gmail.com" TargetMode="External"/><Relationship Id="rId97" Type="http://schemas.openxmlformats.org/officeDocument/2006/relationships/hyperlink" Target="mailto:zhuyuxiao.mail@gmail.com" TargetMode="External"/><Relationship Id="rId120" Type="http://schemas.openxmlformats.org/officeDocument/2006/relationships/hyperlink" Target="mailto:chenketao007@gmail.com" TargetMode="External"/><Relationship Id="rId358" Type="http://schemas.openxmlformats.org/officeDocument/2006/relationships/hyperlink" Target="mailto:taimingyang1993@gmail.com" TargetMode="External"/><Relationship Id="rId162" Type="http://schemas.openxmlformats.org/officeDocument/2006/relationships/hyperlink" Target="mailto:wangzhe.dut@gmail.com" TargetMode="External"/><Relationship Id="rId218" Type="http://schemas.openxmlformats.org/officeDocument/2006/relationships/hyperlink" Target="mailto:hongru52@gmail.com" TargetMode="External"/><Relationship Id="rId271" Type="http://schemas.openxmlformats.org/officeDocument/2006/relationships/hyperlink" Target="mailto:arthurma124@gmail.com" TargetMode="External"/><Relationship Id="rId24" Type="http://schemas.openxmlformats.org/officeDocument/2006/relationships/hyperlink" Target="mailto:lisongyi@pku.edu.cn" TargetMode="External"/><Relationship Id="rId66" Type="http://schemas.openxmlformats.org/officeDocument/2006/relationships/hyperlink" Target="mailto:jonathanyuheng@gmail.com" TargetMode="External"/><Relationship Id="rId131" Type="http://schemas.openxmlformats.org/officeDocument/2006/relationships/hyperlink" Target="mailto:huisun012@gmail.com" TargetMode="External"/><Relationship Id="rId327" Type="http://schemas.openxmlformats.org/officeDocument/2006/relationships/hyperlink" Target="mailto:xdcao0903@gmail.com" TargetMode="External"/><Relationship Id="rId369" Type="http://schemas.openxmlformats.org/officeDocument/2006/relationships/hyperlink" Target="mailto:whtttth@gmail.com" TargetMode="External"/><Relationship Id="rId173" Type="http://schemas.openxmlformats.org/officeDocument/2006/relationships/hyperlink" Target="mailto:youyou331@gmail.com" TargetMode="External"/><Relationship Id="rId229" Type="http://schemas.openxmlformats.org/officeDocument/2006/relationships/hyperlink" Target="mailto:bing.wu@marylandsmith.umd.edu" TargetMode="External"/><Relationship Id="rId380" Type="http://schemas.openxmlformats.org/officeDocument/2006/relationships/hyperlink" Target="mailto:johnkelvinson@gmail.com" TargetMode="External"/><Relationship Id="rId240" Type="http://schemas.openxmlformats.org/officeDocument/2006/relationships/hyperlink" Target="mailto:januwong@gmail.com" TargetMode="External"/><Relationship Id="rId35" Type="http://schemas.openxmlformats.org/officeDocument/2006/relationships/hyperlink" Target="mailto:jialiangdong1125@gmail.com" TargetMode="External"/><Relationship Id="rId77" Type="http://schemas.openxmlformats.org/officeDocument/2006/relationships/hyperlink" Target="mailto:leo.6.wgao@gmail.com" TargetMode="External"/><Relationship Id="rId100" Type="http://schemas.openxmlformats.org/officeDocument/2006/relationships/hyperlink" Target="mailto:tsianzuo@gmail.com" TargetMode="External"/><Relationship Id="rId282" Type="http://schemas.openxmlformats.org/officeDocument/2006/relationships/hyperlink" Target="mailto:hzfmer94@gmail.com" TargetMode="External"/><Relationship Id="rId338" Type="http://schemas.openxmlformats.org/officeDocument/2006/relationships/hyperlink" Target="mailto:htkzmo@gmail.com" TargetMode="External"/><Relationship Id="rId8" Type="http://schemas.openxmlformats.org/officeDocument/2006/relationships/hyperlink" Target="mailto:chengu907@gmail.com" TargetMode="External"/><Relationship Id="rId142" Type="http://schemas.openxmlformats.org/officeDocument/2006/relationships/hyperlink" Target="mailto:matthewzhu2232@gmail.com" TargetMode="External"/><Relationship Id="rId184" Type="http://schemas.openxmlformats.org/officeDocument/2006/relationships/hyperlink" Target="mailto:qguond@gmail.com" TargetMode="External"/><Relationship Id="rId391" Type="http://schemas.openxmlformats.org/officeDocument/2006/relationships/hyperlink" Target="mailto:asxaqz2@gmail.com" TargetMode="External"/><Relationship Id="rId405" Type="http://schemas.openxmlformats.org/officeDocument/2006/relationships/hyperlink" Target="mailto:baoruxiao@gmail.com" TargetMode="External"/><Relationship Id="rId251" Type="http://schemas.openxmlformats.org/officeDocument/2006/relationships/hyperlink" Target="mailto:mickchen@yahoo.com" TargetMode="External"/><Relationship Id="rId46" Type="http://schemas.openxmlformats.org/officeDocument/2006/relationships/hyperlink" Target="mailto:yuhangmiaobu@gmail.com" TargetMode="External"/><Relationship Id="rId293" Type="http://schemas.openxmlformats.org/officeDocument/2006/relationships/hyperlink" Target="mailto:lilydenris@gmail.com" TargetMode="External"/><Relationship Id="rId307" Type="http://schemas.openxmlformats.org/officeDocument/2006/relationships/hyperlink" Target="mailto:bots@skins.email" TargetMode="External"/><Relationship Id="rId349" Type="http://schemas.openxmlformats.org/officeDocument/2006/relationships/hyperlink" Target="mailto:hzccx94@gmail.com" TargetMode="External"/><Relationship Id="rId88" Type="http://schemas.openxmlformats.org/officeDocument/2006/relationships/hyperlink" Target="mailto:renjunyao@gmail.com" TargetMode="External"/><Relationship Id="rId111" Type="http://schemas.openxmlformats.org/officeDocument/2006/relationships/hyperlink" Target="mailto:joychenrice@gmail.com" TargetMode="External"/><Relationship Id="rId153" Type="http://schemas.openxmlformats.org/officeDocument/2006/relationships/hyperlink" Target="mailto:lgc20407@gmail.com" TargetMode="External"/><Relationship Id="rId195" Type="http://schemas.openxmlformats.org/officeDocument/2006/relationships/hyperlink" Target="mailto:xjnull@gmail.com" TargetMode="External"/><Relationship Id="rId209" Type="http://schemas.openxmlformats.org/officeDocument/2006/relationships/hyperlink" Target="mailto:hxj.hao@gmail.com" TargetMode="External"/><Relationship Id="rId360" Type="http://schemas.openxmlformats.org/officeDocument/2006/relationships/hyperlink" Target="mailto:wxhelloworld@gmail.com" TargetMode="External"/><Relationship Id="rId220" Type="http://schemas.openxmlformats.org/officeDocument/2006/relationships/hyperlink" Target="mailto:zijian.cs@gmail.com" TargetMode="External"/><Relationship Id="rId15" Type="http://schemas.openxmlformats.org/officeDocument/2006/relationships/hyperlink" Target="mailto:dongli.pek@gmail.com" TargetMode="External"/><Relationship Id="rId57" Type="http://schemas.openxmlformats.org/officeDocument/2006/relationships/hyperlink" Target="mailto:superjessie92@gmail.com" TargetMode="External"/><Relationship Id="rId262" Type="http://schemas.openxmlformats.org/officeDocument/2006/relationships/hyperlink" Target="mailto:rayleigh0328@gmail.com" TargetMode="External"/><Relationship Id="rId318" Type="http://schemas.openxmlformats.org/officeDocument/2006/relationships/hyperlink" Target="mailto:jiaxinhuang1013@gmail.com" TargetMode="External"/><Relationship Id="rId99" Type="http://schemas.openxmlformats.org/officeDocument/2006/relationships/hyperlink" Target="mailto:zkawaken@gmail.com" TargetMode="External"/><Relationship Id="rId122" Type="http://schemas.openxmlformats.org/officeDocument/2006/relationships/hyperlink" Target="mailto:xuzhaoqingbuaa@gmail.com" TargetMode="External"/><Relationship Id="rId164" Type="http://schemas.openxmlformats.org/officeDocument/2006/relationships/hyperlink" Target="mailto:fightmingz@gmail.com" TargetMode="External"/><Relationship Id="rId371" Type="http://schemas.openxmlformats.org/officeDocument/2006/relationships/hyperlink" Target="mailto:matthewzhu2232@gmail.com" TargetMode="External"/><Relationship Id="rId26" Type="http://schemas.openxmlformats.org/officeDocument/2006/relationships/hyperlink" Target="mailto:i@gfw.fail" TargetMode="External"/><Relationship Id="rId231" Type="http://schemas.openxmlformats.org/officeDocument/2006/relationships/hyperlink" Target="mailto:zqzhang2101@gmail.com" TargetMode="External"/><Relationship Id="rId273" Type="http://schemas.openxmlformats.org/officeDocument/2006/relationships/hyperlink" Target="mailto:leishida0514@gmail.com" TargetMode="External"/><Relationship Id="rId329" Type="http://schemas.openxmlformats.org/officeDocument/2006/relationships/hyperlink" Target="mailto:bo.20@intl.zju.edu.cn" TargetMode="External"/><Relationship Id="rId68" Type="http://schemas.openxmlformats.org/officeDocument/2006/relationships/hyperlink" Target="mailto:qiangw1218@gmail.com" TargetMode="External"/><Relationship Id="rId133" Type="http://schemas.openxmlformats.org/officeDocument/2006/relationships/hyperlink" Target="mailto:johnkelvinson@gmail.com" TargetMode="External"/><Relationship Id="rId175" Type="http://schemas.openxmlformats.org/officeDocument/2006/relationships/hyperlink" Target="mailto:lwylwy210@gmail.com" TargetMode="External"/><Relationship Id="rId340" Type="http://schemas.openxmlformats.org/officeDocument/2006/relationships/hyperlink" Target="mailto:kun.hu7602@gmail.com" TargetMode="External"/><Relationship Id="rId200" Type="http://schemas.openxmlformats.org/officeDocument/2006/relationships/hyperlink" Target="mailto:ericjialinux@gmail.com" TargetMode="External"/><Relationship Id="rId382" Type="http://schemas.openxmlformats.org/officeDocument/2006/relationships/hyperlink" Target="mailto:xjnull@gmail.com" TargetMode="External"/><Relationship Id="rId242" Type="http://schemas.openxmlformats.org/officeDocument/2006/relationships/hyperlink" Target="mailto:han.youjia@gmail.com" TargetMode="External"/><Relationship Id="rId284" Type="http://schemas.openxmlformats.org/officeDocument/2006/relationships/hyperlink" Target="mailto:gr33nmnk3y@gmail.com" TargetMode="External"/><Relationship Id="rId37" Type="http://schemas.openxmlformats.org/officeDocument/2006/relationships/hyperlink" Target="mailto:805482395@qq.com" TargetMode="External"/><Relationship Id="rId79" Type="http://schemas.openxmlformats.org/officeDocument/2006/relationships/hyperlink" Target="mailto:497539558@qq.com" TargetMode="External"/><Relationship Id="rId102" Type="http://schemas.openxmlformats.org/officeDocument/2006/relationships/hyperlink" Target="mailto:bh1517zhr@gmail.com" TargetMode="External"/><Relationship Id="rId144" Type="http://schemas.openxmlformats.org/officeDocument/2006/relationships/hyperlink" Target="mailto:jja725@gmail.com" TargetMode="External"/><Relationship Id="rId90" Type="http://schemas.openxmlformats.org/officeDocument/2006/relationships/hyperlink" Target="mailto:liuwj23@gmail.com" TargetMode="External"/><Relationship Id="rId186" Type="http://schemas.openxmlformats.org/officeDocument/2006/relationships/hyperlink" Target="mailto:lynnnaive16@gmail.com" TargetMode="External"/><Relationship Id="rId351" Type="http://schemas.openxmlformats.org/officeDocument/2006/relationships/hyperlink" Target="mailto:baoruxiao@gmail.com" TargetMode="External"/><Relationship Id="rId393" Type="http://schemas.openxmlformats.org/officeDocument/2006/relationships/hyperlink" Target="mailto:haruhiui.clover@gmail.com" TargetMode="External"/><Relationship Id="rId407" Type="http://schemas.openxmlformats.org/officeDocument/2006/relationships/hyperlink" Target="mailto:zexuan.wang@hotmail.com" TargetMode="External"/><Relationship Id="rId211" Type="http://schemas.openxmlformats.org/officeDocument/2006/relationships/hyperlink" Target="mailto:lih627@outlook.com" TargetMode="External"/><Relationship Id="rId253" Type="http://schemas.openxmlformats.org/officeDocument/2006/relationships/hyperlink" Target="mailto:hellowordsunny@gmail.com" TargetMode="External"/><Relationship Id="rId295" Type="http://schemas.openxmlformats.org/officeDocument/2006/relationships/hyperlink" Target="mailto:klutzoder@gmail.com" TargetMode="External"/><Relationship Id="rId309" Type="http://schemas.openxmlformats.org/officeDocument/2006/relationships/hyperlink" Target="mailto:borong.lyu@nyu.edu" TargetMode="External"/><Relationship Id="rId48" Type="http://schemas.openxmlformats.org/officeDocument/2006/relationships/hyperlink" Target="mailto:johnkelvinson@gmail.com" TargetMode="External"/><Relationship Id="rId113" Type="http://schemas.openxmlformats.org/officeDocument/2006/relationships/hyperlink" Target="mailto:klutzoder@gmail.com" TargetMode="External"/><Relationship Id="rId320" Type="http://schemas.openxmlformats.org/officeDocument/2006/relationships/hyperlink" Target="mailto:taobotong1987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haiqianz@usc.edu" TargetMode="External"/><Relationship Id="rId299" Type="http://schemas.openxmlformats.org/officeDocument/2006/relationships/hyperlink" Target="mailto:iven@ivenwang.com" TargetMode="External"/><Relationship Id="rId21" Type="http://schemas.openxmlformats.org/officeDocument/2006/relationships/hyperlink" Target="mailto:yli792@usc.edu" TargetMode="External"/><Relationship Id="rId63" Type="http://schemas.openxmlformats.org/officeDocument/2006/relationships/hyperlink" Target="mailto:zhiyuanalwang@gmail.com" TargetMode="External"/><Relationship Id="rId159" Type="http://schemas.openxmlformats.org/officeDocument/2006/relationships/hyperlink" Target="mailto:clementchaoshucheng@gmail.com" TargetMode="External"/><Relationship Id="rId170" Type="http://schemas.openxmlformats.org/officeDocument/2006/relationships/hyperlink" Target="mailto:liudy.zju@gmail.com" TargetMode="External"/><Relationship Id="rId226" Type="http://schemas.openxmlformats.org/officeDocument/2006/relationships/hyperlink" Target="mailto:claire.liang.engineer@gmail.com" TargetMode="External"/><Relationship Id="rId268" Type="http://schemas.openxmlformats.org/officeDocument/2006/relationships/hyperlink" Target="mailto:lukeyang008@gmail.com" TargetMode="External"/><Relationship Id="rId32" Type="http://schemas.openxmlformats.org/officeDocument/2006/relationships/hyperlink" Target="mailto:fish444555@gmail.com" TargetMode="External"/><Relationship Id="rId74" Type="http://schemas.openxmlformats.org/officeDocument/2006/relationships/hyperlink" Target="mailto:tiffanytingliu@gmail.com" TargetMode="External"/><Relationship Id="rId128" Type="http://schemas.openxmlformats.org/officeDocument/2006/relationships/hyperlink" Target="mailto:homily707@outlook.com" TargetMode="External"/><Relationship Id="rId5" Type="http://schemas.openxmlformats.org/officeDocument/2006/relationships/hyperlink" Target="mailto:pengfeng2000@gmail.com" TargetMode="External"/><Relationship Id="rId181" Type="http://schemas.openxmlformats.org/officeDocument/2006/relationships/hyperlink" Target="mailto:hp1100@nyu.edu" TargetMode="External"/><Relationship Id="rId237" Type="http://schemas.openxmlformats.org/officeDocument/2006/relationships/hyperlink" Target="mailto:shiyaow@umich.edu" TargetMode="External"/><Relationship Id="rId279" Type="http://schemas.openxmlformats.org/officeDocument/2006/relationships/hyperlink" Target="mailto:yixiangsd@gmail.com" TargetMode="External"/><Relationship Id="rId43" Type="http://schemas.openxmlformats.org/officeDocument/2006/relationships/hyperlink" Target="mailto:wangyxjason@gmail.com" TargetMode="External"/><Relationship Id="rId139" Type="http://schemas.openxmlformats.org/officeDocument/2006/relationships/hyperlink" Target="mailto:wxhelloworld@gmail.com" TargetMode="External"/><Relationship Id="rId290" Type="http://schemas.openxmlformats.org/officeDocument/2006/relationships/hyperlink" Target="mailto:zhouminzoe@gmail.com" TargetMode="External"/><Relationship Id="rId304" Type="http://schemas.openxmlformats.org/officeDocument/2006/relationships/hyperlink" Target="mailto:taobotong1987@gmail.com" TargetMode="External"/><Relationship Id="rId85" Type="http://schemas.openxmlformats.org/officeDocument/2006/relationships/hyperlink" Target="mailto:inyuo1997@gmail.com" TargetMode="External"/><Relationship Id="rId150" Type="http://schemas.openxmlformats.org/officeDocument/2006/relationships/hyperlink" Target="mailto:tammyruan@gmail.com" TargetMode="External"/><Relationship Id="rId192" Type="http://schemas.openxmlformats.org/officeDocument/2006/relationships/hyperlink" Target="mailto:yangmingliu16@gmail.com" TargetMode="External"/><Relationship Id="rId206" Type="http://schemas.openxmlformats.org/officeDocument/2006/relationships/hyperlink" Target="mailto:zhangn49.freeman@gmail.com" TargetMode="External"/><Relationship Id="rId248" Type="http://schemas.openxmlformats.org/officeDocument/2006/relationships/hyperlink" Target="mailto:yn1106@rit.edu" TargetMode="External"/><Relationship Id="rId12" Type="http://schemas.openxmlformats.org/officeDocument/2006/relationships/hyperlink" Target="mailto:siqiaochen@gmail.com" TargetMode="External"/><Relationship Id="rId108" Type="http://schemas.openxmlformats.org/officeDocument/2006/relationships/hyperlink" Target="mailto:hellowordsunny@gmail.com" TargetMode="External"/><Relationship Id="rId315" Type="http://schemas.openxmlformats.org/officeDocument/2006/relationships/hyperlink" Target="mailto:binbenwang1994@gmail.com" TargetMode="External"/><Relationship Id="rId54" Type="http://schemas.openxmlformats.org/officeDocument/2006/relationships/hyperlink" Target="mailto:zhuyuxiao.mail@gmail.com" TargetMode="External"/><Relationship Id="rId96" Type="http://schemas.openxmlformats.org/officeDocument/2006/relationships/hyperlink" Target="mailto:jwzhang86@gmail.com" TargetMode="External"/><Relationship Id="rId161" Type="http://schemas.openxmlformats.org/officeDocument/2006/relationships/hyperlink" Target="mailto:jonathanyuheng@gmail.com" TargetMode="External"/><Relationship Id="rId217" Type="http://schemas.openxmlformats.org/officeDocument/2006/relationships/hyperlink" Target="mailto:33sharewithu@gmail.com" TargetMode="External"/><Relationship Id="rId259" Type="http://schemas.openxmlformats.org/officeDocument/2006/relationships/hyperlink" Target="mailto:cozlind@live.com" TargetMode="External"/><Relationship Id="rId23" Type="http://schemas.openxmlformats.org/officeDocument/2006/relationships/hyperlink" Target="mailto:yaxauw@gmail.com" TargetMode="External"/><Relationship Id="rId119" Type="http://schemas.openxmlformats.org/officeDocument/2006/relationships/hyperlink" Target="mailto:littletiger1926@gmail.com" TargetMode="External"/><Relationship Id="rId270" Type="http://schemas.openxmlformats.org/officeDocument/2006/relationships/hyperlink" Target="mailto:hongru52@gmail.com" TargetMode="External"/><Relationship Id="rId65" Type="http://schemas.openxmlformats.org/officeDocument/2006/relationships/hyperlink" Target="mailto:wdy317138@gmail.com" TargetMode="External"/><Relationship Id="rId130" Type="http://schemas.openxmlformats.org/officeDocument/2006/relationships/hyperlink" Target="mailto:april.s.qi@gmail.com" TargetMode="External"/><Relationship Id="rId172" Type="http://schemas.openxmlformats.org/officeDocument/2006/relationships/hyperlink" Target="mailto:bairf2niu@gmail.com" TargetMode="External"/><Relationship Id="rId228" Type="http://schemas.openxmlformats.org/officeDocument/2006/relationships/hyperlink" Target="mailto:bing.wu@marylandsmith.umd.edu" TargetMode="External"/><Relationship Id="rId13" Type="http://schemas.openxmlformats.org/officeDocument/2006/relationships/hyperlink" Target="mailto:cs.vivian04@gmail.com" TargetMode="External"/><Relationship Id="rId109" Type="http://schemas.openxmlformats.org/officeDocument/2006/relationships/hyperlink" Target="mailto:chenjianxu97@gmail.com" TargetMode="External"/><Relationship Id="rId260" Type="http://schemas.openxmlformats.org/officeDocument/2006/relationships/hyperlink" Target="mailto:chenjipengpeng@gmail.com" TargetMode="External"/><Relationship Id="rId281" Type="http://schemas.openxmlformats.org/officeDocument/2006/relationships/hyperlink" Target="mailto:chen.mercer@gmail.com" TargetMode="External"/><Relationship Id="rId316" Type="http://schemas.openxmlformats.org/officeDocument/2006/relationships/hyperlink" Target="mailto:changlu591@gmail.com" TargetMode="External"/><Relationship Id="rId34" Type="http://schemas.openxmlformats.org/officeDocument/2006/relationships/hyperlink" Target="mailto:joychenrice@gmail.com" TargetMode="External"/><Relationship Id="rId55" Type="http://schemas.openxmlformats.org/officeDocument/2006/relationships/hyperlink" Target="mailto:djzdevin@gmail.com" TargetMode="External"/><Relationship Id="rId76" Type="http://schemas.openxmlformats.org/officeDocument/2006/relationships/hyperlink" Target="mailto:xinganlu1@gmail.com" TargetMode="External"/><Relationship Id="rId97" Type="http://schemas.openxmlformats.org/officeDocument/2006/relationships/hyperlink" Target="mailto:zkawaken@gmail.com" TargetMode="External"/><Relationship Id="rId120" Type="http://schemas.openxmlformats.org/officeDocument/2006/relationships/hyperlink" Target="mailto:chenketao007@gmail.com" TargetMode="External"/><Relationship Id="rId141" Type="http://schemas.openxmlformats.org/officeDocument/2006/relationships/hyperlink" Target="mailto:lighteningzhang@163.com" TargetMode="External"/><Relationship Id="rId7" Type="http://schemas.openxmlformats.org/officeDocument/2006/relationships/hyperlink" Target="mailto:irischangguo@gmail.com" TargetMode="External"/><Relationship Id="rId162" Type="http://schemas.openxmlformats.org/officeDocument/2006/relationships/hyperlink" Target="mailto:wangzhe.dut@gmail.com" TargetMode="External"/><Relationship Id="rId183" Type="http://schemas.openxmlformats.org/officeDocument/2006/relationships/hyperlink" Target="mailto:805482395@qq.com" TargetMode="External"/><Relationship Id="rId218" Type="http://schemas.openxmlformats.org/officeDocument/2006/relationships/hyperlink" Target="mailto:yanggunyit@gmail.com" TargetMode="External"/><Relationship Id="rId239" Type="http://schemas.openxmlformats.org/officeDocument/2006/relationships/hyperlink" Target="mailto:han.youjia@gmail.com" TargetMode="External"/><Relationship Id="rId250" Type="http://schemas.openxmlformats.org/officeDocument/2006/relationships/hyperlink" Target="mailto:rainyforest4869@gmail.com" TargetMode="External"/><Relationship Id="rId271" Type="http://schemas.openxmlformats.org/officeDocument/2006/relationships/hyperlink" Target="mailto:arthurma124@gmail.com" TargetMode="External"/><Relationship Id="rId292" Type="http://schemas.openxmlformats.org/officeDocument/2006/relationships/hyperlink" Target="mailto:shiyaow@umich.edu" TargetMode="External"/><Relationship Id="rId306" Type="http://schemas.openxmlformats.org/officeDocument/2006/relationships/hyperlink" Target="mailto:masdc98@gmail.com" TargetMode="External"/><Relationship Id="rId24" Type="http://schemas.openxmlformats.org/officeDocument/2006/relationships/hyperlink" Target="mailto:lisongyi@pku.edu.cn" TargetMode="External"/><Relationship Id="rId45" Type="http://schemas.openxmlformats.org/officeDocument/2006/relationships/hyperlink" Target="mailto:kealyn1002@gmail.com" TargetMode="External"/><Relationship Id="rId66" Type="http://schemas.openxmlformats.org/officeDocument/2006/relationships/hyperlink" Target="mailto:jonathanyuheng@gmail.com" TargetMode="External"/><Relationship Id="rId87" Type="http://schemas.openxmlformats.org/officeDocument/2006/relationships/hyperlink" Target="mailto:hfuwu5@gmail.com" TargetMode="External"/><Relationship Id="rId110" Type="http://schemas.openxmlformats.org/officeDocument/2006/relationships/hyperlink" Target="mailto:ljr941226@gmail.com" TargetMode="External"/><Relationship Id="rId131" Type="http://schemas.openxmlformats.org/officeDocument/2006/relationships/hyperlink" Target="mailto:huisun012@gmail.com" TargetMode="External"/><Relationship Id="rId152" Type="http://schemas.openxmlformats.org/officeDocument/2006/relationships/hyperlink" Target="mailto:meiyiyang1201@gmail.com" TargetMode="External"/><Relationship Id="rId173" Type="http://schemas.openxmlformats.org/officeDocument/2006/relationships/hyperlink" Target="mailto:youyou331@gmail.com" TargetMode="External"/><Relationship Id="rId194" Type="http://schemas.openxmlformats.org/officeDocument/2006/relationships/hyperlink" Target="mailto:sl4685@columbia.edu" TargetMode="External"/><Relationship Id="rId208" Type="http://schemas.openxmlformats.org/officeDocument/2006/relationships/hyperlink" Target="mailto:nealhuang0.0@gmail.com" TargetMode="External"/><Relationship Id="rId229" Type="http://schemas.openxmlformats.org/officeDocument/2006/relationships/hyperlink" Target="mailto:xilianguc@gmail.com" TargetMode="External"/><Relationship Id="rId240" Type="http://schemas.openxmlformats.org/officeDocument/2006/relationships/hyperlink" Target="mailto:kaizhangcs@gmail.com" TargetMode="External"/><Relationship Id="rId261" Type="http://schemas.openxmlformats.org/officeDocument/2006/relationships/hyperlink" Target="mailto:rayleigh0328@gmail.com" TargetMode="External"/><Relationship Id="rId14" Type="http://schemas.openxmlformats.org/officeDocument/2006/relationships/hyperlink" Target="mailto:got7amy@gmail.com" TargetMode="External"/><Relationship Id="rId35" Type="http://schemas.openxmlformats.org/officeDocument/2006/relationships/hyperlink" Target="mailto:rogerhong1996@gmail.com" TargetMode="External"/><Relationship Id="rId56" Type="http://schemas.openxmlformats.org/officeDocument/2006/relationships/hyperlink" Target="mailto:weidong6686@gmail.com" TargetMode="External"/><Relationship Id="rId77" Type="http://schemas.openxmlformats.org/officeDocument/2006/relationships/hyperlink" Target="mailto:sjzhang1901@gmail.com" TargetMode="External"/><Relationship Id="rId100" Type="http://schemas.openxmlformats.org/officeDocument/2006/relationships/hyperlink" Target="mailto:tsianzuo@gmail.com" TargetMode="External"/><Relationship Id="rId282" Type="http://schemas.openxmlformats.org/officeDocument/2006/relationships/hyperlink" Target="mailto:zexuan.wang@hotmail.com" TargetMode="External"/><Relationship Id="rId317" Type="http://schemas.openxmlformats.org/officeDocument/2006/relationships/hyperlink" Target="mailto:chenjipengpeng@gmail.com" TargetMode="External"/><Relationship Id="rId8" Type="http://schemas.openxmlformats.org/officeDocument/2006/relationships/hyperlink" Target="mailto:chengu907@gmail.com" TargetMode="External"/><Relationship Id="rId98" Type="http://schemas.openxmlformats.org/officeDocument/2006/relationships/hyperlink" Target="mailto:lgc20407@gmail.com" TargetMode="External"/><Relationship Id="rId121" Type="http://schemas.openxmlformats.org/officeDocument/2006/relationships/hyperlink" Target="mailto:xiaoyuzhang0217@gmail.com" TargetMode="External"/><Relationship Id="rId142" Type="http://schemas.openxmlformats.org/officeDocument/2006/relationships/hyperlink" Target="mailto:matthewzhu2232@gmail.com" TargetMode="External"/><Relationship Id="rId163" Type="http://schemas.openxmlformats.org/officeDocument/2006/relationships/hyperlink" Target="mailto:scott.cc1206@gmail.com" TargetMode="External"/><Relationship Id="rId184" Type="http://schemas.openxmlformats.org/officeDocument/2006/relationships/hyperlink" Target="mailto:yuantingwhu@gmail.com" TargetMode="External"/><Relationship Id="rId219" Type="http://schemas.openxmlformats.org/officeDocument/2006/relationships/hyperlink" Target="mailto:hongru52@gmail.com" TargetMode="External"/><Relationship Id="rId230" Type="http://schemas.openxmlformats.org/officeDocument/2006/relationships/hyperlink" Target="mailto:zqzhang2101@gmail.com" TargetMode="External"/><Relationship Id="rId251" Type="http://schemas.openxmlformats.org/officeDocument/2006/relationships/hyperlink" Target="mailto:mickchen@yahoo.com" TargetMode="External"/><Relationship Id="rId25" Type="http://schemas.openxmlformats.org/officeDocument/2006/relationships/hyperlink" Target="mailto:jiecongwang@gmail.com" TargetMode="External"/><Relationship Id="rId46" Type="http://schemas.openxmlformats.org/officeDocument/2006/relationships/hyperlink" Target="mailto:yuhangmiaobu@gmail.com" TargetMode="External"/><Relationship Id="rId67" Type="http://schemas.openxmlformats.org/officeDocument/2006/relationships/hyperlink" Target="mailto:hangjianyuan@gmail.com" TargetMode="External"/><Relationship Id="rId272" Type="http://schemas.openxmlformats.org/officeDocument/2006/relationships/hyperlink" Target="mailto:yuanmeng@buffalo.edu" TargetMode="External"/><Relationship Id="rId293" Type="http://schemas.openxmlformats.org/officeDocument/2006/relationships/hyperlink" Target="mailto:lilydenris@gmail.com" TargetMode="External"/><Relationship Id="rId307" Type="http://schemas.openxmlformats.org/officeDocument/2006/relationships/hyperlink" Target="mailto:bots@skins.email" TargetMode="External"/><Relationship Id="rId88" Type="http://schemas.openxmlformats.org/officeDocument/2006/relationships/hyperlink" Target="mailto:renjunyao@gmail.com" TargetMode="External"/><Relationship Id="rId111" Type="http://schemas.openxmlformats.org/officeDocument/2006/relationships/hyperlink" Target="mailto:joychenrice@gmail.com" TargetMode="External"/><Relationship Id="rId132" Type="http://schemas.openxmlformats.org/officeDocument/2006/relationships/hyperlink" Target="mailto:danielle.yueyi.chen@gmail.com" TargetMode="External"/><Relationship Id="rId153" Type="http://schemas.openxmlformats.org/officeDocument/2006/relationships/hyperlink" Target="mailto:lgc20407@gmail.com" TargetMode="External"/><Relationship Id="rId174" Type="http://schemas.openxmlformats.org/officeDocument/2006/relationships/hyperlink" Target="mailto:tongliu562@gmail.com" TargetMode="External"/><Relationship Id="rId195" Type="http://schemas.openxmlformats.org/officeDocument/2006/relationships/hyperlink" Target="mailto:xjnull@gmail.com" TargetMode="External"/><Relationship Id="rId209" Type="http://schemas.openxmlformats.org/officeDocument/2006/relationships/hyperlink" Target="mailto:hxj.hao@gmail.com" TargetMode="External"/><Relationship Id="rId220" Type="http://schemas.openxmlformats.org/officeDocument/2006/relationships/hyperlink" Target="mailto:zijian.cs@gmail.com" TargetMode="External"/><Relationship Id="rId241" Type="http://schemas.openxmlformats.org/officeDocument/2006/relationships/hyperlink" Target="mailto:januwong@gmail.com" TargetMode="External"/><Relationship Id="rId15" Type="http://schemas.openxmlformats.org/officeDocument/2006/relationships/hyperlink" Target="mailto:dongli.pek@gmail.com" TargetMode="External"/><Relationship Id="rId36" Type="http://schemas.openxmlformats.org/officeDocument/2006/relationships/hyperlink" Target="mailto:805482395@qq.com" TargetMode="External"/><Relationship Id="rId57" Type="http://schemas.openxmlformats.org/officeDocument/2006/relationships/hyperlink" Target="mailto:superjessie92@gmail.com" TargetMode="External"/><Relationship Id="rId262" Type="http://schemas.openxmlformats.org/officeDocument/2006/relationships/hyperlink" Target="mailto:chenjianxu97@gmail.com" TargetMode="External"/><Relationship Id="rId283" Type="http://schemas.openxmlformats.org/officeDocument/2006/relationships/hyperlink" Target="mailto:jzcheng@umich.edu" TargetMode="External"/><Relationship Id="rId318" Type="http://schemas.openxmlformats.org/officeDocument/2006/relationships/hyperlink" Target="mailto:jiaxinhuang1013@gmail.com" TargetMode="External"/><Relationship Id="rId78" Type="http://schemas.openxmlformats.org/officeDocument/2006/relationships/hyperlink" Target="mailto:leo.6.wgao@gmail.com" TargetMode="External"/><Relationship Id="rId99" Type="http://schemas.openxmlformats.org/officeDocument/2006/relationships/hyperlink" Target="mailto:zhuyuxiao.mail@gmail.com" TargetMode="External"/><Relationship Id="rId101" Type="http://schemas.openxmlformats.org/officeDocument/2006/relationships/hyperlink" Target="mailto:changlu591@gmail.com" TargetMode="External"/><Relationship Id="rId122" Type="http://schemas.openxmlformats.org/officeDocument/2006/relationships/hyperlink" Target="mailto:xuzhaoqingbuaa@gmail.com" TargetMode="External"/><Relationship Id="rId143" Type="http://schemas.openxmlformats.org/officeDocument/2006/relationships/hyperlink" Target="mailto:ftdejo@gmail.com" TargetMode="External"/><Relationship Id="rId164" Type="http://schemas.openxmlformats.org/officeDocument/2006/relationships/hyperlink" Target="mailto:fightmingz@gmail.com" TargetMode="External"/><Relationship Id="rId185" Type="http://schemas.openxmlformats.org/officeDocument/2006/relationships/hyperlink" Target="mailto:qguond@gmail.com" TargetMode="External"/><Relationship Id="rId9" Type="http://schemas.openxmlformats.org/officeDocument/2006/relationships/hyperlink" Target="mailto:yueb@umich.edu" TargetMode="External"/><Relationship Id="rId210" Type="http://schemas.openxmlformats.org/officeDocument/2006/relationships/hyperlink" Target="mailto:lih627@outlook.com" TargetMode="External"/><Relationship Id="rId26" Type="http://schemas.openxmlformats.org/officeDocument/2006/relationships/hyperlink" Target="mailto:i@gfw.fail" TargetMode="External"/><Relationship Id="rId231" Type="http://schemas.openxmlformats.org/officeDocument/2006/relationships/hyperlink" Target="mailto:haoyuumb@gmail.com" TargetMode="External"/><Relationship Id="rId252" Type="http://schemas.openxmlformats.org/officeDocument/2006/relationships/hyperlink" Target="mailto:wangxinya5@gmail.com" TargetMode="External"/><Relationship Id="rId273" Type="http://schemas.openxmlformats.org/officeDocument/2006/relationships/hyperlink" Target="mailto:leishida0514@gmail.com" TargetMode="External"/><Relationship Id="rId294" Type="http://schemas.openxmlformats.org/officeDocument/2006/relationships/hyperlink" Target="mailto:daojing.guo@gmail.com" TargetMode="External"/><Relationship Id="rId308" Type="http://schemas.openxmlformats.org/officeDocument/2006/relationships/hyperlink" Target="mailto:skyzjkang@gmail.com" TargetMode="External"/><Relationship Id="rId47" Type="http://schemas.openxmlformats.org/officeDocument/2006/relationships/hyperlink" Target="mailto:cherishsunyi@gmail.com" TargetMode="External"/><Relationship Id="rId68" Type="http://schemas.openxmlformats.org/officeDocument/2006/relationships/hyperlink" Target="mailto:qiangw1218@gmail.com" TargetMode="External"/><Relationship Id="rId89" Type="http://schemas.openxmlformats.org/officeDocument/2006/relationships/hyperlink" Target="mailto:terry331221@gmail.com" TargetMode="External"/><Relationship Id="rId112" Type="http://schemas.openxmlformats.org/officeDocument/2006/relationships/hyperlink" Target="mailto:suzyzhang0@gmail.com" TargetMode="External"/><Relationship Id="rId133" Type="http://schemas.openxmlformats.org/officeDocument/2006/relationships/hyperlink" Target="mailto:johnkelvinson@gmail.com" TargetMode="External"/><Relationship Id="rId154" Type="http://schemas.openxmlformats.org/officeDocument/2006/relationships/hyperlink" Target="mailto:he.junyi96@gmail.com" TargetMode="External"/><Relationship Id="rId175" Type="http://schemas.openxmlformats.org/officeDocument/2006/relationships/hyperlink" Target="mailto:lwylwy210@gmail.com" TargetMode="External"/><Relationship Id="rId196" Type="http://schemas.openxmlformats.org/officeDocument/2006/relationships/hyperlink" Target="mailto:hongbo.qin.1001@gmail.com" TargetMode="External"/><Relationship Id="rId200" Type="http://schemas.openxmlformats.org/officeDocument/2006/relationships/hyperlink" Target="mailto:ericjialinux@gmail.com" TargetMode="External"/><Relationship Id="rId16" Type="http://schemas.openxmlformats.org/officeDocument/2006/relationships/hyperlink" Target="mailto:machaochun1@gmail.com" TargetMode="External"/><Relationship Id="rId221" Type="http://schemas.openxmlformats.org/officeDocument/2006/relationships/hyperlink" Target="mailto:djhwslzy@gmail.com" TargetMode="External"/><Relationship Id="rId242" Type="http://schemas.openxmlformats.org/officeDocument/2006/relationships/hyperlink" Target="mailto:yilun.zhao@yale.edu" TargetMode="External"/><Relationship Id="rId263" Type="http://schemas.openxmlformats.org/officeDocument/2006/relationships/hyperlink" Target="mailto:aguang.xyz@gmail.com" TargetMode="External"/><Relationship Id="rId284" Type="http://schemas.openxmlformats.org/officeDocument/2006/relationships/hyperlink" Target="mailto:sugaruncle1996@gmail.com" TargetMode="External"/><Relationship Id="rId319" Type="http://schemas.openxmlformats.org/officeDocument/2006/relationships/hyperlink" Target="mailto:haiqianz@usc.edu" TargetMode="External"/><Relationship Id="rId37" Type="http://schemas.openxmlformats.org/officeDocument/2006/relationships/hyperlink" Target="mailto:jialiangdong1125@gmail.com" TargetMode="External"/><Relationship Id="rId58" Type="http://schemas.openxmlformats.org/officeDocument/2006/relationships/hyperlink" Target="mailto:huangkeqi1995@gmail.com" TargetMode="External"/><Relationship Id="rId79" Type="http://schemas.openxmlformats.org/officeDocument/2006/relationships/hyperlink" Target="mailto:497539558@qq.com" TargetMode="External"/><Relationship Id="rId102" Type="http://schemas.openxmlformats.org/officeDocument/2006/relationships/hyperlink" Target="mailto:bh1517zhr@gmail.com" TargetMode="External"/><Relationship Id="rId123" Type="http://schemas.openxmlformats.org/officeDocument/2006/relationships/hyperlink" Target="mailto:larui529@gmail.com" TargetMode="External"/><Relationship Id="rId144" Type="http://schemas.openxmlformats.org/officeDocument/2006/relationships/hyperlink" Target="mailto:jja725@gmail.com" TargetMode="External"/><Relationship Id="rId90" Type="http://schemas.openxmlformats.org/officeDocument/2006/relationships/hyperlink" Target="mailto:liuwj23@gmail.com" TargetMode="External"/><Relationship Id="rId165" Type="http://schemas.openxmlformats.org/officeDocument/2006/relationships/hyperlink" Target="mailto:lwh14710@gmail.com" TargetMode="External"/><Relationship Id="rId186" Type="http://schemas.openxmlformats.org/officeDocument/2006/relationships/hyperlink" Target="mailto:lynnnaive16@gmail.com" TargetMode="External"/><Relationship Id="rId211" Type="http://schemas.openxmlformats.org/officeDocument/2006/relationships/hyperlink" Target="mailto:jiekunliang@gmail.com" TargetMode="External"/><Relationship Id="rId232" Type="http://schemas.openxmlformats.org/officeDocument/2006/relationships/hyperlink" Target="mailto:yimingli.cs@gmail.com" TargetMode="External"/><Relationship Id="rId253" Type="http://schemas.openxmlformats.org/officeDocument/2006/relationships/hyperlink" Target="mailto:hellowordsunny@gmail.com" TargetMode="External"/><Relationship Id="rId274" Type="http://schemas.openxmlformats.org/officeDocument/2006/relationships/hyperlink" Target="mailto:jxphxufh@gmail.com" TargetMode="External"/><Relationship Id="rId295" Type="http://schemas.openxmlformats.org/officeDocument/2006/relationships/hyperlink" Target="mailto:klutzoder@gmail.com" TargetMode="External"/><Relationship Id="rId309" Type="http://schemas.openxmlformats.org/officeDocument/2006/relationships/hyperlink" Target="mailto:borong.lyu@nyu.edu" TargetMode="External"/><Relationship Id="rId27" Type="http://schemas.openxmlformats.org/officeDocument/2006/relationships/hyperlink" Target="mailto:johnkelvinson@gmail.com" TargetMode="External"/><Relationship Id="rId48" Type="http://schemas.openxmlformats.org/officeDocument/2006/relationships/hyperlink" Target="mailto:johnkelvinson@gmail.com" TargetMode="External"/><Relationship Id="rId69" Type="http://schemas.openxmlformats.org/officeDocument/2006/relationships/hyperlink" Target="mailto:aiz@uci.edu" TargetMode="External"/><Relationship Id="rId113" Type="http://schemas.openxmlformats.org/officeDocument/2006/relationships/hyperlink" Target="mailto:klutzoder@gmail.com" TargetMode="External"/><Relationship Id="rId134" Type="http://schemas.openxmlformats.org/officeDocument/2006/relationships/hyperlink" Target="mailto:rarry2012@gmail.com" TargetMode="External"/><Relationship Id="rId80" Type="http://schemas.openxmlformats.org/officeDocument/2006/relationships/hyperlink" Target="mailto:zhengxu1994620@gmail.com" TargetMode="External"/><Relationship Id="rId155" Type="http://schemas.openxmlformats.org/officeDocument/2006/relationships/hyperlink" Target="mailto:dexin.ren00@gmail.com" TargetMode="External"/><Relationship Id="rId176" Type="http://schemas.openxmlformats.org/officeDocument/2006/relationships/hyperlink" Target="mailto:dennanisny@gmail.com" TargetMode="External"/><Relationship Id="rId197" Type="http://schemas.openxmlformats.org/officeDocument/2006/relationships/hyperlink" Target="mailto:xdcao0903@gmail.com" TargetMode="External"/><Relationship Id="rId201" Type="http://schemas.openxmlformats.org/officeDocument/2006/relationships/hyperlink" Target="mailto:daojing.guo@gmail.com" TargetMode="External"/><Relationship Id="rId222" Type="http://schemas.openxmlformats.org/officeDocument/2006/relationships/hyperlink" Target="mailto:jianmin0105@gmail.com" TargetMode="External"/><Relationship Id="rId243" Type="http://schemas.openxmlformats.org/officeDocument/2006/relationships/hyperlink" Target="mailto:tsianzuo@gmail.com" TargetMode="External"/><Relationship Id="rId264" Type="http://schemas.openxmlformats.org/officeDocument/2006/relationships/hyperlink" Target="mailto:maxchen290@gmail.com" TargetMode="External"/><Relationship Id="rId285" Type="http://schemas.openxmlformats.org/officeDocument/2006/relationships/hyperlink" Target="mailto:gr33nmnk3y@gmail.com" TargetMode="External"/><Relationship Id="rId17" Type="http://schemas.openxmlformats.org/officeDocument/2006/relationships/hyperlink" Target="mailto:haiqianz@usc.edu" TargetMode="External"/><Relationship Id="rId38" Type="http://schemas.openxmlformats.org/officeDocument/2006/relationships/hyperlink" Target="mailto:zeyu.zoe.wang@gmail.com" TargetMode="External"/><Relationship Id="rId59" Type="http://schemas.openxmlformats.org/officeDocument/2006/relationships/hyperlink" Target="mailto:rizeng.zheng@gmail.com" TargetMode="External"/><Relationship Id="rId103" Type="http://schemas.openxmlformats.org/officeDocument/2006/relationships/hyperlink" Target="mailto:jiashenzzzzz@gmail.com" TargetMode="External"/><Relationship Id="rId124" Type="http://schemas.openxmlformats.org/officeDocument/2006/relationships/hyperlink" Target="mailto:yuhanwu2018@gmail.com" TargetMode="External"/><Relationship Id="rId310" Type="http://schemas.openxmlformats.org/officeDocument/2006/relationships/hyperlink" Target="mailto:shuadan4025@gmail.com" TargetMode="External"/><Relationship Id="rId70" Type="http://schemas.openxmlformats.org/officeDocument/2006/relationships/hyperlink" Target="mailto:machaochun1@gmail.com" TargetMode="External"/><Relationship Id="rId91" Type="http://schemas.openxmlformats.org/officeDocument/2006/relationships/hyperlink" Target="mailto:wuhuajun132@gmail.com" TargetMode="External"/><Relationship Id="rId145" Type="http://schemas.openxmlformats.org/officeDocument/2006/relationships/hyperlink" Target="mailto:fuchengshun@gmail.com" TargetMode="External"/><Relationship Id="rId166" Type="http://schemas.openxmlformats.org/officeDocument/2006/relationships/hyperlink" Target="mailto:anhpp123@gmail.com" TargetMode="External"/><Relationship Id="rId187" Type="http://schemas.openxmlformats.org/officeDocument/2006/relationships/hyperlink" Target="mailto:johnkelvinson@gmail.com" TargetMode="External"/><Relationship Id="rId1" Type="http://schemas.openxmlformats.org/officeDocument/2006/relationships/hyperlink" Target="mailto:natalieding007@gmail.com" TargetMode="External"/><Relationship Id="rId212" Type="http://schemas.openxmlformats.org/officeDocument/2006/relationships/hyperlink" Target="mailto:ziyezhu92@gmail.com" TargetMode="External"/><Relationship Id="rId233" Type="http://schemas.openxmlformats.org/officeDocument/2006/relationships/hyperlink" Target="mailto:jiaxinhuang1013@gmail.com" TargetMode="External"/><Relationship Id="rId254" Type="http://schemas.openxmlformats.org/officeDocument/2006/relationships/hyperlink" Target="mailto:liuzhenglaichn@gmail.com" TargetMode="External"/><Relationship Id="rId28" Type="http://schemas.openxmlformats.org/officeDocument/2006/relationships/hyperlink" Target="mailto:lihao199408@gmail.com" TargetMode="External"/><Relationship Id="rId49" Type="http://schemas.openxmlformats.org/officeDocument/2006/relationships/hyperlink" Target="mailto:xingyu.long.97@gmail.com" TargetMode="External"/><Relationship Id="rId114" Type="http://schemas.openxmlformats.org/officeDocument/2006/relationships/hyperlink" Target="mailto:jerryxyj289@gmail.com" TargetMode="External"/><Relationship Id="rId275" Type="http://schemas.openxmlformats.org/officeDocument/2006/relationships/hyperlink" Target="mailto:thucscw@gmail.com" TargetMode="External"/><Relationship Id="rId296" Type="http://schemas.openxmlformats.org/officeDocument/2006/relationships/hyperlink" Target="mailto:yilun.zhao@yale.edu" TargetMode="External"/><Relationship Id="rId300" Type="http://schemas.openxmlformats.org/officeDocument/2006/relationships/hyperlink" Target="mailto:sen.yang96@outlook.com" TargetMode="External"/><Relationship Id="rId60" Type="http://schemas.openxmlformats.org/officeDocument/2006/relationships/hyperlink" Target="mailto:jiachengliu@tamu.edu" TargetMode="External"/><Relationship Id="rId81" Type="http://schemas.openxmlformats.org/officeDocument/2006/relationships/hyperlink" Target="mailto:nealhuang0.0@gmail.com" TargetMode="External"/><Relationship Id="rId135" Type="http://schemas.openxmlformats.org/officeDocument/2006/relationships/hyperlink" Target="mailto:zerotrac2259@gmail.com" TargetMode="External"/><Relationship Id="rId156" Type="http://schemas.openxmlformats.org/officeDocument/2006/relationships/hyperlink" Target="mailto:sugaruncle1996@gmail.com" TargetMode="External"/><Relationship Id="rId177" Type="http://schemas.openxmlformats.org/officeDocument/2006/relationships/hyperlink" Target="mailto:sirgarfield.c@gmail.com" TargetMode="External"/><Relationship Id="rId198" Type="http://schemas.openxmlformats.org/officeDocument/2006/relationships/hyperlink" Target="mailto:zhichuanxun@gmail.com" TargetMode="External"/><Relationship Id="rId202" Type="http://schemas.openxmlformats.org/officeDocument/2006/relationships/hyperlink" Target="mailto:wendingp@gmail.com" TargetMode="External"/><Relationship Id="rId223" Type="http://schemas.openxmlformats.org/officeDocument/2006/relationships/hyperlink" Target="mailto:whtttth@gmail.com" TargetMode="External"/><Relationship Id="rId244" Type="http://schemas.openxmlformats.org/officeDocument/2006/relationships/hyperlink" Target="mailto:lukeyang008@gmail.com" TargetMode="External"/><Relationship Id="rId18" Type="http://schemas.openxmlformats.org/officeDocument/2006/relationships/hyperlink" Target="mailto:b.ben.hjy@gmail.com" TargetMode="External"/><Relationship Id="rId39" Type="http://schemas.openxmlformats.org/officeDocument/2006/relationships/hyperlink" Target="mailto:vivianvvang@gmail.com" TargetMode="External"/><Relationship Id="rId265" Type="http://schemas.openxmlformats.org/officeDocument/2006/relationships/hyperlink" Target="mailto:zerolj42@gmail.com" TargetMode="External"/><Relationship Id="rId286" Type="http://schemas.openxmlformats.org/officeDocument/2006/relationships/hyperlink" Target="mailto:pengfeng2000@gmail.com" TargetMode="External"/><Relationship Id="rId50" Type="http://schemas.openxmlformats.org/officeDocument/2006/relationships/hyperlink" Target="mailto:litian930220@gmail.com" TargetMode="External"/><Relationship Id="rId104" Type="http://schemas.openxmlformats.org/officeDocument/2006/relationships/hyperlink" Target="mailto:jerrydream123@gmail.com" TargetMode="External"/><Relationship Id="rId125" Type="http://schemas.openxmlformats.org/officeDocument/2006/relationships/hyperlink" Target="mailto:nealhuang0.0@gmail.com" TargetMode="External"/><Relationship Id="rId146" Type="http://schemas.openxmlformats.org/officeDocument/2006/relationships/hyperlink" Target="mailto:gr33nmnk3y@gmail.com" TargetMode="External"/><Relationship Id="rId167" Type="http://schemas.openxmlformats.org/officeDocument/2006/relationships/hyperlink" Target="mailto:biqingcc@gmail.com" TargetMode="External"/><Relationship Id="rId188" Type="http://schemas.openxmlformats.org/officeDocument/2006/relationships/hyperlink" Target="mailto:zhijiezhang0124@gmail.com" TargetMode="External"/><Relationship Id="rId311" Type="http://schemas.openxmlformats.org/officeDocument/2006/relationships/hyperlink" Target="mailto:liuchengtian@gmail.com" TargetMode="External"/><Relationship Id="rId71" Type="http://schemas.openxmlformats.org/officeDocument/2006/relationships/hyperlink" Target="mailto:henansam.sh@gmail.com" TargetMode="External"/><Relationship Id="rId92" Type="http://schemas.openxmlformats.org/officeDocument/2006/relationships/hyperlink" Target="mailto:redickhao@gmail.com" TargetMode="External"/><Relationship Id="rId213" Type="http://schemas.openxmlformats.org/officeDocument/2006/relationships/hyperlink" Target="mailto:jiashenzzzzz@gmail.com" TargetMode="External"/><Relationship Id="rId234" Type="http://schemas.openxmlformats.org/officeDocument/2006/relationships/hyperlink" Target="mailto:jasysj@gmail.com" TargetMode="External"/><Relationship Id="rId2" Type="http://schemas.openxmlformats.org/officeDocument/2006/relationships/hyperlink" Target="mailto:huangkeqi1995@gmail.com" TargetMode="External"/><Relationship Id="rId29" Type="http://schemas.openxmlformats.org/officeDocument/2006/relationships/hyperlink" Target="mailto:michelle2020up@gmail.com" TargetMode="External"/><Relationship Id="rId255" Type="http://schemas.openxmlformats.org/officeDocument/2006/relationships/hyperlink" Target="mailto:yingshuo.zhang@uwaterloo.ca" TargetMode="External"/><Relationship Id="rId276" Type="http://schemas.openxmlformats.org/officeDocument/2006/relationships/hyperlink" Target="mailto:huiz0213@gmail.com" TargetMode="External"/><Relationship Id="rId297" Type="http://schemas.openxmlformats.org/officeDocument/2006/relationships/hyperlink" Target="mailto:sl4685@columbia.edu" TargetMode="External"/><Relationship Id="rId40" Type="http://schemas.openxmlformats.org/officeDocument/2006/relationships/hyperlink" Target="mailto:arron1990spring@gmail.com" TargetMode="External"/><Relationship Id="rId115" Type="http://schemas.openxmlformats.org/officeDocument/2006/relationships/hyperlink" Target="mailto:djzdevin@gmail.com" TargetMode="External"/><Relationship Id="rId136" Type="http://schemas.openxmlformats.org/officeDocument/2006/relationships/hyperlink" Target="mailto:chenjipengpeng@gmail.com" TargetMode="External"/><Relationship Id="rId157" Type="http://schemas.openxmlformats.org/officeDocument/2006/relationships/hyperlink" Target="mailto:ryoyukiyangy@gmail.com" TargetMode="External"/><Relationship Id="rId178" Type="http://schemas.openxmlformats.org/officeDocument/2006/relationships/hyperlink" Target="mailto:waynechen.ut@gmail.com" TargetMode="External"/><Relationship Id="rId301" Type="http://schemas.openxmlformats.org/officeDocument/2006/relationships/hyperlink" Target="mailto:jasysj@gmail.com" TargetMode="External"/><Relationship Id="rId61" Type="http://schemas.openxmlformats.org/officeDocument/2006/relationships/hyperlink" Target="mailto:yjf27281181@gmail.com" TargetMode="External"/><Relationship Id="rId82" Type="http://schemas.openxmlformats.org/officeDocument/2006/relationships/hyperlink" Target="mailto:jiaweiwang930426@gmail.com" TargetMode="External"/><Relationship Id="rId199" Type="http://schemas.openxmlformats.org/officeDocument/2006/relationships/hyperlink" Target="mailto:a729381063@gmail.com" TargetMode="External"/><Relationship Id="rId203" Type="http://schemas.openxmlformats.org/officeDocument/2006/relationships/hyperlink" Target="mailto:larui529@gmail.com" TargetMode="External"/><Relationship Id="rId19" Type="http://schemas.openxmlformats.org/officeDocument/2006/relationships/hyperlink" Target="mailto:linshuhsin@gmail.com" TargetMode="External"/><Relationship Id="rId224" Type="http://schemas.openxmlformats.org/officeDocument/2006/relationships/hyperlink" Target="mailto:wy907645377@gmail.com" TargetMode="External"/><Relationship Id="rId245" Type="http://schemas.openxmlformats.org/officeDocument/2006/relationships/hyperlink" Target="mailto:yingyingchen10@gmail.com" TargetMode="External"/><Relationship Id="rId266" Type="http://schemas.openxmlformats.org/officeDocument/2006/relationships/hyperlink" Target="mailto:cnliusen@gmail.com" TargetMode="External"/><Relationship Id="rId287" Type="http://schemas.openxmlformats.org/officeDocument/2006/relationships/hyperlink" Target="mailto:yanggunyit@gmail.com" TargetMode="External"/><Relationship Id="rId30" Type="http://schemas.openxmlformats.org/officeDocument/2006/relationships/hyperlink" Target="mailto:hcai.pku@gmail.com" TargetMode="External"/><Relationship Id="rId105" Type="http://schemas.openxmlformats.org/officeDocument/2006/relationships/hyperlink" Target="mailto:arthurma124@gmail.com" TargetMode="External"/><Relationship Id="rId126" Type="http://schemas.openxmlformats.org/officeDocument/2006/relationships/hyperlink" Target="mailto:shuadan4025@gmail.com" TargetMode="External"/><Relationship Id="rId147" Type="http://schemas.openxmlformats.org/officeDocument/2006/relationships/hyperlink" Target="mailto:klutzoder@gmail.com" TargetMode="External"/><Relationship Id="rId168" Type="http://schemas.openxmlformats.org/officeDocument/2006/relationships/hyperlink" Target="mailto:allenxulu@gmail.com" TargetMode="External"/><Relationship Id="rId312" Type="http://schemas.openxmlformats.org/officeDocument/2006/relationships/hyperlink" Target="mailto:kuan_525@163.com" TargetMode="External"/><Relationship Id="rId51" Type="http://schemas.openxmlformats.org/officeDocument/2006/relationships/hyperlink" Target="mailto:renjie73@outlook.com" TargetMode="External"/><Relationship Id="rId72" Type="http://schemas.openxmlformats.org/officeDocument/2006/relationships/hyperlink" Target="mailto:jiecongwang@gmail.com" TargetMode="External"/><Relationship Id="rId93" Type="http://schemas.openxmlformats.org/officeDocument/2006/relationships/hyperlink" Target="mailto:qizhong19920114@gmail.com" TargetMode="External"/><Relationship Id="rId189" Type="http://schemas.openxmlformats.org/officeDocument/2006/relationships/hyperlink" Target="mailto:scott.cc1206@gmail.com" TargetMode="External"/><Relationship Id="rId3" Type="http://schemas.openxmlformats.org/officeDocument/2006/relationships/hyperlink" Target="mailto:djzdevin@gmail.com" TargetMode="External"/><Relationship Id="rId214" Type="http://schemas.openxmlformats.org/officeDocument/2006/relationships/hyperlink" Target="mailto:sl4685@columbia.edu" TargetMode="External"/><Relationship Id="rId235" Type="http://schemas.openxmlformats.org/officeDocument/2006/relationships/hyperlink" Target="mailto:melody324324@gmail.com" TargetMode="External"/><Relationship Id="rId256" Type="http://schemas.openxmlformats.org/officeDocument/2006/relationships/hyperlink" Target="mailto:xywang0520@gmail.com" TargetMode="External"/><Relationship Id="rId277" Type="http://schemas.openxmlformats.org/officeDocument/2006/relationships/hyperlink" Target="mailto:kaizhangcs@gmail.com" TargetMode="External"/><Relationship Id="rId298" Type="http://schemas.openxmlformats.org/officeDocument/2006/relationships/hyperlink" Target="mailto:wangkaiyu16bupt@gmail.com" TargetMode="External"/><Relationship Id="rId116" Type="http://schemas.openxmlformats.org/officeDocument/2006/relationships/hyperlink" Target="mailto:yu.dongfeng@outlook.com" TargetMode="External"/><Relationship Id="rId137" Type="http://schemas.openxmlformats.org/officeDocument/2006/relationships/hyperlink" Target="mailto:gangliang0320@yahoo.ca" TargetMode="External"/><Relationship Id="rId158" Type="http://schemas.openxmlformats.org/officeDocument/2006/relationships/hyperlink" Target="mailto:zhengxu1994620@gmail.com" TargetMode="External"/><Relationship Id="rId302" Type="http://schemas.openxmlformats.org/officeDocument/2006/relationships/hyperlink" Target="mailto:carotwang@126.com" TargetMode="External"/><Relationship Id="rId20" Type="http://schemas.openxmlformats.org/officeDocument/2006/relationships/hyperlink" Target="mailto:aiz@uci.edu" TargetMode="External"/><Relationship Id="rId41" Type="http://schemas.openxmlformats.org/officeDocument/2006/relationships/hyperlink" Target="mailto:hannaw0124@gmail.com" TargetMode="External"/><Relationship Id="rId62" Type="http://schemas.openxmlformats.org/officeDocument/2006/relationships/hyperlink" Target="mailto:dongli.pek@gmail.com" TargetMode="External"/><Relationship Id="rId83" Type="http://schemas.openxmlformats.org/officeDocument/2006/relationships/hyperlink" Target="mailto:fanhongjin19940206@gmail.com" TargetMode="External"/><Relationship Id="rId179" Type="http://schemas.openxmlformats.org/officeDocument/2006/relationships/hyperlink" Target="mailto:zhangwanying421@gmail.com" TargetMode="External"/><Relationship Id="rId190" Type="http://schemas.openxmlformats.org/officeDocument/2006/relationships/hyperlink" Target="mailto:hongru52@gmail.com" TargetMode="External"/><Relationship Id="rId204" Type="http://schemas.openxmlformats.org/officeDocument/2006/relationships/hyperlink" Target="mailto:stevenhuang42195@gmail.com" TargetMode="External"/><Relationship Id="rId225" Type="http://schemas.openxmlformats.org/officeDocument/2006/relationships/hyperlink" Target="mailto:littlewang2021@gmail.com" TargetMode="External"/><Relationship Id="rId246" Type="http://schemas.openxmlformats.org/officeDocument/2006/relationships/hyperlink" Target="mailto:yt2985@gmail.com" TargetMode="External"/><Relationship Id="rId267" Type="http://schemas.openxmlformats.org/officeDocument/2006/relationships/hyperlink" Target="mailto:shaokedong123@gmail.com" TargetMode="External"/><Relationship Id="rId288" Type="http://schemas.openxmlformats.org/officeDocument/2006/relationships/hyperlink" Target="mailto:carotwang@126.com" TargetMode="External"/><Relationship Id="rId106" Type="http://schemas.openxmlformats.org/officeDocument/2006/relationships/hyperlink" Target="mailto:zuoqy.gk@gmail.com" TargetMode="External"/><Relationship Id="rId127" Type="http://schemas.openxmlformats.org/officeDocument/2006/relationships/hyperlink" Target="mailto:afu@forresty.com" TargetMode="External"/><Relationship Id="rId313" Type="http://schemas.openxmlformats.org/officeDocument/2006/relationships/hyperlink" Target="mailto:matthewzhu2232@gmail.com" TargetMode="External"/><Relationship Id="rId10" Type="http://schemas.openxmlformats.org/officeDocument/2006/relationships/hyperlink" Target="mailto:got7amy@gmail.com" TargetMode="External"/><Relationship Id="rId31" Type="http://schemas.openxmlformats.org/officeDocument/2006/relationships/hyperlink" Target="mailto:tsianzuo@gmail.com" TargetMode="External"/><Relationship Id="rId52" Type="http://schemas.openxmlformats.org/officeDocument/2006/relationships/hyperlink" Target="mailto:yvonneyu0303@gmail.com" TargetMode="External"/><Relationship Id="rId73" Type="http://schemas.openxmlformats.org/officeDocument/2006/relationships/hyperlink" Target="mailto:yinfirefire@gmail.com" TargetMode="External"/><Relationship Id="rId94" Type="http://schemas.openxmlformats.org/officeDocument/2006/relationships/hyperlink" Target="mailto:lilyliao48@gmail.com" TargetMode="External"/><Relationship Id="rId148" Type="http://schemas.openxmlformats.org/officeDocument/2006/relationships/hyperlink" Target="mailto:chunzizheng@gmail.com" TargetMode="External"/><Relationship Id="rId169" Type="http://schemas.openxmlformats.org/officeDocument/2006/relationships/hyperlink" Target="mailto:zhenguowcs@gmail.com" TargetMode="External"/><Relationship Id="rId4" Type="http://schemas.openxmlformats.org/officeDocument/2006/relationships/hyperlink" Target="mailto:chengchuan94@gmail.com" TargetMode="External"/><Relationship Id="rId180" Type="http://schemas.openxmlformats.org/officeDocument/2006/relationships/hyperlink" Target="mailto:qypeng12@outlook.com" TargetMode="External"/><Relationship Id="rId215" Type="http://schemas.openxmlformats.org/officeDocument/2006/relationships/hyperlink" Target="mailto:tom.yjl3104@gmail.com" TargetMode="External"/><Relationship Id="rId236" Type="http://schemas.openxmlformats.org/officeDocument/2006/relationships/hyperlink" Target="mailto:jzcheng@umich.edu" TargetMode="External"/><Relationship Id="rId257" Type="http://schemas.openxmlformats.org/officeDocument/2006/relationships/hyperlink" Target="mailto:borong.lyu@nyu.edu" TargetMode="External"/><Relationship Id="rId278" Type="http://schemas.openxmlformats.org/officeDocument/2006/relationships/hyperlink" Target="mailto:jamesfan1101@gmail.com" TargetMode="External"/><Relationship Id="rId303" Type="http://schemas.openxmlformats.org/officeDocument/2006/relationships/hyperlink" Target="mailto:wangyanstorm@163.com" TargetMode="External"/><Relationship Id="rId42" Type="http://schemas.openxmlformats.org/officeDocument/2006/relationships/hyperlink" Target="mailto:zerotrac2259@gmail.com" TargetMode="External"/><Relationship Id="rId84" Type="http://schemas.openxmlformats.org/officeDocument/2006/relationships/hyperlink" Target="mailto:warriorzwy01@gmail.com" TargetMode="External"/><Relationship Id="rId138" Type="http://schemas.openxmlformats.org/officeDocument/2006/relationships/hyperlink" Target="mailto:louzhenglun@gmail.com" TargetMode="External"/><Relationship Id="rId191" Type="http://schemas.openxmlformats.org/officeDocument/2006/relationships/hyperlink" Target="mailto:jonathanyuheng@gmail.com" TargetMode="External"/><Relationship Id="rId205" Type="http://schemas.openxmlformats.org/officeDocument/2006/relationships/hyperlink" Target="mailto:jamesfan1101@gmail.com" TargetMode="External"/><Relationship Id="rId247" Type="http://schemas.openxmlformats.org/officeDocument/2006/relationships/hyperlink" Target="mailto:xdcao0903@gmail.com" TargetMode="External"/><Relationship Id="rId107" Type="http://schemas.openxmlformats.org/officeDocument/2006/relationships/hyperlink" Target="mailto:wangkaiyu16bupt@gmail.com" TargetMode="External"/><Relationship Id="rId289" Type="http://schemas.openxmlformats.org/officeDocument/2006/relationships/hyperlink" Target="mailto:zhichuanxun@gmail.com" TargetMode="External"/><Relationship Id="rId11" Type="http://schemas.openxmlformats.org/officeDocument/2006/relationships/hyperlink" Target="mailto:zhangwanying421@gmail.com" TargetMode="External"/><Relationship Id="rId53" Type="http://schemas.openxmlformats.org/officeDocument/2006/relationships/hyperlink" Target="mailto:Feiteng@gmail.com" TargetMode="External"/><Relationship Id="rId149" Type="http://schemas.openxmlformats.org/officeDocument/2006/relationships/hyperlink" Target="mailto:tigermlt1@gmail.com" TargetMode="External"/><Relationship Id="rId314" Type="http://schemas.openxmlformats.org/officeDocument/2006/relationships/hyperlink" Target="mailto:sugaruncle1996@gmail.com" TargetMode="External"/><Relationship Id="rId95" Type="http://schemas.openxmlformats.org/officeDocument/2006/relationships/hyperlink" Target="mailto:hongru52@gmail.com" TargetMode="External"/><Relationship Id="rId160" Type="http://schemas.openxmlformats.org/officeDocument/2006/relationships/hyperlink" Target="mailto:aiz@uci.edu" TargetMode="External"/><Relationship Id="rId216" Type="http://schemas.openxmlformats.org/officeDocument/2006/relationships/hyperlink" Target="mailto:chenjipengpeng@gmail.com" TargetMode="External"/><Relationship Id="rId258" Type="http://schemas.openxmlformats.org/officeDocument/2006/relationships/hyperlink" Target="mailto:isshgao@gmail.com" TargetMode="External"/><Relationship Id="rId22" Type="http://schemas.openxmlformats.org/officeDocument/2006/relationships/hyperlink" Target="mailto:yijingannie@gmail.com" TargetMode="External"/><Relationship Id="rId64" Type="http://schemas.openxmlformats.org/officeDocument/2006/relationships/hyperlink" Target="mailto:haiqianz@usc.edu" TargetMode="External"/><Relationship Id="rId118" Type="http://schemas.openxmlformats.org/officeDocument/2006/relationships/hyperlink" Target="mailto:yiding.ely@gmail.com" TargetMode="External"/><Relationship Id="rId171" Type="http://schemas.openxmlformats.org/officeDocument/2006/relationships/hyperlink" Target="mailto:adayxiang@gmail.com" TargetMode="External"/><Relationship Id="rId227" Type="http://schemas.openxmlformats.org/officeDocument/2006/relationships/hyperlink" Target="mailto:wangtengyi55555@gmail.com" TargetMode="External"/><Relationship Id="rId269" Type="http://schemas.openxmlformats.org/officeDocument/2006/relationships/hyperlink" Target="mailto:michael.liang1103@gmail.com" TargetMode="External"/><Relationship Id="rId33" Type="http://schemas.openxmlformats.org/officeDocument/2006/relationships/hyperlink" Target="mailto:edward250250@gmail.com" TargetMode="External"/><Relationship Id="rId129" Type="http://schemas.openxmlformats.org/officeDocument/2006/relationships/hyperlink" Target="mailto:zerotrac2259@gmail.com" TargetMode="External"/><Relationship Id="rId280" Type="http://schemas.openxmlformats.org/officeDocument/2006/relationships/hyperlink" Target="mailto:hzfmer94@gmail.com" TargetMode="External"/><Relationship Id="rId75" Type="http://schemas.openxmlformats.org/officeDocument/2006/relationships/hyperlink" Target="mailto:nianl_h@hotmail.com" TargetMode="External"/><Relationship Id="rId140" Type="http://schemas.openxmlformats.org/officeDocument/2006/relationships/hyperlink" Target="mailto:danielle.yueyi.chen@gmail.com" TargetMode="External"/><Relationship Id="rId182" Type="http://schemas.openxmlformats.org/officeDocument/2006/relationships/hyperlink" Target="mailto:williamwxz@gmail.com" TargetMode="External"/><Relationship Id="rId6" Type="http://schemas.openxmlformats.org/officeDocument/2006/relationships/hyperlink" Target="about:blank" TargetMode="External"/><Relationship Id="rId238" Type="http://schemas.openxmlformats.org/officeDocument/2006/relationships/hyperlink" Target="mailto:bit3tbb@gmail.com" TargetMode="External"/><Relationship Id="rId291" Type="http://schemas.openxmlformats.org/officeDocument/2006/relationships/hyperlink" Target="mailto:longtao.cmu@gmail.com" TargetMode="External"/><Relationship Id="rId305" Type="http://schemas.openxmlformats.org/officeDocument/2006/relationships/hyperlink" Target="mailto:changyu.jiang86@gmail.com" TargetMode="External"/><Relationship Id="rId44" Type="http://schemas.openxmlformats.org/officeDocument/2006/relationships/hyperlink" Target="mailto:amangoworks@gmail.com" TargetMode="External"/><Relationship Id="rId86" Type="http://schemas.openxmlformats.org/officeDocument/2006/relationships/hyperlink" Target="mailto:zqzhang2101@gmail.com" TargetMode="External"/><Relationship Id="rId151" Type="http://schemas.openxmlformats.org/officeDocument/2006/relationships/hyperlink" Target="mailto:luojingyaoex@gmail.com" TargetMode="External"/><Relationship Id="rId193" Type="http://schemas.openxmlformats.org/officeDocument/2006/relationships/hyperlink" Target="mailto:mprclibo@gmail.com" TargetMode="External"/><Relationship Id="rId207" Type="http://schemas.openxmlformats.org/officeDocument/2006/relationships/hyperlink" Target="mailto:jiachengliu@tamu.edu" TargetMode="External"/><Relationship Id="rId249" Type="http://schemas.openxmlformats.org/officeDocument/2006/relationships/hyperlink" Target="mailto:dingluyuan@gmail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wuhuajun132@gmail.com" TargetMode="External"/><Relationship Id="rId117" Type="http://schemas.openxmlformats.org/officeDocument/2006/relationships/hyperlink" Target="mailto:natalieding007@gmail.com" TargetMode="External"/><Relationship Id="rId21" Type="http://schemas.openxmlformats.org/officeDocument/2006/relationships/hyperlink" Target="mailto:yinfirefire@gmail.com" TargetMode="External"/><Relationship Id="rId42" Type="http://schemas.openxmlformats.org/officeDocument/2006/relationships/hyperlink" Target="mailto:jerryxyj289@gmail.com" TargetMode="External"/><Relationship Id="rId47" Type="http://schemas.openxmlformats.org/officeDocument/2006/relationships/hyperlink" Target="mailto:klutzoder@gmail.com" TargetMode="External"/><Relationship Id="rId63" Type="http://schemas.openxmlformats.org/officeDocument/2006/relationships/hyperlink" Target="mailto:huangkeqi1995@gmail.com" TargetMode="External"/><Relationship Id="rId68" Type="http://schemas.openxmlformats.org/officeDocument/2006/relationships/hyperlink" Target="mailto:jerrydream123@gmail.com" TargetMode="External"/><Relationship Id="rId84" Type="http://schemas.openxmlformats.org/officeDocument/2006/relationships/hyperlink" Target="mailto:fanhongjin19940206@gmail.com" TargetMode="External"/><Relationship Id="rId89" Type="http://schemas.openxmlformats.org/officeDocument/2006/relationships/hyperlink" Target="mailto:joychenrice@gmail.com" TargetMode="External"/><Relationship Id="rId112" Type="http://schemas.openxmlformats.org/officeDocument/2006/relationships/hyperlink" Target="mailto:aiz@uci.edu" TargetMode="External"/><Relationship Id="rId16" Type="http://schemas.openxmlformats.org/officeDocument/2006/relationships/hyperlink" Target="mailto:rizeng.zheng@gmail.com" TargetMode="External"/><Relationship Id="rId107" Type="http://schemas.openxmlformats.org/officeDocument/2006/relationships/hyperlink" Target="mailto:linshuhsin@gmail.com" TargetMode="External"/><Relationship Id="rId11" Type="http://schemas.openxmlformats.org/officeDocument/2006/relationships/hyperlink" Target="mailto:jiashenzzzzz@gmail.com" TargetMode="External"/><Relationship Id="rId32" Type="http://schemas.openxmlformats.org/officeDocument/2006/relationships/hyperlink" Target="mailto:superjessie92@gmail.com" TargetMode="External"/><Relationship Id="rId37" Type="http://schemas.openxmlformats.org/officeDocument/2006/relationships/hyperlink" Target="mailto:larui529@gmail.com" TargetMode="External"/><Relationship Id="rId53" Type="http://schemas.openxmlformats.org/officeDocument/2006/relationships/hyperlink" Target="mailto:wdy317138@gmail.com" TargetMode="External"/><Relationship Id="rId58" Type="http://schemas.openxmlformats.org/officeDocument/2006/relationships/hyperlink" Target="mailto:jwzhang86@gmail.com" TargetMode="External"/><Relationship Id="rId74" Type="http://schemas.openxmlformats.org/officeDocument/2006/relationships/hyperlink" Target="mailto:joychenrice@gmail.com" TargetMode="External"/><Relationship Id="rId79" Type="http://schemas.openxmlformats.org/officeDocument/2006/relationships/hyperlink" Target="mailto:qizhong19920114@gmail.com" TargetMode="External"/><Relationship Id="rId102" Type="http://schemas.openxmlformats.org/officeDocument/2006/relationships/hyperlink" Target="mailto:zhiyuanalwang@gmail.com" TargetMode="External"/><Relationship Id="rId123" Type="http://schemas.openxmlformats.org/officeDocument/2006/relationships/hyperlink" Target="mailto:zeyu.zoe.wang@gmail.com" TargetMode="External"/><Relationship Id="rId5" Type="http://schemas.openxmlformats.org/officeDocument/2006/relationships/hyperlink" Target="mailto:yli792@usc.edu" TargetMode="External"/><Relationship Id="rId90" Type="http://schemas.openxmlformats.org/officeDocument/2006/relationships/hyperlink" Target="mailto:renjie73@outlook.com" TargetMode="External"/><Relationship Id="rId95" Type="http://schemas.openxmlformats.org/officeDocument/2006/relationships/hyperlink" Target="mailto:pengfeng2000@gmail.com" TargetMode="External"/><Relationship Id="rId22" Type="http://schemas.openxmlformats.org/officeDocument/2006/relationships/hyperlink" Target="mailto:djzdevin@gmail.com" TargetMode="External"/><Relationship Id="rId27" Type="http://schemas.openxmlformats.org/officeDocument/2006/relationships/hyperlink" Target="mailto:litian930220@gmail.com" TargetMode="External"/><Relationship Id="rId43" Type="http://schemas.openxmlformats.org/officeDocument/2006/relationships/hyperlink" Target="mailto:yu.dongfeng@outlook.com" TargetMode="External"/><Relationship Id="rId48" Type="http://schemas.openxmlformats.org/officeDocument/2006/relationships/hyperlink" Target="mailto:zuoqy.gk@gmail.com" TargetMode="External"/><Relationship Id="rId64" Type="http://schemas.openxmlformats.org/officeDocument/2006/relationships/hyperlink" Target="mailto:got7amy@gmail.com" TargetMode="External"/><Relationship Id="rId69" Type="http://schemas.openxmlformats.org/officeDocument/2006/relationships/hyperlink" Target="mailto:jonathanyuheng@gmail.com" TargetMode="External"/><Relationship Id="rId113" Type="http://schemas.openxmlformats.org/officeDocument/2006/relationships/hyperlink" Target="mailto:haiqianz@usc.edu" TargetMode="External"/><Relationship Id="rId118" Type="http://schemas.openxmlformats.org/officeDocument/2006/relationships/hyperlink" Target="mailto:aiz@uci.edu" TargetMode="External"/><Relationship Id="rId80" Type="http://schemas.openxmlformats.org/officeDocument/2006/relationships/hyperlink" Target="mailto:kealyn1002@gmail.com" TargetMode="External"/><Relationship Id="rId85" Type="http://schemas.openxmlformats.org/officeDocument/2006/relationships/hyperlink" Target="mailto:dongli.pek@gmail.com" TargetMode="External"/><Relationship Id="rId12" Type="http://schemas.openxmlformats.org/officeDocument/2006/relationships/hyperlink" Target="mailto:fish444555@gmail.com" TargetMode="External"/><Relationship Id="rId17" Type="http://schemas.openxmlformats.org/officeDocument/2006/relationships/hyperlink" Target="mailto:tiffanytingliu@gmail.com" TargetMode="External"/><Relationship Id="rId33" Type="http://schemas.openxmlformats.org/officeDocument/2006/relationships/hyperlink" Target="mailto:zhuyuxiao.mail@gmail.com" TargetMode="External"/><Relationship Id="rId38" Type="http://schemas.openxmlformats.org/officeDocument/2006/relationships/hyperlink" Target="mailto:hongru52@gmail.com" TargetMode="External"/><Relationship Id="rId59" Type="http://schemas.openxmlformats.org/officeDocument/2006/relationships/hyperlink" Target="mailto:zhengxu1994620@gmail.com" TargetMode="External"/><Relationship Id="rId103" Type="http://schemas.openxmlformats.org/officeDocument/2006/relationships/hyperlink" Target="mailto:lisongyi@pku.edu.cn" TargetMode="External"/><Relationship Id="rId108" Type="http://schemas.openxmlformats.org/officeDocument/2006/relationships/hyperlink" Target="mailto:yuhangmiaobu@gmail.com" TargetMode="External"/><Relationship Id="rId124" Type="http://schemas.openxmlformats.org/officeDocument/2006/relationships/hyperlink" Target="mailto:b.ben.hjy@gmail.com" TargetMode="External"/><Relationship Id="rId54" Type="http://schemas.openxmlformats.org/officeDocument/2006/relationships/hyperlink" Target="mailto:lgc20407@gmail.com" TargetMode="External"/><Relationship Id="rId70" Type="http://schemas.openxmlformats.org/officeDocument/2006/relationships/hyperlink" Target="mailto:nealhuang0.0@gmail.com" TargetMode="External"/><Relationship Id="rId75" Type="http://schemas.openxmlformats.org/officeDocument/2006/relationships/hyperlink" Target="mailto:machaochun1@gmail.com" TargetMode="External"/><Relationship Id="rId91" Type="http://schemas.openxmlformats.org/officeDocument/2006/relationships/hyperlink" Target="mailto:chengchuan94@gmail.com" TargetMode="External"/><Relationship Id="rId96" Type="http://schemas.openxmlformats.org/officeDocument/2006/relationships/hyperlink" Target="mailto:497539558@qq.com" TargetMode="External"/><Relationship Id="rId1" Type="http://schemas.openxmlformats.org/officeDocument/2006/relationships/hyperlink" Target="mailto:hfuwu5@gmail.com" TargetMode="External"/><Relationship Id="rId6" Type="http://schemas.openxmlformats.org/officeDocument/2006/relationships/hyperlink" Target="mailto:jiachengliu@tamu.edu" TargetMode="External"/><Relationship Id="rId23" Type="http://schemas.openxmlformats.org/officeDocument/2006/relationships/hyperlink" Target="mailto:siqiaochen@gmail.com" TargetMode="External"/><Relationship Id="rId28" Type="http://schemas.openxmlformats.org/officeDocument/2006/relationships/hyperlink" Target="mailto:bh1517zhr@gmail.com" TargetMode="External"/><Relationship Id="rId49" Type="http://schemas.openxmlformats.org/officeDocument/2006/relationships/hyperlink" Target="mailto:jiecongwang@gmail.com" TargetMode="External"/><Relationship Id="rId114" Type="http://schemas.openxmlformats.org/officeDocument/2006/relationships/hyperlink" Target="mailto:vivianvvang@gmail.com" TargetMode="External"/><Relationship Id="rId119" Type="http://schemas.openxmlformats.org/officeDocument/2006/relationships/hyperlink" Target="mailto:johnkelvinson@gmail.com" TargetMode="External"/><Relationship Id="rId44" Type="http://schemas.openxmlformats.org/officeDocument/2006/relationships/hyperlink" Target="mailto:rogerhong1996@gmail.com" TargetMode="External"/><Relationship Id="rId60" Type="http://schemas.openxmlformats.org/officeDocument/2006/relationships/hyperlink" Target="mailto:sjzhang1901@gmail.com" TargetMode="External"/><Relationship Id="rId65" Type="http://schemas.openxmlformats.org/officeDocument/2006/relationships/hyperlink" Target="mailto:djzdevin@gmail.com" TargetMode="External"/><Relationship Id="rId81" Type="http://schemas.openxmlformats.org/officeDocument/2006/relationships/hyperlink" Target="about:blank" TargetMode="External"/><Relationship Id="rId86" Type="http://schemas.openxmlformats.org/officeDocument/2006/relationships/hyperlink" Target="mailto:henansam.sh@gmail.com" TargetMode="External"/><Relationship Id="rId13" Type="http://schemas.openxmlformats.org/officeDocument/2006/relationships/hyperlink" Target="mailto:805482395@qq.com" TargetMode="External"/><Relationship Id="rId18" Type="http://schemas.openxmlformats.org/officeDocument/2006/relationships/hyperlink" Target="mailto:changlu591@gmail.com" TargetMode="External"/><Relationship Id="rId39" Type="http://schemas.openxmlformats.org/officeDocument/2006/relationships/hyperlink" Target="mailto:warriorzwy01@gmail.com" TargetMode="External"/><Relationship Id="rId109" Type="http://schemas.openxmlformats.org/officeDocument/2006/relationships/hyperlink" Target="mailto:xingyu.long.97@gmail.com" TargetMode="External"/><Relationship Id="rId34" Type="http://schemas.openxmlformats.org/officeDocument/2006/relationships/hyperlink" Target="mailto:littletiger1926@gmail.com" TargetMode="External"/><Relationship Id="rId50" Type="http://schemas.openxmlformats.org/officeDocument/2006/relationships/hyperlink" Target="mailto:lilyliao48@gmail.com" TargetMode="External"/><Relationship Id="rId55" Type="http://schemas.openxmlformats.org/officeDocument/2006/relationships/hyperlink" Target="mailto:chenjianxu97@gmail.com" TargetMode="External"/><Relationship Id="rId76" Type="http://schemas.openxmlformats.org/officeDocument/2006/relationships/hyperlink" Target="mailto:wangyxjason@gmail.com" TargetMode="External"/><Relationship Id="rId97" Type="http://schemas.openxmlformats.org/officeDocument/2006/relationships/hyperlink" Target="mailto:djzdevin@gmail.com" TargetMode="External"/><Relationship Id="rId104" Type="http://schemas.openxmlformats.org/officeDocument/2006/relationships/hyperlink" Target="mailto:i@gfw.fail" TargetMode="External"/><Relationship Id="rId120" Type="http://schemas.openxmlformats.org/officeDocument/2006/relationships/hyperlink" Target="mailto:hannaw0124@gmail.com" TargetMode="External"/><Relationship Id="rId125" Type="http://schemas.openxmlformats.org/officeDocument/2006/relationships/hyperlink" Target="mailto:jialiangdong1125@gmail.com" TargetMode="External"/><Relationship Id="rId7" Type="http://schemas.openxmlformats.org/officeDocument/2006/relationships/hyperlink" Target="mailto:xiaoyuzhang0217@gmail.com" TargetMode="External"/><Relationship Id="rId71" Type="http://schemas.openxmlformats.org/officeDocument/2006/relationships/hyperlink" Target="mailto:irischangguo@gmail.com" TargetMode="External"/><Relationship Id="rId92" Type="http://schemas.openxmlformats.org/officeDocument/2006/relationships/hyperlink" Target="mailto:arthurma124@gmail.com" TargetMode="External"/><Relationship Id="rId2" Type="http://schemas.openxmlformats.org/officeDocument/2006/relationships/hyperlink" Target="mailto:chenketao007@gmail.com" TargetMode="External"/><Relationship Id="rId29" Type="http://schemas.openxmlformats.org/officeDocument/2006/relationships/hyperlink" Target="mailto:amangoworks@gmail.com" TargetMode="External"/><Relationship Id="rId24" Type="http://schemas.openxmlformats.org/officeDocument/2006/relationships/hyperlink" Target="mailto:zkawaken@gmail.com" TargetMode="External"/><Relationship Id="rId40" Type="http://schemas.openxmlformats.org/officeDocument/2006/relationships/hyperlink" Target="mailto:xinganlu1@gmail.com" TargetMode="External"/><Relationship Id="rId45" Type="http://schemas.openxmlformats.org/officeDocument/2006/relationships/hyperlink" Target="mailto:wangkaiyu16bupt@gmail.com" TargetMode="External"/><Relationship Id="rId66" Type="http://schemas.openxmlformats.org/officeDocument/2006/relationships/hyperlink" Target="mailto:johnkelvinson@gmail.com" TargetMode="External"/><Relationship Id="rId87" Type="http://schemas.openxmlformats.org/officeDocument/2006/relationships/hyperlink" Target="mailto:nianl_h@hotmail.com" TargetMode="External"/><Relationship Id="rId110" Type="http://schemas.openxmlformats.org/officeDocument/2006/relationships/hyperlink" Target="mailto:hangjianyuan@gmail.com" TargetMode="External"/><Relationship Id="rId115" Type="http://schemas.openxmlformats.org/officeDocument/2006/relationships/hyperlink" Target="mailto:tsianzuo@gmail.com" TargetMode="External"/><Relationship Id="rId61" Type="http://schemas.openxmlformats.org/officeDocument/2006/relationships/hyperlink" Target="mailto:jiaweiwang930426@gmail.com" TargetMode="External"/><Relationship Id="rId82" Type="http://schemas.openxmlformats.org/officeDocument/2006/relationships/hyperlink" Target="mailto:arron1990spring@gmail.com" TargetMode="External"/><Relationship Id="rId19" Type="http://schemas.openxmlformats.org/officeDocument/2006/relationships/hyperlink" Target="mailto:hellowordsunny@gmail.com" TargetMode="External"/><Relationship Id="rId14" Type="http://schemas.openxmlformats.org/officeDocument/2006/relationships/hyperlink" Target="mailto:yuhanwu2018@gmail.com" TargetMode="External"/><Relationship Id="rId30" Type="http://schemas.openxmlformats.org/officeDocument/2006/relationships/hyperlink" Target="mailto:nealhuang0.0@gmail.com" TargetMode="External"/><Relationship Id="rId35" Type="http://schemas.openxmlformats.org/officeDocument/2006/relationships/hyperlink" Target="mailto:dongli.pek@gmail.com" TargetMode="External"/><Relationship Id="rId56" Type="http://schemas.openxmlformats.org/officeDocument/2006/relationships/hyperlink" Target="mailto:huangkeqi1995@gmail.com" TargetMode="External"/><Relationship Id="rId77" Type="http://schemas.openxmlformats.org/officeDocument/2006/relationships/hyperlink" Target="mailto:yaxauw@gmail.com" TargetMode="External"/><Relationship Id="rId100" Type="http://schemas.openxmlformats.org/officeDocument/2006/relationships/hyperlink" Target="mailto:yijingannie@gmail.com" TargetMode="External"/><Relationship Id="rId105" Type="http://schemas.openxmlformats.org/officeDocument/2006/relationships/hyperlink" Target="mailto:jiecongwang@gmail.com" TargetMode="External"/><Relationship Id="rId8" Type="http://schemas.openxmlformats.org/officeDocument/2006/relationships/hyperlink" Target="mailto:haiqianz@usc.edu" TargetMode="External"/><Relationship Id="rId51" Type="http://schemas.openxmlformats.org/officeDocument/2006/relationships/hyperlink" Target="mailto:zqzhang2101@gmail.com" TargetMode="External"/><Relationship Id="rId72" Type="http://schemas.openxmlformats.org/officeDocument/2006/relationships/hyperlink" Target="mailto:chengu907@gmail.com" TargetMode="External"/><Relationship Id="rId93" Type="http://schemas.openxmlformats.org/officeDocument/2006/relationships/hyperlink" Target="mailto:lihao199408@gmail.com" TargetMode="External"/><Relationship Id="rId98" Type="http://schemas.openxmlformats.org/officeDocument/2006/relationships/hyperlink" Target="mailto:haiqianz@usc.edu" TargetMode="External"/><Relationship Id="rId121" Type="http://schemas.openxmlformats.org/officeDocument/2006/relationships/hyperlink" Target="mailto:got7amy@gmail.com" TargetMode="External"/><Relationship Id="rId3" Type="http://schemas.openxmlformats.org/officeDocument/2006/relationships/hyperlink" Target="mailto:hcai.pku@gmail.com" TargetMode="External"/><Relationship Id="rId25" Type="http://schemas.openxmlformats.org/officeDocument/2006/relationships/hyperlink" Target="mailto:weidong6686@gmail.com" TargetMode="External"/><Relationship Id="rId46" Type="http://schemas.openxmlformats.org/officeDocument/2006/relationships/hyperlink" Target="mailto:leo.6.wgao@gmail.com" TargetMode="External"/><Relationship Id="rId67" Type="http://schemas.openxmlformats.org/officeDocument/2006/relationships/hyperlink" Target="mailto:renjunyao@gmail.com" TargetMode="External"/><Relationship Id="rId116" Type="http://schemas.openxmlformats.org/officeDocument/2006/relationships/hyperlink" Target="mailto:redickhao@gmail.com" TargetMode="External"/><Relationship Id="rId20" Type="http://schemas.openxmlformats.org/officeDocument/2006/relationships/hyperlink" Target="mailto:cs.vivian04@gmail.com" TargetMode="External"/><Relationship Id="rId41" Type="http://schemas.openxmlformats.org/officeDocument/2006/relationships/hyperlink" Target="mailto:zhangwanying421@gmail.com" TargetMode="External"/><Relationship Id="rId62" Type="http://schemas.openxmlformats.org/officeDocument/2006/relationships/hyperlink" Target="mailto:machaochun1@gmail.com" TargetMode="External"/><Relationship Id="rId83" Type="http://schemas.openxmlformats.org/officeDocument/2006/relationships/hyperlink" Target="mailto:yjf27281181@gmail.com" TargetMode="External"/><Relationship Id="rId88" Type="http://schemas.openxmlformats.org/officeDocument/2006/relationships/hyperlink" Target="mailto:terry331221@gmail.com" TargetMode="External"/><Relationship Id="rId111" Type="http://schemas.openxmlformats.org/officeDocument/2006/relationships/hyperlink" Target="mailto:zhuyuxiao.mail@gmail.com" TargetMode="External"/><Relationship Id="rId15" Type="http://schemas.openxmlformats.org/officeDocument/2006/relationships/hyperlink" Target="mailto:qiangw1218@gmail.com" TargetMode="External"/><Relationship Id="rId36" Type="http://schemas.openxmlformats.org/officeDocument/2006/relationships/hyperlink" Target="mailto:zerotrac2259@gmail.com" TargetMode="External"/><Relationship Id="rId57" Type="http://schemas.openxmlformats.org/officeDocument/2006/relationships/hyperlink" Target="mailto:yueb@umich.edu" TargetMode="External"/><Relationship Id="rId106" Type="http://schemas.openxmlformats.org/officeDocument/2006/relationships/hyperlink" Target="mailto:liuwj23@gmail.com" TargetMode="External"/><Relationship Id="rId10" Type="http://schemas.openxmlformats.org/officeDocument/2006/relationships/hyperlink" Target="mailto:xuzhaoqingbuaa@gmail.com" TargetMode="External"/><Relationship Id="rId31" Type="http://schemas.openxmlformats.org/officeDocument/2006/relationships/hyperlink" Target="mailto:yiding.ely@gmail.com" TargetMode="External"/><Relationship Id="rId52" Type="http://schemas.openxmlformats.org/officeDocument/2006/relationships/hyperlink" Target="mailto:edward250250@gmail.com" TargetMode="External"/><Relationship Id="rId73" Type="http://schemas.openxmlformats.org/officeDocument/2006/relationships/hyperlink" Target="mailto:cherishsunyi@gmail.com" TargetMode="External"/><Relationship Id="rId78" Type="http://schemas.openxmlformats.org/officeDocument/2006/relationships/hyperlink" Target="mailto:inyuo1997@gmail.com" TargetMode="External"/><Relationship Id="rId94" Type="http://schemas.openxmlformats.org/officeDocument/2006/relationships/hyperlink" Target="mailto:Feiteng@gmail.com" TargetMode="External"/><Relationship Id="rId99" Type="http://schemas.openxmlformats.org/officeDocument/2006/relationships/hyperlink" Target="mailto:yvonneyu0303@gmail.com" TargetMode="External"/><Relationship Id="rId101" Type="http://schemas.openxmlformats.org/officeDocument/2006/relationships/hyperlink" Target="mailto:tsianzuo@gmail.com" TargetMode="External"/><Relationship Id="rId122" Type="http://schemas.openxmlformats.org/officeDocument/2006/relationships/hyperlink" Target="mailto:michelle2020up@gmail.com" TargetMode="External"/><Relationship Id="rId4" Type="http://schemas.openxmlformats.org/officeDocument/2006/relationships/hyperlink" Target="mailto:suzyzhang0@gmail.com" TargetMode="External"/><Relationship Id="rId9" Type="http://schemas.openxmlformats.org/officeDocument/2006/relationships/hyperlink" Target="mailto:ljr9412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8203"/>
  <sheetViews>
    <sheetView tabSelected="1" topLeftCell="A57" zoomScaleNormal="100" workbookViewId="0">
      <selection activeCell="A82" sqref="A82:XFD82"/>
    </sheetView>
  </sheetViews>
  <sheetFormatPr defaultColWidth="14.42578125" defaultRowHeight="15"/>
  <cols>
    <col min="1" max="1" width="27.42578125" customWidth="1"/>
    <col min="2" max="2" width="32.7109375" style="230" customWidth="1"/>
    <col min="3" max="3" width="14.42578125" style="153"/>
    <col min="4" max="4" width="15.28515625" customWidth="1"/>
    <col min="5" max="5" width="13.28515625" customWidth="1"/>
    <col min="6" max="6" width="17.140625" style="118" customWidth="1"/>
    <col min="7" max="7" width="15.42578125" customWidth="1"/>
    <col min="8" max="8" width="13.28515625" customWidth="1"/>
    <col min="9" max="9" width="16" customWidth="1"/>
    <col min="10" max="10" width="12.140625" customWidth="1"/>
    <col min="11" max="11" width="8.7109375" customWidth="1"/>
    <col min="12" max="12" width="36.42578125" customWidth="1"/>
    <col min="13" max="13" width="23.28515625" customWidth="1"/>
    <col min="14" max="14" width="21.28515625" customWidth="1"/>
    <col min="15" max="28" width="8.7109375" customWidth="1"/>
  </cols>
  <sheetData>
    <row r="1" spans="1:14">
      <c r="A1" s="182" t="s">
        <v>0</v>
      </c>
      <c r="B1" s="230" t="s">
        <v>0</v>
      </c>
      <c r="C1" s="196">
        <v>43345</v>
      </c>
      <c r="D1" s="196"/>
      <c r="E1" s="153"/>
      <c r="G1" s="153" t="s">
        <v>1</v>
      </c>
      <c r="H1" s="153" t="s">
        <v>2</v>
      </c>
      <c r="I1" s="153" t="s">
        <v>0</v>
      </c>
      <c r="J1" s="153" t="s">
        <v>3</v>
      </c>
      <c r="L1" s="3" t="s">
        <v>4</v>
      </c>
    </row>
    <row r="2" spans="1:14">
      <c r="A2" s="256" t="s">
        <v>5</v>
      </c>
      <c r="B2" s="230" t="s">
        <v>6</v>
      </c>
      <c r="C2" s="196">
        <v>43351</v>
      </c>
      <c r="D2" s="196"/>
      <c r="E2" s="153"/>
      <c r="G2" s="153" t="s">
        <v>1</v>
      </c>
      <c r="H2" s="153" t="s">
        <v>2</v>
      </c>
      <c r="I2" s="153"/>
      <c r="J2" s="153"/>
      <c r="L2" s="197" t="s">
        <v>7</v>
      </c>
      <c r="N2" t="s">
        <v>8</v>
      </c>
    </row>
    <row r="3" spans="1:14">
      <c r="A3" s="266" t="s">
        <v>9</v>
      </c>
      <c r="B3" s="230" t="s">
        <v>10</v>
      </c>
      <c r="C3" s="196">
        <v>43363</v>
      </c>
      <c r="D3" s="196"/>
      <c r="E3" s="153"/>
      <c r="F3" s="118" t="s">
        <v>0</v>
      </c>
      <c r="G3" s="153" t="s">
        <v>1</v>
      </c>
      <c r="H3" s="153" t="s">
        <v>11</v>
      </c>
      <c r="I3" s="153"/>
      <c r="J3" s="153"/>
      <c r="L3" s="7" t="s">
        <v>12</v>
      </c>
    </row>
    <row r="4" spans="1:14">
      <c r="A4" s="182" t="s">
        <v>13</v>
      </c>
      <c r="B4" s="230" t="s">
        <v>13</v>
      </c>
      <c r="C4" s="196">
        <v>43395</v>
      </c>
      <c r="D4" s="196"/>
      <c r="E4" s="153"/>
      <c r="F4" s="118" t="s">
        <v>14</v>
      </c>
      <c r="G4" s="153" t="s">
        <v>1</v>
      </c>
      <c r="H4" s="153" t="s">
        <v>2</v>
      </c>
      <c r="I4" s="153"/>
      <c r="J4" s="153"/>
    </row>
    <row r="5" spans="1:14">
      <c r="A5" s="266" t="s">
        <v>15</v>
      </c>
      <c r="B5" s="230" t="s">
        <v>16</v>
      </c>
      <c r="C5" s="196">
        <v>43428</v>
      </c>
      <c r="D5" s="196"/>
      <c r="E5" s="153"/>
      <c r="F5" s="118" t="s">
        <v>17</v>
      </c>
      <c r="G5" s="153"/>
      <c r="H5" s="153" t="s">
        <v>2</v>
      </c>
      <c r="I5" s="153"/>
      <c r="J5" s="153"/>
      <c r="L5" s="3" t="s">
        <v>18</v>
      </c>
    </row>
    <row r="6" spans="1:14">
      <c r="A6" s="267" t="s">
        <v>19</v>
      </c>
      <c r="B6" s="231" t="s">
        <v>20</v>
      </c>
      <c r="C6" s="196">
        <v>43453</v>
      </c>
      <c r="D6" s="196"/>
      <c r="E6" s="153"/>
      <c r="F6" s="118" t="s">
        <v>0</v>
      </c>
      <c r="G6" s="153" t="s">
        <v>1</v>
      </c>
      <c r="H6" s="153" t="s">
        <v>2</v>
      </c>
      <c r="I6" s="153"/>
      <c r="J6" s="153" t="s">
        <v>21</v>
      </c>
      <c r="L6" s="3" t="s">
        <v>22</v>
      </c>
    </row>
    <row r="7" spans="1:14">
      <c r="A7" s="266" t="s">
        <v>23</v>
      </c>
      <c r="B7" s="230" t="s">
        <v>24</v>
      </c>
      <c r="C7" s="196">
        <v>43470</v>
      </c>
      <c r="D7" s="196"/>
      <c r="E7" s="153"/>
      <c r="F7" s="118" t="s">
        <v>25</v>
      </c>
      <c r="G7" s="153" t="s">
        <v>26</v>
      </c>
      <c r="H7" s="153" t="s">
        <v>2</v>
      </c>
      <c r="I7" s="153"/>
      <c r="J7" s="153"/>
      <c r="L7" s="7" t="s">
        <v>27</v>
      </c>
    </row>
    <row r="8" spans="1:14">
      <c r="A8" s="266" t="s">
        <v>28</v>
      </c>
      <c r="B8" s="230" t="s">
        <v>29</v>
      </c>
      <c r="C8" s="196">
        <v>43527</v>
      </c>
      <c r="D8" s="9"/>
      <c r="E8" s="153"/>
      <c r="F8" s="118" t="s">
        <v>0</v>
      </c>
      <c r="G8" s="153"/>
      <c r="H8" s="153" t="s">
        <v>11</v>
      </c>
      <c r="I8" s="153"/>
      <c r="J8" s="153" t="s">
        <v>30</v>
      </c>
    </row>
    <row r="9" spans="1:14">
      <c r="A9" s="266" t="s">
        <v>31</v>
      </c>
      <c r="B9" s="230" t="s">
        <v>32</v>
      </c>
      <c r="C9" s="196">
        <v>43576</v>
      </c>
      <c r="D9" s="196"/>
      <c r="E9" s="153"/>
      <c r="F9" s="118" t="s">
        <v>0</v>
      </c>
      <c r="G9" s="153" t="s">
        <v>33</v>
      </c>
      <c r="H9" s="153" t="s">
        <v>2</v>
      </c>
      <c r="I9" s="153"/>
      <c r="J9" s="153"/>
      <c r="L9" s="3" t="s">
        <v>34</v>
      </c>
    </row>
    <row r="10" spans="1:14">
      <c r="A10" s="182" t="s">
        <v>35</v>
      </c>
      <c r="B10" s="229" t="s">
        <v>36</v>
      </c>
      <c r="C10" s="196">
        <v>43577</v>
      </c>
      <c r="D10" s="196"/>
      <c r="E10" s="153"/>
      <c r="F10" s="118" t="s">
        <v>0</v>
      </c>
      <c r="G10" s="153" t="s">
        <v>37</v>
      </c>
      <c r="H10" s="153" t="s">
        <v>11</v>
      </c>
      <c r="I10" s="153"/>
      <c r="J10" s="153" t="s">
        <v>3</v>
      </c>
      <c r="L10" s="3" t="s">
        <v>38</v>
      </c>
      <c r="N10" t="s">
        <v>39</v>
      </c>
    </row>
    <row r="11" spans="1:14">
      <c r="A11" s="181" t="s">
        <v>40</v>
      </c>
      <c r="B11" s="229" t="s">
        <v>41</v>
      </c>
      <c r="C11" s="196">
        <v>43606</v>
      </c>
      <c r="D11" s="196"/>
      <c r="E11" s="153"/>
      <c r="F11" s="199" t="s">
        <v>42</v>
      </c>
      <c r="G11" s="153" t="s">
        <v>43</v>
      </c>
      <c r="H11" s="153" t="s">
        <v>11</v>
      </c>
      <c r="I11" s="153"/>
      <c r="J11" s="153"/>
      <c r="L11" s="3" t="s">
        <v>44</v>
      </c>
    </row>
    <row r="12" spans="1:14" ht="15.75" customHeight="1">
      <c r="A12" s="175" t="s">
        <v>45</v>
      </c>
      <c r="B12" s="230" t="s">
        <v>46</v>
      </c>
      <c r="C12" s="196">
        <v>43658</v>
      </c>
      <c r="D12" s="196"/>
      <c r="E12" s="153"/>
      <c r="F12" s="118" t="s">
        <v>0</v>
      </c>
      <c r="G12" s="153" t="s">
        <v>43</v>
      </c>
      <c r="H12" s="153" t="s">
        <v>11</v>
      </c>
      <c r="I12" s="153"/>
      <c r="J12" s="153"/>
      <c r="L12" s="197" t="s">
        <v>47</v>
      </c>
    </row>
    <row r="13" spans="1:14" ht="15.75" customHeight="1">
      <c r="A13" s="182" t="s">
        <v>48</v>
      </c>
      <c r="B13" s="230" t="s">
        <v>49</v>
      </c>
      <c r="C13" s="196">
        <v>43690</v>
      </c>
      <c r="D13" s="196"/>
      <c r="E13" s="153"/>
      <c r="F13" s="118" t="s">
        <v>0</v>
      </c>
      <c r="G13" s="153"/>
      <c r="H13" s="153" t="s">
        <v>2</v>
      </c>
      <c r="I13" s="153"/>
      <c r="J13" s="153"/>
      <c r="L13" s="7" t="s">
        <v>50</v>
      </c>
      <c r="M13" t="s">
        <v>51</v>
      </c>
    </row>
    <row r="14" spans="1:14" ht="15.75" customHeight="1">
      <c r="A14" s="266" t="s">
        <v>52</v>
      </c>
      <c r="B14" s="230" t="s">
        <v>53</v>
      </c>
      <c r="C14" s="196">
        <v>43704</v>
      </c>
      <c r="D14" s="196"/>
      <c r="E14" s="153"/>
      <c r="F14" s="118" t="s">
        <v>54</v>
      </c>
      <c r="G14" s="153" t="s">
        <v>43</v>
      </c>
      <c r="H14" s="153" t="s">
        <v>2</v>
      </c>
      <c r="I14" s="153"/>
      <c r="J14" s="153"/>
      <c r="L14" s="3" t="s">
        <v>55</v>
      </c>
      <c r="M14" t="s">
        <v>56</v>
      </c>
      <c r="N14" t="s">
        <v>57</v>
      </c>
    </row>
    <row r="15" spans="1:14" ht="15.75" customHeight="1">
      <c r="A15" s="266" t="s">
        <v>58</v>
      </c>
      <c r="B15" s="230" t="s">
        <v>59</v>
      </c>
      <c r="C15" s="196">
        <v>43707</v>
      </c>
      <c r="D15" s="196"/>
      <c r="E15" s="153"/>
      <c r="F15" s="118" t="s">
        <v>35</v>
      </c>
      <c r="G15" s="153" t="s">
        <v>60</v>
      </c>
      <c r="H15" s="153" t="s">
        <v>11</v>
      </c>
      <c r="I15" s="153"/>
      <c r="J15" s="153" t="s">
        <v>30</v>
      </c>
      <c r="L15" s="3" t="s">
        <v>61</v>
      </c>
      <c r="N15" t="s">
        <v>62</v>
      </c>
    </row>
    <row r="16" spans="1:14" ht="15.75" customHeight="1">
      <c r="A16" s="175" t="s">
        <v>63</v>
      </c>
      <c r="B16" s="232" t="s">
        <v>64</v>
      </c>
      <c r="C16" s="196">
        <v>43718</v>
      </c>
      <c r="D16" s="196"/>
      <c r="E16" s="153"/>
      <c r="F16" s="118" t="s">
        <v>0</v>
      </c>
      <c r="G16" s="153" t="s">
        <v>1</v>
      </c>
      <c r="H16" s="153" t="s">
        <v>2</v>
      </c>
      <c r="I16" s="153"/>
      <c r="J16" s="153"/>
      <c r="L16" s="3" t="s">
        <v>65</v>
      </c>
      <c r="M16" t="s">
        <v>66</v>
      </c>
      <c r="N16" s="200" t="s">
        <v>67</v>
      </c>
    </row>
    <row r="17" spans="1:28" ht="15.75" customHeight="1">
      <c r="A17" s="181" t="s">
        <v>68</v>
      </c>
      <c r="B17" s="230" t="s">
        <v>69</v>
      </c>
      <c r="C17" s="196">
        <v>43829</v>
      </c>
      <c r="D17" s="201"/>
      <c r="E17" s="118"/>
      <c r="F17" s="118" t="s">
        <v>0</v>
      </c>
      <c r="G17" s="153" t="s">
        <v>70</v>
      </c>
      <c r="H17" s="118" t="s">
        <v>11</v>
      </c>
      <c r="I17" s="118"/>
      <c r="J17" s="153" t="s">
        <v>71</v>
      </c>
      <c r="L17" s="3" t="s">
        <v>72</v>
      </c>
    </row>
    <row r="18" spans="1:28" ht="15.75" customHeight="1">
      <c r="A18" s="266" t="s">
        <v>73</v>
      </c>
      <c r="B18" s="229" t="s">
        <v>74</v>
      </c>
      <c r="C18" s="196">
        <v>43848</v>
      </c>
      <c r="D18" s="201"/>
      <c r="E18" s="118"/>
      <c r="F18" s="118" t="s">
        <v>75</v>
      </c>
      <c r="G18" s="153" t="s">
        <v>26</v>
      </c>
      <c r="H18" s="118" t="s">
        <v>2</v>
      </c>
      <c r="I18" s="118"/>
      <c r="J18" s="153"/>
      <c r="L18" s="3" t="s">
        <v>76</v>
      </c>
    </row>
    <row r="19" spans="1:28" ht="15.75" customHeight="1">
      <c r="A19" s="181" t="s">
        <v>77</v>
      </c>
      <c r="B19" s="229" t="s">
        <v>78</v>
      </c>
      <c r="C19" s="196">
        <v>43870</v>
      </c>
      <c r="D19" s="201"/>
      <c r="E19" s="118"/>
      <c r="F19" s="16" t="s">
        <v>0</v>
      </c>
      <c r="G19" s="153" t="s">
        <v>1</v>
      </c>
      <c r="H19" s="118" t="s">
        <v>2</v>
      </c>
      <c r="I19" s="118"/>
      <c r="J19" s="153" t="s">
        <v>3</v>
      </c>
      <c r="L19" s="3" t="s">
        <v>79</v>
      </c>
      <c r="M19" s="10" t="s">
        <v>80</v>
      </c>
      <c r="N19" s="10" t="s">
        <v>77</v>
      </c>
    </row>
    <row r="20" spans="1:28" ht="15.75" customHeight="1">
      <c r="A20" s="181" t="s">
        <v>81</v>
      </c>
      <c r="B20" s="229" t="s">
        <v>81</v>
      </c>
      <c r="C20" s="196">
        <v>43875</v>
      </c>
      <c r="D20" s="201"/>
      <c r="E20" s="118"/>
      <c r="F20" s="16" t="s">
        <v>0</v>
      </c>
      <c r="G20" s="153"/>
      <c r="H20" s="118" t="s">
        <v>2</v>
      </c>
      <c r="I20" s="118"/>
      <c r="J20" s="153"/>
      <c r="L20" s="3" t="s">
        <v>82</v>
      </c>
    </row>
    <row r="21" spans="1:28" ht="15.75" customHeight="1">
      <c r="A21" s="266" t="s">
        <v>83</v>
      </c>
      <c r="B21" s="229" t="s">
        <v>84</v>
      </c>
      <c r="C21" s="196">
        <v>43911</v>
      </c>
      <c r="D21" s="201"/>
      <c r="E21" s="118"/>
      <c r="F21" s="118" t="s">
        <v>0</v>
      </c>
      <c r="G21" s="153"/>
      <c r="H21" s="118" t="s">
        <v>11</v>
      </c>
      <c r="I21" s="118"/>
      <c r="J21" s="12" t="s">
        <v>85</v>
      </c>
      <c r="L21" s="3" t="s">
        <v>86</v>
      </c>
      <c r="M21" s="10" t="s">
        <v>87</v>
      </c>
    </row>
    <row r="22" spans="1:28" ht="15.75" customHeight="1">
      <c r="A22" s="181" t="s">
        <v>88</v>
      </c>
      <c r="B22" s="229" t="s">
        <v>89</v>
      </c>
      <c r="C22" s="196">
        <v>43932</v>
      </c>
      <c r="D22" s="201"/>
      <c r="E22" s="118"/>
      <c r="F22" s="16" t="s">
        <v>0</v>
      </c>
      <c r="G22" s="153"/>
      <c r="H22" s="118" t="s">
        <v>11</v>
      </c>
      <c r="I22" s="118"/>
      <c r="J22" s="153" t="s">
        <v>90</v>
      </c>
      <c r="L22" s="197" t="s">
        <v>91</v>
      </c>
      <c r="M22" s="10" t="s">
        <v>92</v>
      </c>
    </row>
    <row r="23" spans="1:28" ht="15.75" customHeight="1">
      <c r="A23" s="266" t="s">
        <v>93</v>
      </c>
      <c r="B23" s="229" t="s">
        <v>94</v>
      </c>
      <c r="C23" s="196">
        <v>43960</v>
      </c>
      <c r="D23" s="201"/>
      <c r="E23" s="118"/>
      <c r="F23" s="118" t="s">
        <v>0</v>
      </c>
      <c r="G23" s="153" t="s">
        <v>95</v>
      </c>
      <c r="H23" s="118" t="s">
        <v>2</v>
      </c>
      <c r="I23" s="118"/>
      <c r="J23" s="153"/>
      <c r="L23" s="3" t="s">
        <v>96</v>
      </c>
      <c r="M23" s="10" t="s">
        <v>97</v>
      </c>
    </row>
    <row r="24" spans="1:28" ht="15.75" customHeight="1">
      <c r="A24" s="266" t="s">
        <v>98</v>
      </c>
      <c r="B24" s="229" t="s">
        <v>99</v>
      </c>
      <c r="C24" s="196">
        <v>43960</v>
      </c>
      <c r="D24" s="201"/>
      <c r="E24" s="118"/>
      <c r="F24" s="199" t="s">
        <v>100</v>
      </c>
      <c r="G24" s="153" t="s">
        <v>1</v>
      </c>
      <c r="H24" s="118" t="s">
        <v>11</v>
      </c>
      <c r="I24" s="118"/>
      <c r="J24" s="153"/>
      <c r="L24" s="3" t="s">
        <v>101</v>
      </c>
      <c r="M24" s="10" t="s">
        <v>102</v>
      </c>
      <c r="N24" t="s">
        <v>103</v>
      </c>
    </row>
    <row r="25" spans="1:28" ht="15.75" customHeight="1">
      <c r="A25" s="266" t="s">
        <v>104</v>
      </c>
      <c r="B25" s="229" t="s">
        <v>105</v>
      </c>
      <c r="C25" s="17">
        <v>44003</v>
      </c>
      <c r="D25" s="17"/>
      <c r="E25" s="16"/>
      <c r="F25" s="16" t="s">
        <v>0</v>
      </c>
      <c r="G25" s="12" t="s">
        <v>106</v>
      </c>
      <c r="H25" s="16" t="s">
        <v>2</v>
      </c>
      <c r="I25" s="16"/>
      <c r="J25" s="12"/>
      <c r="K25" s="198"/>
      <c r="L25" s="19" t="s">
        <v>107</v>
      </c>
    </row>
    <row r="26" spans="1:28" ht="15.75" customHeight="1">
      <c r="A26" s="181" t="s">
        <v>108</v>
      </c>
      <c r="B26" s="230" t="s">
        <v>109</v>
      </c>
      <c r="C26" s="196">
        <v>44022</v>
      </c>
      <c r="D26" s="201"/>
      <c r="E26" s="118"/>
      <c r="F26" s="16" t="s">
        <v>0</v>
      </c>
      <c r="G26" s="153" t="s">
        <v>26</v>
      </c>
      <c r="H26" s="118" t="s">
        <v>2</v>
      </c>
      <c r="I26" s="118"/>
      <c r="J26" s="153"/>
      <c r="L26" s="197" t="s">
        <v>110</v>
      </c>
      <c r="M26" s="10" t="s">
        <v>111</v>
      </c>
      <c r="N26" s="10" t="s">
        <v>112</v>
      </c>
    </row>
    <row r="27" spans="1:28" ht="15.75" customHeight="1">
      <c r="A27" s="266" t="s">
        <v>100</v>
      </c>
      <c r="B27" s="229" t="s">
        <v>113</v>
      </c>
      <c r="C27" s="17">
        <v>44044</v>
      </c>
      <c r="D27" s="17"/>
      <c r="E27" s="12"/>
      <c r="F27" s="16" t="s">
        <v>0</v>
      </c>
      <c r="G27" s="12" t="s">
        <v>1</v>
      </c>
      <c r="H27" s="12" t="s">
        <v>11</v>
      </c>
      <c r="I27" s="12"/>
      <c r="J27" s="12" t="s">
        <v>114</v>
      </c>
      <c r="K27" s="198"/>
      <c r="L27" s="19" t="s">
        <v>115</v>
      </c>
      <c r="N27" s="8" t="s">
        <v>116</v>
      </c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</row>
    <row r="28" spans="1:28" ht="15.75" customHeight="1">
      <c r="A28" s="181" t="s">
        <v>117</v>
      </c>
      <c r="B28" s="230" t="s">
        <v>118</v>
      </c>
      <c r="C28" s="196">
        <v>44053</v>
      </c>
      <c r="D28" s="201"/>
      <c r="E28" s="118"/>
      <c r="F28" s="16" t="s">
        <v>0</v>
      </c>
      <c r="G28" s="153" t="s">
        <v>119</v>
      </c>
      <c r="H28" s="118" t="s">
        <v>2</v>
      </c>
      <c r="I28" s="118"/>
      <c r="J28" s="153"/>
      <c r="L28" s="197" t="s">
        <v>120</v>
      </c>
      <c r="M28" s="10" t="s">
        <v>121</v>
      </c>
      <c r="N28" s="10" t="s">
        <v>122</v>
      </c>
    </row>
    <row r="29" spans="1:28" ht="15.75" customHeight="1">
      <c r="A29" s="266" t="s">
        <v>123</v>
      </c>
      <c r="B29" s="229" t="s">
        <v>124</v>
      </c>
      <c r="C29" s="196">
        <v>44088</v>
      </c>
      <c r="D29" s="201"/>
      <c r="E29" s="118"/>
      <c r="F29" s="16" t="s">
        <v>0</v>
      </c>
      <c r="G29" s="153" t="s">
        <v>26</v>
      </c>
      <c r="H29" s="118" t="s">
        <v>2</v>
      </c>
      <c r="I29" s="118"/>
      <c r="J29" s="153" t="s">
        <v>125</v>
      </c>
      <c r="L29" s="197" t="s">
        <v>126</v>
      </c>
      <c r="M29" s="10" t="s">
        <v>127</v>
      </c>
      <c r="N29" t="s">
        <v>128</v>
      </c>
    </row>
    <row r="30" spans="1:28" ht="15.75" customHeight="1">
      <c r="A30" s="266" t="s">
        <v>129</v>
      </c>
      <c r="B30" s="229" t="s">
        <v>130</v>
      </c>
      <c r="C30" s="17">
        <v>44092</v>
      </c>
      <c r="D30" s="201"/>
      <c r="E30" s="118"/>
      <c r="F30" s="16" t="s">
        <v>0</v>
      </c>
      <c r="G30" s="153"/>
      <c r="H30" s="118" t="s">
        <v>2</v>
      </c>
      <c r="I30" s="118"/>
      <c r="J30" s="153" t="s">
        <v>131</v>
      </c>
      <c r="L30" s="197" t="s">
        <v>132</v>
      </c>
    </row>
    <row r="31" spans="1:28" ht="15.75" customHeight="1">
      <c r="A31" s="266" t="s">
        <v>133</v>
      </c>
      <c r="B31" s="229" t="s">
        <v>134</v>
      </c>
      <c r="C31" s="196">
        <v>44115</v>
      </c>
      <c r="D31" s="201"/>
      <c r="E31" s="118"/>
      <c r="F31" s="16" t="s">
        <v>0</v>
      </c>
      <c r="G31" s="153" t="s">
        <v>33</v>
      </c>
      <c r="H31" s="118" t="s">
        <v>11</v>
      </c>
      <c r="I31" s="118"/>
      <c r="J31" s="153" t="s">
        <v>135</v>
      </c>
      <c r="L31" s="197" t="s">
        <v>136</v>
      </c>
    </row>
    <row r="32" spans="1:28" ht="15.75" customHeight="1">
      <c r="A32" s="266" t="s">
        <v>137</v>
      </c>
      <c r="B32" s="229" t="s">
        <v>138</v>
      </c>
      <c r="C32" s="196">
        <v>44153</v>
      </c>
      <c r="D32" s="201"/>
      <c r="E32" s="118"/>
      <c r="F32" s="16" t="s">
        <v>0</v>
      </c>
      <c r="G32" s="153" t="s">
        <v>139</v>
      </c>
      <c r="H32" s="118" t="s">
        <v>11</v>
      </c>
      <c r="I32" s="118"/>
      <c r="J32" s="153"/>
      <c r="L32" s="197" t="s">
        <v>140</v>
      </c>
    </row>
    <row r="33" spans="1:14" ht="15.75" customHeight="1">
      <c r="A33" s="181" t="s">
        <v>141</v>
      </c>
      <c r="B33" s="229" t="s">
        <v>142</v>
      </c>
      <c r="C33" s="196">
        <v>44178</v>
      </c>
      <c r="D33" s="201"/>
      <c r="E33" s="118"/>
      <c r="F33" s="199" t="s">
        <v>133</v>
      </c>
      <c r="G33" s="153"/>
      <c r="H33" s="118" t="s">
        <v>11</v>
      </c>
      <c r="I33" s="118"/>
      <c r="J33" s="153"/>
      <c r="L33" s="197" t="s">
        <v>143</v>
      </c>
    </row>
    <row r="34" spans="1:14" ht="15.75" customHeight="1">
      <c r="A34" s="182" t="s">
        <v>144</v>
      </c>
      <c r="B34" s="233" t="s">
        <v>145</v>
      </c>
      <c r="C34" s="196">
        <v>44196</v>
      </c>
      <c r="D34" s="201"/>
      <c r="E34" s="118"/>
      <c r="F34" s="20" t="s">
        <v>0</v>
      </c>
      <c r="G34" s="153"/>
      <c r="H34" s="118" t="s">
        <v>2</v>
      </c>
      <c r="I34" s="118"/>
      <c r="J34" s="153" t="s">
        <v>146</v>
      </c>
      <c r="L34" s="197" t="s">
        <v>147</v>
      </c>
    </row>
    <row r="35" spans="1:14" ht="15.75" customHeight="1">
      <c r="A35" s="266" t="s">
        <v>148</v>
      </c>
      <c r="B35" s="233" t="s">
        <v>149</v>
      </c>
      <c r="C35" s="196">
        <v>44197</v>
      </c>
      <c r="D35" s="201"/>
      <c r="E35" s="118"/>
      <c r="F35" s="20" t="s">
        <v>0</v>
      </c>
      <c r="G35" s="153"/>
      <c r="H35" s="118" t="s">
        <v>11</v>
      </c>
      <c r="I35" s="118"/>
      <c r="J35" s="153"/>
      <c r="L35" s="197" t="s">
        <v>150</v>
      </c>
    </row>
    <row r="36" spans="1:14" ht="15.75" customHeight="1">
      <c r="A36" s="266" t="s">
        <v>151</v>
      </c>
      <c r="B36" s="233" t="s">
        <v>152</v>
      </c>
      <c r="C36" s="196">
        <v>44206</v>
      </c>
      <c r="D36" s="201"/>
      <c r="E36" s="118"/>
      <c r="F36" s="20" t="s">
        <v>0</v>
      </c>
      <c r="G36" s="153" t="s">
        <v>153</v>
      </c>
      <c r="H36" s="118" t="s">
        <v>2</v>
      </c>
      <c r="I36" s="118"/>
      <c r="J36" s="153" t="s">
        <v>154</v>
      </c>
      <c r="L36" s="197" t="s">
        <v>155</v>
      </c>
    </row>
    <row r="37" spans="1:14" ht="15.75" customHeight="1">
      <c r="A37" s="181" t="s">
        <v>156</v>
      </c>
      <c r="B37" s="233" t="s">
        <v>157</v>
      </c>
      <c r="C37" s="196">
        <v>44206</v>
      </c>
      <c r="D37" s="201"/>
      <c r="E37" s="118"/>
      <c r="F37" s="20" t="s">
        <v>0</v>
      </c>
      <c r="G37" s="153"/>
      <c r="H37" s="118" t="s">
        <v>2</v>
      </c>
      <c r="I37" s="118"/>
      <c r="J37" s="153"/>
      <c r="L37" s="197" t="s">
        <v>158</v>
      </c>
    </row>
    <row r="38" spans="1:14" ht="15.75" customHeight="1">
      <c r="A38" s="266" t="s">
        <v>159</v>
      </c>
      <c r="B38" s="233" t="s">
        <v>160</v>
      </c>
      <c r="C38" s="196">
        <v>44216</v>
      </c>
      <c r="D38" s="201"/>
      <c r="E38" s="118"/>
      <c r="F38" s="16" t="s">
        <v>161</v>
      </c>
      <c r="G38" s="153" t="s">
        <v>70</v>
      </c>
      <c r="H38" s="118" t="s">
        <v>2</v>
      </c>
      <c r="I38" s="118"/>
      <c r="J38" s="153"/>
      <c r="L38" s="197" t="s">
        <v>162</v>
      </c>
    </row>
    <row r="39" spans="1:14" ht="15.75" customHeight="1">
      <c r="A39" s="266" t="s">
        <v>163</v>
      </c>
      <c r="B39" s="233" t="s">
        <v>164</v>
      </c>
      <c r="C39" s="196">
        <v>44260</v>
      </c>
      <c r="D39" s="201"/>
      <c r="E39" s="118"/>
      <c r="F39" s="16" t="s">
        <v>0</v>
      </c>
      <c r="G39" s="153"/>
      <c r="H39" s="118" t="s">
        <v>2</v>
      </c>
      <c r="I39" s="118"/>
      <c r="J39" s="153" t="s">
        <v>154</v>
      </c>
      <c r="L39" s="197" t="s">
        <v>165</v>
      </c>
      <c r="M39" s="198" t="s">
        <v>166</v>
      </c>
    </row>
    <row r="40" spans="1:14" s="22" customFormat="1" ht="15.75" customHeight="1">
      <c r="A40" s="202" t="s">
        <v>167</v>
      </c>
      <c r="B40" s="233" t="s">
        <v>168</v>
      </c>
      <c r="C40" s="23">
        <v>44320</v>
      </c>
      <c r="D40" s="23"/>
      <c r="E40" s="26"/>
      <c r="F40" s="20" t="s">
        <v>0</v>
      </c>
      <c r="G40" s="25" t="s">
        <v>1</v>
      </c>
      <c r="H40" s="26" t="s">
        <v>2</v>
      </c>
      <c r="I40" s="26"/>
      <c r="J40" s="25" t="s">
        <v>21</v>
      </c>
      <c r="L40" s="19" t="s">
        <v>169</v>
      </c>
      <c r="M40" s="22" t="s">
        <v>170</v>
      </c>
      <c r="N40" s="22" t="s">
        <v>171</v>
      </c>
    </row>
    <row r="41" spans="1:14" ht="15.75" customHeight="1">
      <c r="A41" t="s">
        <v>172</v>
      </c>
      <c r="B41" s="230" t="s">
        <v>173</v>
      </c>
      <c r="C41" s="23">
        <v>44333</v>
      </c>
      <c r="D41" s="201"/>
      <c r="E41" s="118"/>
      <c r="F41" s="199" t="s">
        <v>174</v>
      </c>
      <c r="G41" s="153"/>
      <c r="H41" s="118" t="s">
        <v>2</v>
      </c>
      <c r="I41" s="118"/>
      <c r="J41" s="153"/>
      <c r="L41" s="197" t="s">
        <v>175</v>
      </c>
      <c r="N41" t="s">
        <v>176</v>
      </c>
    </row>
    <row r="42" spans="1:14" ht="15.75" customHeight="1">
      <c r="A42" s="198" t="s">
        <v>177</v>
      </c>
      <c r="B42" s="230" t="s">
        <v>178</v>
      </c>
      <c r="C42" s="196">
        <v>44378</v>
      </c>
      <c r="D42" s="201"/>
      <c r="E42" s="118"/>
      <c r="F42" s="199" t="s">
        <v>159</v>
      </c>
      <c r="G42" s="153" t="s">
        <v>70</v>
      </c>
      <c r="H42" s="118" t="s">
        <v>2</v>
      </c>
      <c r="I42" s="118"/>
      <c r="J42" s="153"/>
      <c r="L42" s="197" t="s">
        <v>179</v>
      </c>
    </row>
    <row r="43" spans="1:14" ht="15.75" customHeight="1">
      <c r="A43" s="198" t="s">
        <v>180</v>
      </c>
      <c r="B43" s="230" t="s">
        <v>181</v>
      </c>
      <c r="C43" s="196">
        <v>44392</v>
      </c>
      <c r="D43" s="201"/>
      <c r="E43" s="118"/>
      <c r="F43" s="118" t="s">
        <v>172</v>
      </c>
      <c r="G43" s="153" t="s">
        <v>182</v>
      </c>
      <c r="H43" s="118" t="s">
        <v>2</v>
      </c>
      <c r="I43" s="118"/>
      <c r="J43" s="153"/>
      <c r="L43" s="197" t="s">
        <v>183</v>
      </c>
    </row>
    <row r="44" spans="1:14" ht="15.75" customHeight="1">
      <c r="A44" s="198" t="s">
        <v>184</v>
      </c>
      <c r="B44" s="230" t="s">
        <v>185</v>
      </c>
      <c r="C44" s="196">
        <v>44451</v>
      </c>
      <c r="D44" s="201"/>
      <c r="E44" s="118"/>
      <c r="F44" s="199" t="s">
        <v>174</v>
      </c>
      <c r="G44" s="153"/>
      <c r="H44" s="118" t="s">
        <v>2</v>
      </c>
      <c r="I44" s="118"/>
      <c r="J44" s="153" t="s">
        <v>3</v>
      </c>
    </row>
    <row r="45" spans="1:14" ht="15.75" customHeight="1">
      <c r="A45" t="s">
        <v>186</v>
      </c>
      <c r="B45" s="230" t="s">
        <v>186</v>
      </c>
      <c r="C45" s="196">
        <v>44464</v>
      </c>
      <c r="D45" s="201"/>
      <c r="E45" s="118"/>
      <c r="F45" s="118" t="s">
        <v>144</v>
      </c>
      <c r="G45" s="153" t="s">
        <v>187</v>
      </c>
      <c r="H45" s="118" t="s">
        <v>2</v>
      </c>
      <c r="I45" s="118"/>
      <c r="J45" s="153"/>
      <c r="L45" s="197" t="s">
        <v>188</v>
      </c>
    </row>
    <row r="46" spans="1:14" ht="15.75" customHeight="1">
      <c r="A46" t="s">
        <v>189</v>
      </c>
      <c r="B46" s="230" t="s">
        <v>190</v>
      </c>
      <c r="C46" s="196">
        <v>44483</v>
      </c>
      <c r="D46" s="201"/>
      <c r="E46" s="118"/>
      <c r="F46" s="16" t="s">
        <v>0</v>
      </c>
      <c r="G46" s="153"/>
      <c r="H46" s="118" t="s">
        <v>2</v>
      </c>
      <c r="I46" s="118"/>
      <c r="J46" s="153"/>
      <c r="L46" s="197" t="s">
        <v>191</v>
      </c>
      <c r="M46" t="s">
        <v>192</v>
      </c>
      <c r="N46" t="s">
        <v>193</v>
      </c>
    </row>
    <row r="47" spans="1:14" ht="15.75" customHeight="1">
      <c r="A47" t="s">
        <v>194</v>
      </c>
      <c r="B47" s="230" t="s">
        <v>195</v>
      </c>
      <c r="C47" s="196">
        <v>44487</v>
      </c>
      <c r="D47" s="201"/>
      <c r="E47" s="118"/>
      <c r="F47" s="118" t="s">
        <v>196</v>
      </c>
      <c r="G47" s="153"/>
      <c r="H47" s="118" t="s">
        <v>2</v>
      </c>
      <c r="I47" s="118"/>
      <c r="J47" s="153" t="s">
        <v>21</v>
      </c>
      <c r="L47" s="197" t="s">
        <v>197</v>
      </c>
    </row>
    <row r="48" spans="1:14" ht="15.75" customHeight="1">
      <c r="A48" s="198" t="s">
        <v>198</v>
      </c>
      <c r="B48" s="230" t="s">
        <v>199</v>
      </c>
      <c r="C48" s="196">
        <v>44487</v>
      </c>
      <c r="D48" s="201"/>
      <c r="E48" s="118"/>
      <c r="F48" s="118" t="s">
        <v>144</v>
      </c>
      <c r="G48" s="153"/>
      <c r="H48" s="118" t="s">
        <v>11</v>
      </c>
      <c r="I48" s="118" t="s">
        <v>200</v>
      </c>
      <c r="J48" s="153" t="s">
        <v>21</v>
      </c>
      <c r="L48" s="197" t="s">
        <v>201</v>
      </c>
      <c r="M48" s="198" t="s">
        <v>202</v>
      </c>
      <c r="N48" t="s">
        <v>200</v>
      </c>
    </row>
    <row r="49" spans="1:14" ht="15.75" customHeight="1">
      <c r="A49" s="198" t="s">
        <v>203</v>
      </c>
      <c r="B49" s="230" t="s">
        <v>204</v>
      </c>
      <c r="C49" s="196">
        <v>44489</v>
      </c>
      <c r="D49" s="201"/>
      <c r="E49" s="118"/>
      <c r="F49" s="16" t="s">
        <v>205</v>
      </c>
      <c r="G49" s="153"/>
      <c r="H49" s="118" t="s">
        <v>11</v>
      </c>
      <c r="I49" s="118"/>
      <c r="J49" s="153"/>
      <c r="L49" s="197" t="s">
        <v>206</v>
      </c>
      <c r="M49" t="s">
        <v>207</v>
      </c>
    </row>
    <row r="50" spans="1:14" ht="15.75" customHeight="1">
      <c r="A50" s="198" t="s">
        <v>208</v>
      </c>
      <c r="B50" s="230" t="s">
        <v>209</v>
      </c>
      <c r="C50" s="196">
        <v>44501</v>
      </c>
      <c r="D50" s="201"/>
      <c r="E50" s="118"/>
      <c r="F50" s="16" t="s">
        <v>0</v>
      </c>
      <c r="G50" s="153"/>
      <c r="H50" s="118" t="s">
        <v>2</v>
      </c>
      <c r="I50" s="118"/>
      <c r="J50" s="153"/>
      <c r="L50" s="197" t="s">
        <v>210</v>
      </c>
    </row>
    <row r="51" spans="1:14" ht="15.75" customHeight="1">
      <c r="A51" s="198" t="s">
        <v>211</v>
      </c>
      <c r="B51" s="230" t="s">
        <v>212</v>
      </c>
      <c r="C51" s="17">
        <v>44524</v>
      </c>
      <c r="D51" s="201"/>
      <c r="E51" s="118"/>
      <c r="F51" s="16" t="s">
        <v>0</v>
      </c>
      <c r="G51" s="153" t="s">
        <v>213</v>
      </c>
      <c r="H51" s="118" t="s">
        <v>2</v>
      </c>
      <c r="I51" s="118"/>
      <c r="J51" s="153"/>
      <c r="L51" s="197" t="s">
        <v>214</v>
      </c>
      <c r="M51" t="s">
        <v>215</v>
      </c>
      <c r="N51" t="s">
        <v>216</v>
      </c>
    </row>
    <row r="52" spans="1:14" ht="15.75" customHeight="1">
      <c r="A52" t="s">
        <v>217</v>
      </c>
      <c r="B52" s="230" t="s">
        <v>218</v>
      </c>
      <c r="C52" s="196">
        <v>44528</v>
      </c>
      <c r="D52" s="201"/>
      <c r="E52" s="118"/>
      <c r="F52" s="199" t="s">
        <v>219</v>
      </c>
      <c r="G52" s="153"/>
      <c r="H52" s="118" t="s">
        <v>11</v>
      </c>
      <c r="I52" s="118"/>
      <c r="J52" s="153" t="s">
        <v>3</v>
      </c>
      <c r="L52" s="197" t="s">
        <v>220</v>
      </c>
    </row>
    <row r="53" spans="1:14" ht="15.75" customHeight="1">
      <c r="A53" t="s">
        <v>221</v>
      </c>
      <c r="B53" s="230" t="s">
        <v>222</v>
      </c>
      <c r="C53" s="196">
        <v>44549</v>
      </c>
      <c r="D53" s="201"/>
      <c r="E53" s="118"/>
      <c r="F53" s="16" t="s">
        <v>0</v>
      </c>
      <c r="G53" s="153"/>
      <c r="H53" s="118" t="s">
        <v>2</v>
      </c>
      <c r="I53" s="118"/>
      <c r="J53" s="153"/>
    </row>
    <row r="54" spans="1:14" ht="15.75" customHeight="1">
      <c r="A54" s="198" t="s">
        <v>223</v>
      </c>
      <c r="B54" s="230" t="s">
        <v>224</v>
      </c>
      <c r="C54" s="196">
        <v>44563</v>
      </c>
      <c r="D54" s="201"/>
      <c r="E54" s="118"/>
      <c r="F54" s="118" t="s">
        <v>196</v>
      </c>
      <c r="G54" s="153" t="s">
        <v>225</v>
      </c>
      <c r="H54" s="118" t="s">
        <v>2</v>
      </c>
      <c r="I54" s="118"/>
      <c r="J54" s="153" t="s">
        <v>21</v>
      </c>
      <c r="L54" s="197" t="s">
        <v>226</v>
      </c>
      <c r="N54" t="s">
        <v>227</v>
      </c>
    </row>
    <row r="55" spans="1:14" ht="15.75" customHeight="1">
      <c r="A55" s="198" t="s">
        <v>228</v>
      </c>
      <c r="B55" s="230" t="s">
        <v>229</v>
      </c>
      <c r="C55" s="17">
        <v>44564</v>
      </c>
      <c r="D55" s="201"/>
      <c r="E55" s="118"/>
      <c r="F55" s="118" t="s">
        <v>68</v>
      </c>
      <c r="G55" s="153" t="s">
        <v>230</v>
      </c>
      <c r="H55" s="29" t="s">
        <v>11</v>
      </c>
      <c r="I55" s="29"/>
      <c r="J55" s="153"/>
      <c r="L55" s="197" t="s">
        <v>231</v>
      </c>
      <c r="M55" s="198" t="s">
        <v>228</v>
      </c>
    </row>
    <row r="56" spans="1:14" ht="15.75" customHeight="1">
      <c r="A56" t="s">
        <v>232</v>
      </c>
      <c r="B56" s="230" t="s">
        <v>233</v>
      </c>
      <c r="C56" s="196">
        <v>44571</v>
      </c>
      <c r="D56" s="201"/>
      <c r="E56" s="118"/>
      <c r="F56" s="199" t="s">
        <v>234</v>
      </c>
      <c r="G56" s="153"/>
      <c r="H56" s="118" t="s">
        <v>2</v>
      </c>
      <c r="I56" s="118"/>
      <c r="J56" s="153"/>
    </row>
    <row r="57" spans="1:14" ht="15.75" customHeight="1">
      <c r="A57" s="198" t="s">
        <v>235</v>
      </c>
      <c r="B57" s="230" t="s">
        <v>236</v>
      </c>
      <c r="C57" s="196">
        <v>44579</v>
      </c>
      <c r="D57" s="201"/>
      <c r="E57" s="118"/>
      <c r="F57" s="118" t="s">
        <v>217</v>
      </c>
      <c r="G57" s="153"/>
      <c r="H57" s="12" t="s">
        <v>2</v>
      </c>
      <c r="I57" s="12"/>
      <c r="J57" s="153"/>
    </row>
    <row r="58" spans="1:14" ht="15" customHeight="1">
      <c r="A58" t="s">
        <v>237</v>
      </c>
      <c r="B58" s="230" t="s">
        <v>238</v>
      </c>
      <c r="C58" s="196">
        <v>44595</v>
      </c>
      <c r="D58" s="201"/>
      <c r="E58" s="118"/>
      <c r="F58" s="16" t="s">
        <v>0</v>
      </c>
      <c r="G58" s="153"/>
      <c r="H58" s="118" t="s">
        <v>11</v>
      </c>
      <c r="I58" s="118"/>
      <c r="J58" s="153"/>
      <c r="L58" s="197" t="s">
        <v>239</v>
      </c>
      <c r="M58" t="s">
        <v>240</v>
      </c>
    </row>
    <row r="59" spans="1:14" ht="15.75" customHeight="1">
      <c r="A59" t="s">
        <v>241</v>
      </c>
      <c r="B59" s="230" t="s">
        <v>242</v>
      </c>
      <c r="C59" s="196">
        <v>44619</v>
      </c>
      <c r="D59" s="201"/>
      <c r="E59" s="118"/>
      <c r="F59" s="118" t="s">
        <v>144</v>
      </c>
      <c r="G59" s="153"/>
      <c r="H59" s="118" t="s">
        <v>11</v>
      </c>
      <c r="I59" s="118" t="s">
        <v>242</v>
      </c>
      <c r="J59" s="153"/>
    </row>
    <row r="60" spans="1:14" ht="15.75" customHeight="1">
      <c r="A60" s="198" t="s">
        <v>243</v>
      </c>
      <c r="B60" s="230" t="s">
        <v>244</v>
      </c>
      <c r="C60" s="196">
        <v>44625</v>
      </c>
      <c r="D60" s="201"/>
      <c r="E60" s="118"/>
      <c r="F60" s="199" t="s">
        <v>174</v>
      </c>
      <c r="G60" s="153"/>
      <c r="H60" s="118" t="s">
        <v>11</v>
      </c>
      <c r="I60" s="118"/>
      <c r="J60" s="153"/>
    </row>
    <row r="61" spans="1:14" ht="15.75" customHeight="1">
      <c r="A61" s="198" t="s">
        <v>245</v>
      </c>
      <c r="B61" s="230" t="s">
        <v>246</v>
      </c>
      <c r="C61" s="196">
        <v>44628</v>
      </c>
      <c r="D61" s="201"/>
      <c r="E61" s="118"/>
      <c r="F61" s="16" t="s">
        <v>0</v>
      </c>
      <c r="G61" s="153"/>
      <c r="H61" s="12" t="s">
        <v>2</v>
      </c>
      <c r="I61" s="12"/>
      <c r="J61" s="153"/>
      <c r="L61" s="197" t="s">
        <v>247</v>
      </c>
    </row>
    <row r="62" spans="1:14" ht="15.75" customHeight="1">
      <c r="A62" t="s">
        <v>248</v>
      </c>
      <c r="B62" s="230" t="s">
        <v>249</v>
      </c>
      <c r="C62" s="196">
        <v>44638</v>
      </c>
      <c r="D62" s="201"/>
      <c r="E62" s="118"/>
      <c r="F62" s="16" t="s">
        <v>0</v>
      </c>
      <c r="G62" s="153" t="s">
        <v>1</v>
      </c>
      <c r="H62" s="118" t="s">
        <v>11</v>
      </c>
      <c r="I62" s="118"/>
      <c r="J62" s="153"/>
      <c r="L62" s="197" t="s">
        <v>250</v>
      </c>
    </row>
    <row r="63" spans="1:14" ht="15.75" customHeight="1">
      <c r="A63" t="s">
        <v>251</v>
      </c>
      <c r="B63" s="230" t="s">
        <v>252</v>
      </c>
      <c r="C63" s="196">
        <v>44656</v>
      </c>
      <c r="D63" s="201"/>
      <c r="E63" s="118"/>
      <c r="F63" s="16" t="s">
        <v>0</v>
      </c>
      <c r="G63" s="153"/>
      <c r="H63" s="118" t="s">
        <v>11</v>
      </c>
      <c r="I63" s="118"/>
      <c r="J63" s="153"/>
      <c r="L63" s="197" t="s">
        <v>253</v>
      </c>
    </row>
    <row r="64" spans="1:14" ht="15.75" customHeight="1">
      <c r="A64" t="s">
        <v>254</v>
      </c>
      <c r="B64" s="230" t="s">
        <v>255</v>
      </c>
      <c r="C64" s="196">
        <v>44663</v>
      </c>
      <c r="D64" s="201"/>
      <c r="E64" s="118"/>
      <c r="F64" s="16" t="s">
        <v>0</v>
      </c>
      <c r="G64" s="153"/>
      <c r="H64" s="118" t="s">
        <v>11</v>
      </c>
      <c r="I64" s="118"/>
      <c r="J64" s="153"/>
      <c r="L64" s="197" t="s">
        <v>256</v>
      </c>
      <c r="N64" t="s">
        <v>257</v>
      </c>
    </row>
    <row r="65" spans="1:14" ht="15.75" customHeight="1">
      <c r="A65" s="198" t="s">
        <v>258</v>
      </c>
      <c r="B65" s="230" t="s">
        <v>259</v>
      </c>
      <c r="C65" s="196">
        <v>44688</v>
      </c>
      <c r="D65" s="201"/>
      <c r="E65" s="118"/>
      <c r="F65" s="16" t="s">
        <v>0</v>
      </c>
      <c r="G65" s="153"/>
      <c r="H65" s="118" t="s">
        <v>11</v>
      </c>
      <c r="I65" s="118"/>
      <c r="J65" s="153"/>
    </row>
    <row r="66" spans="1:14" ht="15.75" customHeight="1">
      <c r="A66" s="198" t="s">
        <v>260</v>
      </c>
      <c r="B66" s="230" t="s">
        <v>261</v>
      </c>
      <c r="C66" s="196">
        <v>44698</v>
      </c>
      <c r="D66" s="201"/>
      <c r="E66" s="118"/>
      <c r="F66" s="118" t="s">
        <v>217</v>
      </c>
      <c r="G66" s="153"/>
      <c r="H66" s="118" t="s">
        <v>2</v>
      </c>
      <c r="I66" s="118"/>
      <c r="J66" s="153"/>
    </row>
    <row r="67" spans="1:14" ht="15.75" customHeight="1">
      <c r="A67" t="s">
        <v>262</v>
      </c>
      <c r="B67" s="230" t="s">
        <v>262</v>
      </c>
      <c r="C67" s="196">
        <v>44739</v>
      </c>
      <c r="D67" s="201"/>
      <c r="E67" s="118"/>
      <c r="F67" s="16" t="s">
        <v>0</v>
      </c>
      <c r="G67" s="153"/>
      <c r="H67" s="118" t="s">
        <v>11</v>
      </c>
      <c r="I67" s="118"/>
      <c r="J67" s="12" t="s">
        <v>21</v>
      </c>
    </row>
    <row r="68" spans="1:14" s="198" customFormat="1" ht="15.75" customHeight="1">
      <c r="A68" s="10" t="s">
        <v>263</v>
      </c>
      <c r="B68" s="229" t="s">
        <v>263</v>
      </c>
      <c r="C68" s="17">
        <v>44744</v>
      </c>
      <c r="D68" s="201"/>
      <c r="E68" s="29"/>
      <c r="F68" s="16" t="s">
        <v>0</v>
      </c>
      <c r="G68" s="12" t="s">
        <v>264</v>
      </c>
      <c r="H68" s="32" t="s">
        <v>11</v>
      </c>
      <c r="I68" s="32"/>
      <c r="J68" s="12" t="s">
        <v>21</v>
      </c>
      <c r="L68" s="204" t="s">
        <v>265</v>
      </c>
      <c r="M68" s="198" t="s">
        <v>266</v>
      </c>
    </row>
    <row r="69" spans="1:14" ht="15.75" customHeight="1">
      <c r="A69" t="s">
        <v>267</v>
      </c>
      <c r="B69" s="230" t="s">
        <v>268</v>
      </c>
      <c r="C69" s="17">
        <v>44749</v>
      </c>
      <c r="D69" s="201"/>
      <c r="E69" s="118"/>
      <c r="F69" s="16" t="s">
        <v>0</v>
      </c>
      <c r="G69" s="153"/>
      <c r="H69" s="118" t="s">
        <v>2</v>
      </c>
      <c r="I69" s="118"/>
      <c r="J69" s="153"/>
    </row>
    <row r="70" spans="1:14" s="22" customFormat="1" ht="15.75" customHeight="1">
      <c r="A70" s="22" t="s">
        <v>269</v>
      </c>
      <c r="B70" s="233" t="s">
        <v>270</v>
      </c>
      <c r="C70" s="23">
        <v>44749</v>
      </c>
      <c r="D70" s="24"/>
      <c r="E70" s="34"/>
      <c r="F70" s="20" t="s">
        <v>0</v>
      </c>
      <c r="G70" s="25" t="s">
        <v>43</v>
      </c>
      <c r="H70" s="25" t="s">
        <v>2</v>
      </c>
      <c r="I70" s="25"/>
      <c r="J70" s="25"/>
      <c r="L70" s="19" t="s">
        <v>271</v>
      </c>
    </row>
    <row r="71" spans="1:14" ht="15.75" customHeight="1">
      <c r="A71" t="s">
        <v>272</v>
      </c>
      <c r="B71" s="230" t="s">
        <v>273</v>
      </c>
      <c r="C71" s="196">
        <v>44759</v>
      </c>
      <c r="D71" s="201"/>
      <c r="E71" s="118"/>
      <c r="F71" s="16" t="s">
        <v>0</v>
      </c>
      <c r="G71" s="153" t="s">
        <v>1</v>
      </c>
      <c r="H71" s="12" t="s">
        <v>2</v>
      </c>
      <c r="I71" s="12"/>
      <c r="J71" s="153"/>
      <c r="N71" t="s">
        <v>274</v>
      </c>
    </row>
    <row r="72" spans="1:14" ht="15.75" customHeight="1">
      <c r="A72" s="4" t="s">
        <v>275</v>
      </c>
      <c r="B72" s="230" t="s">
        <v>276</v>
      </c>
      <c r="C72" s="196">
        <v>44796</v>
      </c>
      <c r="D72" s="201"/>
      <c r="E72" s="118"/>
      <c r="F72" s="16" t="s">
        <v>0</v>
      </c>
      <c r="G72" s="153"/>
      <c r="H72" s="118" t="s">
        <v>11</v>
      </c>
      <c r="I72" s="118"/>
      <c r="J72" s="153"/>
      <c r="N72" t="s">
        <v>277</v>
      </c>
    </row>
    <row r="73" spans="1:14" ht="15.75" customHeight="1">
      <c r="A73" t="s">
        <v>278</v>
      </c>
      <c r="B73" s="230" t="s">
        <v>279</v>
      </c>
      <c r="C73" s="196">
        <v>44803</v>
      </c>
      <c r="D73" s="201"/>
      <c r="E73" s="118"/>
      <c r="F73" s="16" t="s">
        <v>0</v>
      </c>
      <c r="G73" s="153" t="s">
        <v>280</v>
      </c>
      <c r="H73" s="118" t="s">
        <v>11</v>
      </c>
      <c r="I73" s="118"/>
      <c r="J73" s="153"/>
    </row>
    <row r="74" spans="1:14" ht="15.75" customHeight="1">
      <c r="A74" t="s">
        <v>281</v>
      </c>
      <c r="B74" s="230" t="s">
        <v>282</v>
      </c>
      <c r="C74" s="196">
        <v>44803</v>
      </c>
      <c r="D74" s="201"/>
      <c r="E74" s="118"/>
      <c r="F74" s="16" t="s">
        <v>0</v>
      </c>
      <c r="G74" s="153"/>
      <c r="H74" s="118" t="s">
        <v>2</v>
      </c>
      <c r="I74" s="118"/>
      <c r="J74" s="153"/>
    </row>
    <row r="75" spans="1:14" ht="15.75" customHeight="1">
      <c r="A75" t="s">
        <v>283</v>
      </c>
      <c r="B75" s="230" t="s">
        <v>284</v>
      </c>
      <c r="C75" s="196">
        <v>44851</v>
      </c>
      <c r="D75" s="201"/>
      <c r="E75" s="118"/>
      <c r="F75" s="16" t="s">
        <v>0</v>
      </c>
      <c r="G75" s="153"/>
      <c r="H75" s="12" t="s">
        <v>11</v>
      </c>
      <c r="I75" s="12"/>
      <c r="J75" s="153"/>
    </row>
    <row r="76" spans="1:14" ht="15.75" customHeight="1">
      <c r="A76" s="198" t="s">
        <v>285</v>
      </c>
      <c r="B76" s="229" t="s">
        <v>286</v>
      </c>
      <c r="C76" s="17">
        <v>44861</v>
      </c>
      <c r="D76" s="201"/>
      <c r="E76" s="29"/>
      <c r="F76" s="16" t="s">
        <v>0</v>
      </c>
      <c r="G76" s="153"/>
      <c r="H76" s="118" t="s">
        <v>2</v>
      </c>
      <c r="I76" s="118"/>
      <c r="J76" s="153"/>
      <c r="L76" s="204" t="s">
        <v>287</v>
      </c>
    </row>
    <row r="77" spans="1:14" ht="15.75" customHeight="1">
      <c r="A77" s="4" t="s">
        <v>288</v>
      </c>
      <c r="B77" s="230" t="s">
        <v>289</v>
      </c>
      <c r="C77" s="196">
        <v>44920</v>
      </c>
      <c r="D77" s="201"/>
      <c r="E77" s="118"/>
      <c r="F77" s="16" t="s">
        <v>0</v>
      </c>
      <c r="G77" s="153"/>
      <c r="H77" s="118" t="s">
        <v>290</v>
      </c>
      <c r="I77" s="118"/>
      <c r="J77" s="153"/>
    </row>
    <row r="78" spans="1:14" ht="15.75" customHeight="1">
      <c r="A78" t="s">
        <v>291</v>
      </c>
      <c r="B78" s="230" t="s">
        <v>292</v>
      </c>
      <c r="C78" s="17">
        <v>44921</v>
      </c>
      <c r="D78" s="201"/>
      <c r="E78" s="118"/>
      <c r="F78" s="16" t="s">
        <v>0</v>
      </c>
      <c r="G78" s="153"/>
      <c r="H78" s="118" t="s">
        <v>290</v>
      </c>
      <c r="I78" s="118"/>
      <c r="J78" s="153"/>
    </row>
    <row r="79" spans="1:14" ht="15.75" customHeight="1">
      <c r="A79" s="4" t="s">
        <v>293</v>
      </c>
      <c r="B79" s="230" t="s">
        <v>294</v>
      </c>
      <c r="C79" s="196">
        <v>44928</v>
      </c>
      <c r="D79" s="201"/>
      <c r="E79" s="118"/>
      <c r="F79" s="11" t="s">
        <v>295</v>
      </c>
      <c r="G79" s="153"/>
      <c r="H79" s="118" t="s">
        <v>290</v>
      </c>
      <c r="I79" s="118"/>
      <c r="J79" s="153"/>
      <c r="M79" t="s">
        <v>296</v>
      </c>
      <c r="N79" t="s">
        <v>296</v>
      </c>
    </row>
    <row r="80" spans="1:14" ht="15.75" customHeight="1">
      <c r="A80" t="s">
        <v>297</v>
      </c>
      <c r="B80" s="230" t="s">
        <v>298</v>
      </c>
      <c r="C80" s="196">
        <v>44935</v>
      </c>
      <c r="D80" s="201"/>
      <c r="E80" s="118"/>
      <c r="F80" s="199" t="s">
        <v>299</v>
      </c>
      <c r="G80" s="153"/>
      <c r="H80" s="118" t="s">
        <v>11</v>
      </c>
      <c r="I80" s="118"/>
      <c r="J80" s="153" t="s">
        <v>3</v>
      </c>
      <c r="M80" s="4" t="s">
        <v>300</v>
      </c>
    </row>
    <row r="81" spans="1:14" ht="15.75" customHeight="1">
      <c r="A81" s="198" t="s">
        <v>301</v>
      </c>
      <c r="B81" s="230" t="s">
        <v>302</v>
      </c>
      <c r="C81" s="196">
        <v>45032</v>
      </c>
      <c r="D81" s="40"/>
      <c r="E81" s="41"/>
      <c r="F81" s="16" t="s">
        <v>0</v>
      </c>
      <c r="G81" s="45"/>
      <c r="H81" s="118" t="s">
        <v>290</v>
      </c>
      <c r="I81" s="118"/>
      <c r="J81" s="45"/>
      <c r="K81" s="42"/>
      <c r="L81" s="42"/>
      <c r="M81" t="s">
        <v>303</v>
      </c>
      <c r="N81" t="s">
        <v>304</v>
      </c>
    </row>
    <row r="82" spans="1:14" ht="15.75" customHeight="1">
      <c r="A82" t="s">
        <v>305</v>
      </c>
      <c r="B82" s="230" t="s">
        <v>306</v>
      </c>
      <c r="C82" s="196">
        <v>45102</v>
      </c>
      <c r="D82" s="201"/>
      <c r="E82" s="29"/>
      <c r="F82" s="16" t="s">
        <v>0</v>
      </c>
      <c r="G82" s="153"/>
      <c r="H82" s="118" t="s">
        <v>11</v>
      </c>
      <c r="I82" s="118"/>
      <c r="J82" s="153" t="s">
        <v>125</v>
      </c>
    </row>
    <row r="83" spans="1:14" ht="15.75" customHeight="1">
      <c r="A83" t="s">
        <v>307</v>
      </c>
      <c r="B83" s="230" t="s">
        <v>308</v>
      </c>
      <c r="C83" s="196">
        <v>45123</v>
      </c>
      <c r="D83" s="201"/>
      <c r="E83" s="118"/>
      <c r="F83" s="16" t="s">
        <v>0</v>
      </c>
      <c r="G83" s="153"/>
      <c r="H83" s="118" t="s">
        <v>290</v>
      </c>
      <c r="I83" s="118"/>
      <c r="J83" s="153"/>
    </row>
    <row r="84" spans="1:14" ht="15.75" customHeight="1">
      <c r="A84" t="s">
        <v>309</v>
      </c>
      <c r="B84" s="230" t="s">
        <v>310</v>
      </c>
      <c r="C84" s="196">
        <v>45223</v>
      </c>
      <c r="D84" s="17"/>
      <c r="E84" s="29"/>
      <c r="F84" s="16" t="s">
        <v>0</v>
      </c>
      <c r="G84" s="153" t="s">
        <v>70</v>
      </c>
      <c r="H84" s="12" t="s">
        <v>11</v>
      </c>
      <c r="I84" s="12"/>
      <c r="J84" s="153"/>
    </row>
    <row r="85" spans="1:14" ht="15.75" customHeight="1">
      <c r="A85" t="s">
        <v>311</v>
      </c>
      <c r="B85" s="230" t="s">
        <v>311</v>
      </c>
      <c r="C85" s="196">
        <v>45235</v>
      </c>
      <c r="D85" s="201"/>
      <c r="E85" s="29"/>
      <c r="F85" s="118" t="s">
        <v>196</v>
      </c>
      <c r="G85" s="12" t="s">
        <v>312</v>
      </c>
      <c r="H85" s="118" t="s">
        <v>2</v>
      </c>
      <c r="I85" s="118"/>
      <c r="J85" s="153" t="s">
        <v>21</v>
      </c>
      <c r="L85" s="204" t="s">
        <v>313</v>
      </c>
    </row>
    <row r="86" spans="1:14" ht="15.75" customHeight="1">
      <c r="A86" s="198" t="s">
        <v>314</v>
      </c>
      <c r="B86" s="229" t="s">
        <v>315</v>
      </c>
      <c r="C86" s="196">
        <v>45299</v>
      </c>
      <c r="D86" s="201"/>
      <c r="E86" s="29"/>
      <c r="F86" s="16" t="s">
        <v>0</v>
      </c>
      <c r="G86" s="153" t="s">
        <v>316</v>
      </c>
      <c r="H86" s="118" t="s">
        <v>11</v>
      </c>
      <c r="I86" s="118"/>
      <c r="J86" s="153" t="s">
        <v>85</v>
      </c>
      <c r="L86" s="204" t="s">
        <v>317</v>
      </c>
    </row>
    <row r="87" spans="1:14" ht="15.75" customHeight="1">
      <c r="A87" t="s">
        <v>318</v>
      </c>
      <c r="B87" s="230" t="s">
        <v>319</v>
      </c>
      <c r="C87" s="17">
        <v>45428</v>
      </c>
      <c r="D87" s="14"/>
      <c r="E87" s="5"/>
      <c r="F87" s="240" t="s">
        <v>0</v>
      </c>
      <c r="G87" s="44" t="s">
        <v>1</v>
      </c>
      <c r="H87" s="5" t="s">
        <v>290</v>
      </c>
      <c r="I87" s="5"/>
      <c r="J87" s="44"/>
    </row>
    <row r="88" spans="1:14" s="1" customFormat="1" ht="15.75" customHeight="1">
      <c r="A88" s="1" t="s">
        <v>320</v>
      </c>
      <c r="B88" s="238" t="s">
        <v>321</v>
      </c>
      <c r="C88" s="17">
        <v>45531</v>
      </c>
      <c r="D88" s="14"/>
      <c r="E88" s="5"/>
      <c r="F88" s="16" t="s">
        <v>0</v>
      </c>
      <c r="G88" s="44"/>
      <c r="H88" s="5" t="s">
        <v>290</v>
      </c>
      <c r="I88" s="5"/>
      <c r="J88" s="44"/>
    </row>
    <row r="89" spans="1:14" s="1" customFormat="1" ht="15.75" customHeight="1">
      <c r="A89" s="1" t="s">
        <v>322</v>
      </c>
      <c r="B89" s="238" t="s">
        <v>323</v>
      </c>
      <c r="C89" s="2">
        <v>45559</v>
      </c>
      <c r="D89" s="14"/>
      <c r="E89" s="29"/>
      <c r="F89" s="16" t="s">
        <v>0</v>
      </c>
      <c r="G89" s="44"/>
      <c r="H89" s="5" t="s">
        <v>290</v>
      </c>
      <c r="I89" s="5"/>
      <c r="J89" s="44"/>
    </row>
    <row r="90" spans="1:14" ht="15.75" customHeight="1">
      <c r="A90" t="s">
        <v>324</v>
      </c>
      <c r="B90" s="230" t="s">
        <v>325</v>
      </c>
      <c r="C90" s="2">
        <v>45562</v>
      </c>
      <c r="D90" s="14"/>
      <c r="E90" s="5"/>
      <c r="F90" s="5" t="s">
        <v>322</v>
      </c>
      <c r="G90" s="44"/>
      <c r="H90" s="5" t="s">
        <v>290</v>
      </c>
      <c r="I90" s="5"/>
      <c r="J90" s="44"/>
    </row>
    <row r="91" spans="1:14" ht="15.75" customHeight="1">
      <c r="A91" t="s">
        <v>326</v>
      </c>
      <c r="B91" s="230" t="s">
        <v>327</v>
      </c>
      <c r="C91" s="2">
        <v>45598</v>
      </c>
      <c r="D91" s="14"/>
      <c r="E91" s="5"/>
      <c r="F91" s="16" t="s">
        <v>0</v>
      </c>
      <c r="G91" s="44"/>
      <c r="H91" s="5" t="s">
        <v>290</v>
      </c>
      <c r="I91" s="5"/>
      <c r="J91" s="44"/>
    </row>
    <row r="92" spans="1:14" ht="15.75" customHeight="1">
      <c r="A92" t="s">
        <v>328</v>
      </c>
      <c r="B92" s="230" t="s">
        <v>329</v>
      </c>
      <c r="C92" s="2">
        <v>45640</v>
      </c>
      <c r="D92" s="14"/>
      <c r="E92" s="5"/>
      <c r="F92" s="16" t="s">
        <v>0</v>
      </c>
      <c r="G92" s="44"/>
      <c r="H92" s="5" t="s">
        <v>290</v>
      </c>
      <c r="I92" s="5"/>
      <c r="J92" s="44"/>
    </row>
    <row r="93" spans="1:14" s="1" customFormat="1" ht="15.75" customHeight="1">
      <c r="A93" s="198" t="s">
        <v>330</v>
      </c>
      <c r="B93" s="238" t="s">
        <v>331</v>
      </c>
      <c r="C93" s="17">
        <v>45714</v>
      </c>
      <c r="D93" s="28"/>
      <c r="E93" s="29"/>
      <c r="F93" s="16" t="s">
        <v>0</v>
      </c>
      <c r="G93" s="44" t="s">
        <v>33</v>
      </c>
      <c r="H93" s="12" t="s">
        <v>11</v>
      </c>
      <c r="I93" s="12"/>
      <c r="J93" s="44"/>
    </row>
    <row r="94" spans="1:14" s="1" customFormat="1" ht="15.75" customHeight="1">
      <c r="A94" s="1" t="s">
        <v>332</v>
      </c>
      <c r="B94" s="238" t="s">
        <v>332</v>
      </c>
      <c r="C94" s="2">
        <v>45723</v>
      </c>
      <c r="D94" s="14"/>
      <c r="E94" s="29"/>
      <c r="F94" s="11" t="s">
        <v>333</v>
      </c>
      <c r="G94" s="44"/>
      <c r="H94" s="5" t="s">
        <v>290</v>
      </c>
      <c r="I94" s="5"/>
      <c r="J94" s="44" t="s">
        <v>85</v>
      </c>
    </row>
    <row r="95" spans="1:14" s="1" customFormat="1" ht="15.75" customHeight="1">
      <c r="A95" s="198" t="s">
        <v>334</v>
      </c>
      <c r="B95" s="229" t="s">
        <v>335</v>
      </c>
      <c r="C95" s="2">
        <v>45732</v>
      </c>
      <c r="D95" s="14"/>
      <c r="E95" s="29"/>
      <c r="F95" s="16" t="s">
        <v>0</v>
      </c>
      <c r="G95" s="44" t="s">
        <v>336</v>
      </c>
      <c r="H95" s="5" t="s">
        <v>11</v>
      </c>
      <c r="I95" s="5"/>
      <c r="J95" s="44"/>
      <c r="L95" s="204" t="s">
        <v>337</v>
      </c>
      <c r="N95" s="1" t="s">
        <v>338</v>
      </c>
    </row>
    <row r="96" spans="1:14" ht="15.75" customHeight="1">
      <c r="A96" t="s">
        <v>339</v>
      </c>
      <c r="B96" s="230" t="s">
        <v>340</v>
      </c>
      <c r="C96" s="2">
        <v>45740</v>
      </c>
      <c r="D96" s="14"/>
      <c r="E96" s="5"/>
      <c r="F96" s="16" t="s">
        <v>0</v>
      </c>
      <c r="G96" s="44"/>
      <c r="H96" s="5" t="s">
        <v>290</v>
      </c>
      <c r="I96" s="5"/>
      <c r="J96" s="44"/>
    </row>
    <row r="97" spans="1:28" ht="15.75" customHeight="1">
      <c r="A97" t="s">
        <v>341</v>
      </c>
      <c r="B97" s="230" t="s">
        <v>342</v>
      </c>
      <c r="C97" s="2">
        <v>45922</v>
      </c>
      <c r="D97" s="14"/>
      <c r="E97" s="5"/>
      <c r="F97" s="16" t="s">
        <v>0</v>
      </c>
      <c r="G97" s="44"/>
      <c r="H97" s="203" t="s">
        <v>290</v>
      </c>
      <c r="I97" s="5"/>
      <c r="J97" s="44"/>
    </row>
    <row r="98" spans="1:28" ht="15.75" customHeight="1">
      <c r="A98" t="s">
        <v>343</v>
      </c>
      <c r="B98" s="230" t="s">
        <v>344</v>
      </c>
      <c r="C98" s="2">
        <v>45946</v>
      </c>
      <c r="D98" s="14"/>
      <c r="E98" s="5"/>
      <c r="F98" s="16" t="s">
        <v>0</v>
      </c>
      <c r="G98" s="44"/>
      <c r="H98" s="5" t="s">
        <v>290</v>
      </c>
      <c r="I98" s="5"/>
      <c r="J98" s="44"/>
      <c r="N98" t="s">
        <v>345</v>
      </c>
    </row>
    <row r="99" spans="1:28" s="1" customFormat="1" ht="15.75" customHeight="1">
      <c r="A99" s="198" t="s">
        <v>346</v>
      </c>
      <c r="B99" s="229" t="s">
        <v>347</v>
      </c>
      <c r="C99" s="17">
        <v>45962</v>
      </c>
      <c r="D99" s="28"/>
      <c r="E99" s="29"/>
      <c r="F99" s="16" t="s">
        <v>0</v>
      </c>
      <c r="G99" s="203"/>
      <c r="H99" s="5" t="s">
        <v>290</v>
      </c>
      <c r="I99" s="203"/>
      <c r="J99" s="10"/>
      <c r="K99" s="7" t="s">
        <v>348</v>
      </c>
      <c r="L99" s="10" t="s">
        <v>349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8" ht="15.75" customHeight="1">
      <c r="A100" t="s">
        <v>350</v>
      </c>
      <c r="B100" s="230" t="s">
        <v>351</v>
      </c>
      <c r="C100" s="17">
        <v>45962</v>
      </c>
      <c r="D100" s="14"/>
      <c r="E100" s="5"/>
      <c r="F100" s="16" t="s">
        <v>0</v>
      </c>
      <c r="G100" s="203"/>
      <c r="H100" s="5" t="s">
        <v>290</v>
      </c>
      <c r="I100" s="5"/>
      <c r="J100" s="44"/>
    </row>
    <row r="101" spans="1:28" ht="15.75" customHeight="1">
      <c r="A101" t="s">
        <v>352</v>
      </c>
      <c r="B101" s="230" t="s">
        <v>353</v>
      </c>
      <c r="C101" s="2">
        <v>46023</v>
      </c>
      <c r="D101" s="14"/>
      <c r="E101" s="5"/>
      <c r="F101" s="5" t="s">
        <v>144</v>
      </c>
      <c r="G101" s="44"/>
      <c r="H101" s="5" t="s">
        <v>290</v>
      </c>
      <c r="I101" s="5"/>
      <c r="J101" s="44"/>
    </row>
    <row r="102" spans="1:28" s="1" customFormat="1" ht="15.75" customHeight="1">
      <c r="A102" s="1" t="s">
        <v>354</v>
      </c>
      <c r="B102" s="238" t="s">
        <v>355</v>
      </c>
      <c r="C102" s="2">
        <v>46039</v>
      </c>
      <c r="D102" s="28"/>
      <c r="E102" s="29"/>
      <c r="F102" s="16" t="s">
        <v>0</v>
      </c>
      <c r="G102" s="44" t="s">
        <v>26</v>
      </c>
      <c r="H102" s="5" t="s">
        <v>290</v>
      </c>
      <c r="I102" s="203"/>
      <c r="J102" s="203"/>
      <c r="K102" s="198"/>
      <c r="L102" s="204" t="s">
        <v>356</v>
      </c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</row>
    <row r="103" spans="1:28" s="1" customFormat="1" ht="15.75" customHeight="1">
      <c r="A103" s="1" t="s">
        <v>357</v>
      </c>
      <c r="B103" s="238" t="s">
        <v>358</v>
      </c>
      <c r="C103" s="2">
        <v>46063</v>
      </c>
      <c r="D103" s="14"/>
      <c r="E103" s="29"/>
      <c r="F103" s="16" t="s">
        <v>0</v>
      </c>
      <c r="G103" s="44"/>
      <c r="H103" s="5" t="s">
        <v>290</v>
      </c>
      <c r="I103" s="5"/>
      <c r="J103" s="44"/>
    </row>
    <row r="104" spans="1:28" s="1" customFormat="1">
      <c r="A104" s="198" t="s">
        <v>359</v>
      </c>
      <c r="B104" s="229" t="s">
        <v>360</v>
      </c>
      <c r="C104" s="17">
        <v>46125</v>
      </c>
      <c r="D104" s="17"/>
      <c r="E104" s="29"/>
      <c r="F104" s="16" t="s">
        <v>0</v>
      </c>
      <c r="G104" s="12" t="s">
        <v>361</v>
      </c>
      <c r="H104" s="203" t="s">
        <v>290</v>
      </c>
      <c r="I104" s="203"/>
      <c r="J104" s="203"/>
      <c r="K104" s="198"/>
      <c r="L104" s="204" t="s">
        <v>362</v>
      </c>
      <c r="M104" s="198"/>
      <c r="N104" s="198"/>
    </row>
    <row r="105" spans="1:28" s="1" customFormat="1" ht="15.75" customHeight="1">
      <c r="A105" s="198" t="s">
        <v>363</v>
      </c>
      <c r="B105" s="229" t="s">
        <v>364</v>
      </c>
      <c r="C105" s="2">
        <v>46165</v>
      </c>
      <c r="D105" s="28"/>
      <c r="E105" s="29"/>
      <c r="F105" s="16" t="s">
        <v>0</v>
      </c>
      <c r="G105" s="203" t="s">
        <v>43</v>
      </c>
      <c r="H105" s="29" t="s">
        <v>11</v>
      </c>
      <c r="I105" s="12" t="s">
        <v>365</v>
      </c>
      <c r="J105" s="198"/>
      <c r="K105" s="7" t="s">
        <v>366</v>
      </c>
      <c r="L105" s="198" t="s">
        <v>367</v>
      </c>
    </row>
    <row r="106" spans="1:28" s="1" customFormat="1" ht="15.75" customHeight="1">
      <c r="A106" s="198" t="s">
        <v>368</v>
      </c>
      <c r="B106" s="229" t="s">
        <v>369</v>
      </c>
      <c r="C106" s="17">
        <v>46177</v>
      </c>
      <c r="D106" s="28"/>
      <c r="E106" s="29"/>
      <c r="F106" s="16" t="s">
        <v>0</v>
      </c>
      <c r="G106" s="12"/>
      <c r="H106" s="5" t="s">
        <v>290</v>
      </c>
      <c r="I106" s="12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</row>
    <row r="107" spans="1:28" s="1" customFormat="1" ht="15.75" customHeight="1">
      <c r="A107" s="1" t="s">
        <v>370</v>
      </c>
      <c r="B107" s="238" t="s">
        <v>371</v>
      </c>
      <c r="C107" s="2">
        <v>46278</v>
      </c>
      <c r="D107" s="17"/>
      <c r="E107" s="29"/>
      <c r="F107" s="16" t="s">
        <v>0</v>
      </c>
      <c r="G107" s="44" t="s">
        <v>70</v>
      </c>
      <c r="H107" s="5" t="s">
        <v>290</v>
      </c>
      <c r="I107" s="5"/>
      <c r="J107" s="44"/>
    </row>
    <row r="108" spans="1:28" s="1" customFormat="1" ht="15.75" customHeight="1">
      <c r="A108" s="1" t="s">
        <v>372</v>
      </c>
      <c r="B108" s="1" t="s">
        <v>373</v>
      </c>
      <c r="C108" s="2">
        <v>46283</v>
      </c>
      <c r="F108" s="16" t="s">
        <v>0</v>
      </c>
      <c r="H108" s="5" t="s">
        <v>290</v>
      </c>
    </row>
    <row r="109" spans="1:28" ht="15.75" customHeight="1">
      <c r="A109" t="s">
        <v>374</v>
      </c>
      <c r="B109" s="230" t="s">
        <v>375</v>
      </c>
      <c r="C109" s="2">
        <v>46296</v>
      </c>
      <c r="D109" s="14"/>
      <c r="E109" s="5"/>
      <c r="F109" s="5" t="s">
        <v>0</v>
      </c>
      <c r="G109" s="44"/>
      <c r="H109" s="5" t="s">
        <v>290</v>
      </c>
      <c r="I109" s="5"/>
      <c r="J109" s="44"/>
    </row>
    <row r="110" spans="1:28" ht="15.75" customHeight="1">
      <c r="C110" s="2"/>
      <c r="D110" s="14"/>
      <c r="E110" s="5"/>
      <c r="F110" s="5"/>
      <c r="G110" s="44"/>
      <c r="H110" s="5"/>
      <c r="I110" s="5"/>
      <c r="J110" s="44"/>
    </row>
    <row r="111" spans="1:28" ht="15.75" customHeight="1">
      <c r="C111" s="2"/>
      <c r="D111" s="14"/>
      <c r="E111" s="5"/>
      <c r="F111" s="5"/>
      <c r="G111" s="44"/>
      <c r="H111" s="5"/>
      <c r="I111" s="5"/>
      <c r="J111" s="44"/>
    </row>
    <row r="112" spans="1:28" ht="15.75" customHeight="1">
      <c r="C112" s="2"/>
      <c r="D112" s="268"/>
      <c r="E112" s="5"/>
      <c r="F112" s="5"/>
      <c r="G112" s="44"/>
      <c r="H112" s="5"/>
      <c r="I112" s="5"/>
      <c r="J112" s="44"/>
    </row>
    <row r="113" spans="3:10" ht="15.75" customHeight="1">
      <c r="C113" s="2"/>
      <c r="D113" s="14"/>
      <c r="E113" s="5"/>
      <c r="F113" s="5"/>
      <c r="G113" s="44"/>
      <c r="H113" s="5"/>
      <c r="I113" s="5"/>
      <c r="J113" s="44"/>
    </row>
    <row r="114" spans="3:10" ht="15.75" customHeight="1">
      <c r="C114" s="2"/>
      <c r="D114" s="14"/>
      <c r="E114" s="5"/>
      <c r="F114" s="5"/>
      <c r="G114" s="44"/>
      <c r="H114" s="5"/>
      <c r="I114" s="5"/>
      <c r="J114" s="44"/>
    </row>
    <row r="115" spans="3:10" ht="15.75" customHeight="1">
      <c r="C115" s="2"/>
      <c r="D115" s="14"/>
      <c r="E115" s="5"/>
      <c r="F115" s="5"/>
      <c r="G115" s="44"/>
      <c r="H115" s="5"/>
      <c r="I115" s="5"/>
      <c r="J115" s="44"/>
    </row>
    <row r="116" spans="3:10" ht="15.75" customHeight="1">
      <c r="C116" s="2"/>
      <c r="D116" s="14"/>
      <c r="E116" s="5"/>
      <c r="F116" s="5"/>
      <c r="G116" s="44"/>
      <c r="H116" s="5"/>
      <c r="I116" s="5"/>
      <c r="J116" s="44"/>
    </row>
    <row r="117" spans="3:10" ht="15.75" customHeight="1">
      <c r="C117" s="2"/>
      <c r="D117" s="14"/>
      <c r="E117" s="5"/>
      <c r="F117" s="5"/>
      <c r="G117" s="44"/>
      <c r="H117" s="5"/>
      <c r="I117" s="5"/>
      <c r="J117" s="44"/>
    </row>
    <row r="118" spans="3:10" ht="15.75" customHeight="1">
      <c r="C118" s="2"/>
      <c r="D118" s="14"/>
      <c r="E118" s="5"/>
      <c r="F118" s="5"/>
      <c r="G118" s="44"/>
      <c r="H118" s="5"/>
      <c r="I118" s="5"/>
      <c r="J118" s="44"/>
    </row>
    <row r="119" spans="3:10" ht="15.75" customHeight="1">
      <c r="C119" s="2"/>
      <c r="D119" s="14"/>
      <c r="E119" s="5"/>
      <c r="F119" s="5"/>
      <c r="G119" s="44"/>
      <c r="H119" s="5"/>
      <c r="I119" s="5"/>
      <c r="J119" s="44"/>
    </row>
    <row r="120" spans="3:10" ht="15.75" customHeight="1">
      <c r="C120" s="2"/>
      <c r="D120" s="14"/>
      <c r="E120" s="5"/>
      <c r="F120" s="5"/>
      <c r="G120" s="44"/>
      <c r="H120" s="5"/>
      <c r="I120" s="5"/>
      <c r="J120" s="44"/>
    </row>
    <row r="121" spans="3:10" ht="15.75" customHeight="1">
      <c r="C121" s="2"/>
      <c r="D121" s="14"/>
      <c r="E121" s="5"/>
      <c r="F121" s="5"/>
      <c r="G121" s="44"/>
      <c r="H121" s="5"/>
      <c r="I121" s="5"/>
      <c r="J121" s="44"/>
    </row>
    <row r="122" spans="3:10" ht="15.75" customHeight="1">
      <c r="C122" s="2"/>
      <c r="D122" s="14"/>
      <c r="E122" s="5"/>
      <c r="F122" s="5"/>
      <c r="G122" s="44"/>
      <c r="H122" s="5"/>
      <c r="I122" s="5"/>
      <c r="J122" s="44"/>
    </row>
    <row r="123" spans="3:10" ht="15.75" customHeight="1">
      <c r="C123" s="2"/>
      <c r="D123" s="14"/>
      <c r="E123" s="5"/>
      <c r="F123" s="5"/>
      <c r="G123" s="44"/>
      <c r="H123" s="5"/>
      <c r="I123" s="5"/>
      <c r="J123" s="44"/>
    </row>
    <row r="124" spans="3:10" ht="15.75" customHeight="1">
      <c r="C124" s="2"/>
      <c r="D124" s="14"/>
      <c r="E124" s="5"/>
      <c r="F124" s="5"/>
      <c r="G124" s="44"/>
      <c r="H124" s="5"/>
      <c r="I124" s="5"/>
      <c r="J124" s="44"/>
    </row>
    <row r="125" spans="3:10" ht="15.75" customHeight="1">
      <c r="C125" s="2"/>
      <c r="D125" s="14"/>
      <c r="E125" s="5"/>
      <c r="F125" s="5"/>
      <c r="G125" s="44"/>
      <c r="H125" s="5"/>
      <c r="I125" s="5"/>
      <c r="J125" s="44"/>
    </row>
    <row r="126" spans="3:10" ht="15.75" customHeight="1">
      <c r="C126" s="2"/>
      <c r="D126" s="14"/>
      <c r="E126" s="5"/>
      <c r="F126" s="5"/>
      <c r="G126" s="44"/>
      <c r="H126" s="5"/>
      <c r="I126" s="5"/>
      <c r="J126" s="44"/>
    </row>
    <row r="127" spans="3:10" ht="15.75" customHeight="1">
      <c r="C127" s="2"/>
      <c r="D127" s="14"/>
      <c r="E127" s="5"/>
      <c r="F127" s="5"/>
      <c r="G127" s="44"/>
      <c r="H127" s="5"/>
      <c r="I127" s="5"/>
      <c r="J127" s="44"/>
    </row>
    <row r="128" spans="3:10" ht="15.75" customHeight="1">
      <c r="C128" s="2"/>
      <c r="D128" s="14"/>
      <c r="E128" s="5"/>
      <c r="F128" s="5"/>
      <c r="G128" s="44"/>
      <c r="H128" s="5"/>
      <c r="I128" s="5"/>
      <c r="J128" s="44"/>
    </row>
    <row r="129" spans="3:10" ht="15.75" customHeight="1">
      <c r="C129" s="2"/>
      <c r="D129" s="14"/>
      <c r="E129" s="5"/>
      <c r="F129" s="5"/>
      <c r="G129" s="44"/>
      <c r="H129" s="5"/>
      <c r="I129" s="5"/>
      <c r="J129" s="44"/>
    </row>
    <row r="130" spans="3:10" ht="15.75" customHeight="1">
      <c r="C130" s="2"/>
      <c r="D130" s="14"/>
      <c r="E130" s="5"/>
      <c r="F130" s="5"/>
      <c r="G130" s="44"/>
      <c r="H130" s="5"/>
      <c r="I130" s="5"/>
      <c r="J130" s="44"/>
    </row>
    <row r="131" spans="3:10" ht="15.75" customHeight="1">
      <c r="C131" s="2"/>
      <c r="D131" s="14"/>
      <c r="E131" s="5"/>
      <c r="F131" s="5"/>
      <c r="G131" s="44"/>
      <c r="H131" s="5"/>
      <c r="I131" s="5"/>
      <c r="J131" s="44"/>
    </row>
    <row r="132" spans="3:10" ht="15.75" customHeight="1">
      <c r="C132" s="2"/>
      <c r="D132" s="14"/>
      <c r="E132" s="5"/>
      <c r="F132" s="5"/>
      <c r="G132" s="44"/>
      <c r="H132" s="5"/>
      <c r="I132" s="5"/>
      <c r="J132" s="44"/>
    </row>
    <row r="133" spans="3:10" ht="15.75" customHeight="1">
      <c r="C133" s="2"/>
      <c r="D133" s="14"/>
      <c r="E133" s="5"/>
      <c r="F133" s="5"/>
      <c r="G133" s="44"/>
      <c r="H133" s="5"/>
      <c r="I133" s="5"/>
      <c r="J133" s="44"/>
    </row>
    <row r="134" spans="3:10" ht="15.75" customHeight="1">
      <c r="C134" s="2"/>
      <c r="D134" s="14"/>
      <c r="E134" s="5"/>
      <c r="F134" s="5"/>
      <c r="G134" s="44"/>
      <c r="H134" s="5"/>
      <c r="I134" s="5"/>
      <c r="J134" s="44"/>
    </row>
    <row r="135" spans="3:10" ht="15.75" customHeight="1">
      <c r="C135" s="2"/>
      <c r="D135" s="14"/>
      <c r="E135" s="5"/>
      <c r="F135" s="5"/>
      <c r="G135" s="44"/>
      <c r="H135" s="5"/>
      <c r="I135" s="5"/>
      <c r="J135" s="44"/>
    </row>
    <row r="136" spans="3:10" ht="15.75" customHeight="1">
      <c r="C136" s="2"/>
      <c r="D136" s="14"/>
      <c r="E136" s="5"/>
      <c r="F136" s="5"/>
      <c r="G136" s="44"/>
      <c r="H136" s="5"/>
      <c r="I136" s="5"/>
      <c r="J136" s="44"/>
    </row>
    <row r="137" spans="3:10" ht="15.75" customHeight="1">
      <c r="C137" s="2"/>
      <c r="D137" s="14"/>
      <c r="E137" s="5"/>
      <c r="F137" s="5"/>
      <c r="G137" s="44"/>
      <c r="H137" s="5"/>
      <c r="I137" s="5"/>
      <c r="J137" s="44"/>
    </row>
    <row r="138" spans="3:10" ht="15.75" customHeight="1">
      <c r="C138" s="2"/>
      <c r="D138" s="14"/>
      <c r="E138" s="5"/>
      <c r="F138" s="5"/>
      <c r="G138" s="44"/>
      <c r="H138" s="5"/>
      <c r="I138" s="5"/>
      <c r="J138" s="44"/>
    </row>
    <row r="139" spans="3:10" ht="15.75" customHeight="1">
      <c r="C139" s="2"/>
      <c r="D139" s="14"/>
      <c r="E139" s="5"/>
      <c r="F139" s="5"/>
      <c r="G139" s="44"/>
      <c r="H139" s="5"/>
      <c r="I139" s="5"/>
      <c r="J139" s="44"/>
    </row>
    <row r="140" spans="3:10" ht="15.75" customHeight="1">
      <c r="C140" s="2"/>
      <c r="D140" s="14"/>
      <c r="E140" s="5"/>
      <c r="F140" s="5"/>
      <c r="G140" s="44"/>
      <c r="H140" s="5"/>
      <c r="I140" s="5"/>
      <c r="J140" s="44"/>
    </row>
    <row r="141" spans="3:10" ht="15.75" customHeight="1">
      <c r="C141" s="2"/>
      <c r="D141" s="14"/>
      <c r="E141" s="5"/>
      <c r="F141" s="5"/>
      <c r="G141" s="44"/>
      <c r="H141" s="5"/>
      <c r="I141" s="5"/>
      <c r="J141" s="44"/>
    </row>
    <row r="142" spans="3:10" ht="15.75" customHeight="1">
      <c r="C142" s="2"/>
      <c r="D142" s="14"/>
      <c r="E142" s="5"/>
      <c r="F142" s="5"/>
      <c r="G142" s="44"/>
      <c r="H142" s="5"/>
      <c r="I142" s="5"/>
      <c r="J142" s="44"/>
    </row>
    <row r="143" spans="3:10" ht="15.75" customHeight="1">
      <c r="C143" s="2"/>
      <c r="D143" s="14"/>
      <c r="E143" s="5"/>
      <c r="F143" s="5"/>
      <c r="G143" s="44"/>
      <c r="H143" s="5"/>
      <c r="I143" s="5"/>
      <c r="J143" s="44"/>
    </row>
    <row r="144" spans="3:10" ht="15.75" customHeight="1">
      <c r="C144" s="2"/>
      <c r="D144" s="14"/>
      <c r="E144" s="5"/>
      <c r="F144" s="5"/>
      <c r="G144" s="44"/>
      <c r="H144" s="5"/>
      <c r="I144" s="5"/>
      <c r="J144" s="44"/>
    </row>
    <row r="145" spans="3:10" ht="15.75" customHeight="1">
      <c r="C145" s="2"/>
      <c r="D145" s="14"/>
      <c r="E145" s="5"/>
      <c r="F145" s="5"/>
      <c r="G145" s="44"/>
      <c r="H145" s="5"/>
      <c r="I145" s="5"/>
      <c r="J145" s="44"/>
    </row>
    <row r="146" spans="3:10" ht="15.75" customHeight="1">
      <c r="C146" s="2"/>
      <c r="D146" s="14"/>
      <c r="E146" s="5"/>
      <c r="F146" s="5"/>
      <c r="G146" s="44"/>
      <c r="H146" s="5"/>
      <c r="I146" s="5"/>
      <c r="J146" s="44"/>
    </row>
    <row r="147" spans="3:10" ht="15.75" customHeight="1">
      <c r="C147" s="2"/>
      <c r="D147" s="14"/>
      <c r="E147" s="5"/>
      <c r="F147" s="5"/>
      <c r="G147" s="44"/>
      <c r="H147" s="5"/>
      <c r="I147" s="5"/>
      <c r="J147" s="44"/>
    </row>
    <row r="148" spans="3:10" ht="15.75" customHeight="1">
      <c r="C148" s="2"/>
      <c r="D148" s="14"/>
      <c r="E148" s="5"/>
      <c r="F148" s="5"/>
      <c r="G148" s="44"/>
      <c r="H148" s="5"/>
      <c r="I148" s="5"/>
      <c r="J148" s="44"/>
    </row>
    <row r="149" spans="3:10" ht="15.75" customHeight="1">
      <c r="C149" s="2"/>
      <c r="D149" s="14"/>
      <c r="E149" s="5"/>
      <c r="F149" s="5"/>
      <c r="G149" s="44"/>
      <c r="H149" s="5"/>
      <c r="I149" s="5"/>
      <c r="J149" s="44"/>
    </row>
    <row r="150" spans="3:10" ht="15.75" customHeight="1">
      <c r="C150" s="2"/>
      <c r="D150" s="14"/>
      <c r="E150" s="5"/>
      <c r="F150" s="5"/>
      <c r="G150" s="44"/>
      <c r="H150" s="5"/>
      <c r="I150" s="5"/>
      <c r="J150" s="44"/>
    </row>
    <row r="151" spans="3:10" ht="15.75" customHeight="1">
      <c r="C151" s="2"/>
      <c r="D151" s="14"/>
      <c r="E151" s="5"/>
      <c r="F151" s="5"/>
      <c r="G151" s="44"/>
      <c r="H151" s="5"/>
      <c r="I151" s="5"/>
      <c r="J151" s="44"/>
    </row>
    <row r="152" spans="3:10" ht="15.75" customHeight="1">
      <c r="C152" s="2"/>
      <c r="D152" s="14"/>
      <c r="E152" s="5"/>
      <c r="F152" s="5"/>
      <c r="G152" s="44"/>
      <c r="H152" s="5"/>
      <c r="I152" s="5"/>
      <c r="J152" s="44"/>
    </row>
    <row r="153" spans="3:10" ht="15.75" customHeight="1">
      <c r="C153" s="2"/>
      <c r="D153" s="14"/>
      <c r="E153" s="5"/>
      <c r="F153" s="5"/>
      <c r="G153" s="44"/>
      <c r="H153" s="5"/>
      <c r="I153" s="5"/>
      <c r="J153" s="44"/>
    </row>
    <row r="154" spans="3:10" ht="15.75" customHeight="1">
      <c r="C154" s="2"/>
      <c r="D154" s="14"/>
      <c r="E154" s="5"/>
      <c r="F154" s="5"/>
      <c r="G154" s="44"/>
      <c r="H154" s="5"/>
      <c r="I154" s="5"/>
      <c r="J154" s="44"/>
    </row>
    <row r="155" spans="3:10" ht="15.75" customHeight="1">
      <c r="C155" s="2"/>
      <c r="D155" s="14"/>
      <c r="E155" s="5"/>
      <c r="F155" s="5"/>
      <c r="G155" s="44"/>
      <c r="H155" s="5"/>
      <c r="I155" s="5"/>
      <c r="J155" s="44"/>
    </row>
    <row r="156" spans="3:10" ht="15.75" customHeight="1">
      <c r="C156" s="2"/>
      <c r="D156" s="14"/>
      <c r="E156" s="5"/>
      <c r="F156" s="5"/>
      <c r="G156" s="44"/>
      <c r="H156" s="5"/>
      <c r="I156" s="5"/>
      <c r="J156" s="44"/>
    </row>
    <row r="157" spans="3:10" ht="15.75" customHeight="1">
      <c r="C157" s="2"/>
      <c r="D157" s="14"/>
      <c r="E157" s="5"/>
      <c r="F157" s="5"/>
      <c r="G157" s="44"/>
      <c r="H157" s="5"/>
      <c r="I157" s="5"/>
      <c r="J157" s="44"/>
    </row>
    <row r="158" spans="3:10" ht="15.75" customHeight="1">
      <c r="C158" s="2"/>
      <c r="D158" s="14"/>
      <c r="E158" s="5"/>
      <c r="F158" s="5"/>
      <c r="G158" s="44"/>
      <c r="H158" s="5"/>
      <c r="I158" s="5"/>
      <c r="J158" s="44"/>
    </row>
    <row r="159" spans="3:10" ht="15.75" customHeight="1">
      <c r="C159" s="2"/>
      <c r="D159" s="14"/>
      <c r="E159" s="5"/>
      <c r="F159" s="5"/>
      <c r="G159" s="44"/>
      <c r="H159" s="5"/>
      <c r="I159" s="5"/>
      <c r="J159" s="44"/>
    </row>
    <row r="160" spans="3:10" ht="15.75" customHeight="1">
      <c r="C160" s="2"/>
      <c r="D160" s="14"/>
      <c r="E160" s="5"/>
      <c r="F160" s="5"/>
      <c r="G160" s="44"/>
      <c r="H160" s="5"/>
      <c r="I160" s="5"/>
      <c r="J160" s="44"/>
    </row>
    <row r="161" spans="3:10" ht="15.75" customHeight="1">
      <c r="C161" s="2"/>
      <c r="D161" s="14"/>
      <c r="E161" s="5"/>
      <c r="F161" s="5"/>
      <c r="G161" s="44"/>
      <c r="H161" s="5"/>
      <c r="I161" s="5"/>
      <c r="J161" s="44"/>
    </row>
    <row r="162" spans="3:10" ht="15.75" customHeight="1">
      <c r="C162" s="2"/>
      <c r="D162" s="14"/>
      <c r="E162" s="5"/>
      <c r="F162" s="5"/>
      <c r="G162" s="44"/>
      <c r="H162" s="5"/>
      <c r="I162" s="5"/>
      <c r="J162" s="44"/>
    </row>
    <row r="163" spans="3:10" ht="15.75" customHeight="1">
      <c r="C163" s="2"/>
      <c r="D163" s="14"/>
      <c r="E163" s="5"/>
      <c r="F163" s="5"/>
      <c r="G163" s="44"/>
      <c r="H163" s="5"/>
      <c r="I163" s="5"/>
      <c r="J163" s="44"/>
    </row>
    <row r="164" spans="3:10" ht="15.75" customHeight="1">
      <c r="C164" s="2"/>
      <c r="D164" s="14"/>
      <c r="E164" s="5"/>
      <c r="F164" s="5"/>
      <c r="G164" s="44"/>
      <c r="H164" s="5"/>
      <c r="I164" s="5"/>
      <c r="J164" s="44"/>
    </row>
    <row r="165" spans="3:10" ht="15.75" customHeight="1">
      <c r="C165" s="2"/>
      <c r="D165" s="14"/>
      <c r="E165" s="5"/>
      <c r="F165" s="5"/>
      <c r="G165" s="44"/>
      <c r="H165" s="5"/>
      <c r="I165" s="5"/>
      <c r="J165" s="44"/>
    </row>
    <row r="166" spans="3:10" ht="15.75" customHeight="1">
      <c r="C166" s="2"/>
      <c r="D166" s="14"/>
      <c r="E166" s="5"/>
      <c r="F166" s="5"/>
      <c r="G166" s="44"/>
      <c r="H166" s="5"/>
      <c r="I166" s="5"/>
      <c r="J166" s="44"/>
    </row>
    <row r="167" spans="3:10" ht="15.75" customHeight="1">
      <c r="C167" s="2"/>
      <c r="D167" s="14"/>
      <c r="E167" s="5"/>
      <c r="F167" s="5"/>
      <c r="G167" s="44"/>
      <c r="H167" s="5"/>
      <c r="I167" s="5"/>
      <c r="J167" s="44"/>
    </row>
    <row r="168" spans="3:10" ht="15.75" customHeight="1">
      <c r="C168" s="2"/>
      <c r="D168" s="14"/>
      <c r="E168" s="5"/>
      <c r="F168" s="5"/>
      <c r="G168" s="44"/>
      <c r="H168" s="5"/>
      <c r="I168" s="5"/>
      <c r="J168" s="44"/>
    </row>
    <row r="169" spans="3:10" ht="15.75" customHeight="1">
      <c r="C169" s="2"/>
      <c r="D169" s="14"/>
      <c r="E169" s="5"/>
      <c r="F169" s="5"/>
      <c r="G169" s="44"/>
      <c r="H169" s="5"/>
      <c r="I169" s="5"/>
      <c r="J169" s="44"/>
    </row>
    <row r="170" spans="3:10" ht="15.75" customHeight="1">
      <c r="C170" s="2"/>
      <c r="D170" s="14"/>
      <c r="E170" s="5"/>
      <c r="F170" s="5"/>
      <c r="G170" s="44"/>
      <c r="H170" s="5"/>
      <c r="I170" s="5"/>
      <c r="J170" s="44"/>
    </row>
    <row r="171" spans="3:10" ht="15.75" customHeight="1">
      <c r="C171" s="2"/>
      <c r="D171" s="14"/>
      <c r="E171" s="5"/>
      <c r="F171" s="5"/>
      <c r="G171" s="44"/>
      <c r="H171" s="5"/>
      <c r="I171" s="5"/>
      <c r="J171" s="44"/>
    </row>
    <row r="172" spans="3:10" ht="15.75" customHeight="1">
      <c r="C172" s="2"/>
      <c r="D172" s="14"/>
      <c r="E172" s="5"/>
      <c r="F172" s="5"/>
      <c r="G172" s="44"/>
      <c r="H172" s="5"/>
      <c r="I172" s="5"/>
      <c r="J172" s="44"/>
    </row>
    <row r="173" spans="3:10" ht="15.75" customHeight="1">
      <c r="C173" s="2"/>
      <c r="D173" s="14"/>
      <c r="E173" s="5"/>
      <c r="F173" s="5"/>
      <c r="G173" s="44"/>
      <c r="H173" s="5"/>
      <c r="I173" s="5"/>
      <c r="J173" s="44"/>
    </row>
    <row r="174" spans="3:10" ht="15.75" customHeight="1">
      <c r="C174" s="2"/>
      <c r="D174" s="14"/>
      <c r="E174" s="5"/>
      <c r="F174" s="5"/>
      <c r="G174" s="44"/>
      <c r="H174" s="5"/>
      <c r="I174" s="5"/>
      <c r="J174" s="44"/>
    </row>
    <row r="175" spans="3:10" ht="15.75" customHeight="1">
      <c r="C175" s="2"/>
      <c r="D175" s="14"/>
      <c r="E175" s="5"/>
      <c r="F175" s="5"/>
      <c r="G175" s="44"/>
      <c r="H175" s="5"/>
      <c r="I175" s="5"/>
      <c r="J175" s="44"/>
    </row>
    <row r="176" spans="3:10" ht="15.75" customHeight="1">
      <c r="C176" s="2"/>
      <c r="D176" s="14"/>
      <c r="E176" s="5"/>
      <c r="F176" s="5"/>
      <c r="G176" s="44"/>
      <c r="H176" s="5"/>
      <c r="I176" s="5"/>
      <c r="J176" s="44"/>
    </row>
    <row r="177" spans="3:10" ht="15.75" customHeight="1">
      <c r="C177" s="2"/>
      <c r="D177" s="14"/>
      <c r="E177" s="5"/>
      <c r="F177" s="5"/>
      <c r="G177" s="44"/>
      <c r="H177" s="5"/>
      <c r="I177" s="5"/>
      <c r="J177" s="44"/>
    </row>
    <row r="178" spans="3:10" ht="15.75" customHeight="1">
      <c r="C178" s="2"/>
      <c r="D178" s="14"/>
      <c r="E178" s="5"/>
      <c r="F178" s="5"/>
      <c r="G178" s="44"/>
      <c r="H178" s="5"/>
      <c r="I178" s="5"/>
      <c r="J178" s="44"/>
    </row>
    <row r="179" spans="3:10" ht="15.75" customHeight="1">
      <c r="C179" s="2"/>
      <c r="D179" s="14"/>
      <c r="E179" s="5"/>
      <c r="F179" s="5"/>
      <c r="G179" s="44"/>
      <c r="H179" s="5"/>
      <c r="I179" s="5"/>
      <c r="J179" s="44"/>
    </row>
    <row r="180" spans="3:10" ht="15.75" customHeight="1">
      <c r="C180" s="2"/>
      <c r="D180" s="14"/>
      <c r="E180" s="5"/>
      <c r="F180" s="5"/>
      <c r="G180" s="44"/>
      <c r="H180" s="5"/>
      <c r="I180" s="5"/>
      <c r="J180" s="44"/>
    </row>
    <row r="181" spans="3:10" ht="15.75" customHeight="1">
      <c r="C181" s="2"/>
      <c r="D181" s="14"/>
      <c r="E181" s="5"/>
      <c r="F181" s="5"/>
      <c r="G181" s="44"/>
      <c r="H181" s="5"/>
      <c r="I181" s="5"/>
      <c r="J181" s="44"/>
    </row>
    <row r="182" spans="3:10" ht="15.75" customHeight="1">
      <c r="C182" s="2"/>
      <c r="D182" s="14"/>
      <c r="E182" s="5"/>
      <c r="F182" s="5"/>
      <c r="G182" s="44"/>
      <c r="H182" s="5"/>
      <c r="I182" s="5"/>
      <c r="J182" s="44"/>
    </row>
    <row r="183" spans="3:10" ht="15.75" customHeight="1">
      <c r="C183" s="2"/>
      <c r="D183" s="14"/>
      <c r="E183" s="5"/>
      <c r="F183" s="5"/>
      <c r="G183" s="44"/>
      <c r="H183" s="5"/>
      <c r="I183" s="5"/>
      <c r="J183" s="44"/>
    </row>
    <row r="184" spans="3:10" ht="15.75" customHeight="1">
      <c r="C184" s="2"/>
      <c r="D184" s="14"/>
      <c r="E184" s="5"/>
      <c r="F184" s="5"/>
      <c r="G184" s="44"/>
      <c r="H184" s="5"/>
      <c r="I184" s="5"/>
      <c r="J184" s="44"/>
    </row>
    <row r="185" spans="3:10" ht="15.75" customHeight="1">
      <c r="C185" s="2"/>
      <c r="D185" s="14"/>
      <c r="E185" s="5"/>
      <c r="F185" s="5"/>
      <c r="G185" s="44"/>
      <c r="H185" s="5"/>
      <c r="I185" s="5"/>
      <c r="J185" s="44"/>
    </row>
    <row r="186" spans="3:10" ht="15.75" customHeight="1">
      <c r="C186" s="2"/>
      <c r="D186" s="14"/>
      <c r="E186" s="5"/>
      <c r="F186" s="5"/>
      <c r="G186" s="44"/>
      <c r="H186" s="5"/>
      <c r="I186" s="5"/>
      <c r="J186" s="44"/>
    </row>
    <row r="187" spans="3:10" ht="15.75" customHeight="1">
      <c r="C187" s="2"/>
      <c r="D187" s="14"/>
      <c r="E187" s="5"/>
      <c r="F187" s="5"/>
      <c r="G187" s="44"/>
      <c r="H187" s="5"/>
      <c r="I187" s="5"/>
      <c r="J187" s="44"/>
    </row>
    <row r="188" spans="3:10" ht="15.75" customHeight="1">
      <c r="C188" s="2"/>
      <c r="D188" s="14"/>
      <c r="E188" s="5"/>
      <c r="F188" s="5"/>
      <c r="G188" s="44"/>
      <c r="H188" s="5"/>
      <c r="I188" s="5"/>
      <c r="J188" s="44"/>
    </row>
    <row r="189" spans="3:10" ht="15.75" customHeight="1">
      <c r="C189" s="2"/>
      <c r="D189" s="14"/>
      <c r="E189" s="5"/>
      <c r="F189" s="5"/>
      <c r="G189" s="44"/>
      <c r="H189" s="5"/>
      <c r="I189" s="5"/>
      <c r="J189" s="44"/>
    </row>
    <row r="190" spans="3:10" ht="15.75" customHeight="1">
      <c r="C190" s="2"/>
      <c r="D190" s="14"/>
      <c r="E190" s="5"/>
      <c r="F190" s="5"/>
      <c r="G190" s="44"/>
      <c r="H190" s="5"/>
      <c r="I190" s="5"/>
      <c r="J190" s="44"/>
    </row>
    <row r="191" spans="3:10" ht="15.75" customHeight="1">
      <c r="C191" s="2"/>
      <c r="D191" s="14"/>
      <c r="E191" s="5"/>
      <c r="F191" s="5"/>
      <c r="G191" s="44"/>
      <c r="H191" s="5"/>
      <c r="I191" s="5"/>
      <c r="J191" s="44"/>
    </row>
    <row r="192" spans="3:10" ht="15.75" customHeight="1">
      <c r="C192" s="2"/>
      <c r="D192" s="14"/>
      <c r="E192" s="5"/>
      <c r="F192" s="5"/>
      <c r="G192" s="44"/>
      <c r="H192" s="5"/>
      <c r="I192" s="5"/>
      <c r="J192" s="44"/>
    </row>
    <row r="193" spans="3:10" ht="15.75" customHeight="1">
      <c r="C193" s="2"/>
      <c r="D193" s="14"/>
      <c r="E193" s="5"/>
      <c r="F193" s="5"/>
      <c r="G193" s="44"/>
      <c r="H193" s="5"/>
      <c r="I193" s="5"/>
      <c r="J193" s="44"/>
    </row>
    <row r="194" spans="3:10" ht="15.75" customHeight="1">
      <c r="C194" s="2"/>
      <c r="D194" s="14"/>
      <c r="E194" s="5"/>
      <c r="F194" s="5"/>
      <c r="G194" s="44"/>
      <c r="H194" s="5"/>
      <c r="I194" s="5"/>
      <c r="J194" s="44"/>
    </row>
    <row r="195" spans="3:10" ht="15.75" customHeight="1">
      <c r="C195" s="2"/>
      <c r="D195" s="14"/>
      <c r="E195" s="5"/>
      <c r="F195" s="5"/>
      <c r="G195" s="44"/>
      <c r="H195" s="5"/>
      <c r="I195" s="5"/>
      <c r="J195" s="44"/>
    </row>
    <row r="196" spans="3:10" ht="15.75" customHeight="1">
      <c r="C196" s="2"/>
      <c r="D196" s="14"/>
      <c r="E196" s="5"/>
      <c r="F196" s="5"/>
      <c r="G196" s="44"/>
      <c r="H196" s="5"/>
      <c r="I196" s="5"/>
      <c r="J196" s="44"/>
    </row>
    <row r="197" spans="3:10" ht="15.75" customHeight="1">
      <c r="C197" s="2"/>
      <c r="D197" s="14"/>
      <c r="E197" s="5"/>
      <c r="F197" s="5"/>
      <c r="G197" s="44"/>
      <c r="H197" s="5"/>
      <c r="I197" s="5"/>
      <c r="J197" s="44"/>
    </row>
    <row r="198" spans="3:10" ht="15.75" customHeight="1">
      <c r="C198" s="2"/>
      <c r="D198" s="14"/>
      <c r="E198" s="5"/>
      <c r="F198" s="5"/>
      <c r="G198" s="44"/>
      <c r="H198" s="5"/>
      <c r="I198" s="5"/>
      <c r="J198" s="44"/>
    </row>
    <row r="199" spans="3:10" ht="15.75" customHeight="1">
      <c r="C199" s="2"/>
      <c r="D199" s="14"/>
      <c r="E199" s="5"/>
      <c r="F199" s="5"/>
      <c r="G199" s="44"/>
      <c r="H199" s="5"/>
      <c r="I199" s="5"/>
      <c r="J199" s="44"/>
    </row>
    <row r="200" spans="3:10" ht="15.75" customHeight="1">
      <c r="C200" s="2"/>
      <c r="D200" s="14"/>
      <c r="E200" s="5"/>
      <c r="F200" s="5"/>
      <c r="G200" s="44"/>
      <c r="H200" s="5"/>
      <c r="I200" s="5"/>
      <c r="J200" s="44"/>
    </row>
    <row r="201" spans="3:10" ht="15.75" customHeight="1">
      <c r="C201" s="2"/>
      <c r="D201" s="14"/>
      <c r="E201" s="5"/>
      <c r="F201" s="5"/>
      <c r="G201" s="44"/>
      <c r="H201" s="5"/>
      <c r="I201" s="5"/>
      <c r="J201" s="44"/>
    </row>
    <row r="202" spans="3:10" ht="15.75" customHeight="1">
      <c r="C202" s="2"/>
      <c r="D202" s="14"/>
      <c r="E202" s="5"/>
      <c r="F202" s="5"/>
      <c r="G202" s="44"/>
      <c r="H202" s="5"/>
      <c r="I202" s="5"/>
      <c r="J202" s="44"/>
    </row>
    <row r="203" spans="3:10" ht="15.75" customHeight="1">
      <c r="C203" s="2"/>
      <c r="D203" s="14"/>
      <c r="E203" s="5"/>
      <c r="F203" s="5"/>
      <c r="G203" s="44"/>
      <c r="H203" s="5"/>
      <c r="I203" s="5"/>
      <c r="J203" s="44"/>
    </row>
    <row r="204" spans="3:10" ht="15.75" customHeight="1">
      <c r="C204" s="2"/>
      <c r="D204" s="14"/>
      <c r="E204" s="5"/>
      <c r="F204" s="5"/>
      <c r="G204" s="44"/>
      <c r="H204" s="5"/>
      <c r="I204" s="5"/>
      <c r="J204" s="44"/>
    </row>
    <row r="205" spans="3:10" ht="15.75" customHeight="1">
      <c r="C205" s="2"/>
      <c r="D205" s="14"/>
      <c r="E205" s="5"/>
      <c r="F205" s="5"/>
      <c r="G205" s="44"/>
      <c r="H205" s="5"/>
      <c r="I205" s="5"/>
      <c r="J205" s="44"/>
    </row>
    <row r="1048201" ht="12.75" customHeight="1"/>
    <row r="1048202" ht="12.75" customHeight="1"/>
    <row r="1048203" ht="12.75" customHeight="1"/>
  </sheetData>
  <hyperlinks>
    <hyperlink ref="L1" r:id="rId1" xr:uid="{20302529-324E-4812-A741-EAFAF3C216B4}"/>
    <hyperlink ref="L2" r:id="rId2" xr:uid="{28210EC1-CF3D-41EF-8A49-D3D5EC84D4A4}"/>
    <hyperlink ref="L3" r:id="rId3" xr:uid="{34DAA016-CE70-4947-AE71-450748CA7812}"/>
    <hyperlink ref="L5" r:id="rId4" xr:uid="{A87A0684-5219-4701-B65C-7DD19E819CE7}"/>
    <hyperlink ref="L6" r:id="rId5" xr:uid="{E89CC86B-C928-4AB4-BDB9-81AAA49B6C63}"/>
    <hyperlink ref="L7" r:id="rId6" xr:uid="{ADB0593A-F6C0-4201-AF5A-AF7F8C6135AF}"/>
    <hyperlink ref="L9" r:id="rId7" xr:uid="{B46C8197-A475-4BB4-AC07-43601316FCE7}"/>
    <hyperlink ref="L10" r:id="rId8" xr:uid="{298FB4DB-B926-4F4D-B21A-5CDAD2E3ED17}"/>
    <hyperlink ref="L11" r:id="rId9" xr:uid="{6C8E566A-934C-4A83-80D3-C32F1D883313}"/>
    <hyperlink ref="L12" r:id="rId10" xr:uid="{1ECDAD8C-79C6-4749-ADE8-EAAA2911EEB9}"/>
    <hyperlink ref="L13" r:id="rId11" xr:uid="{9DF6BF23-995B-4D99-997E-4481D8F5AB9D}"/>
    <hyperlink ref="L14" r:id="rId12" xr:uid="{6359C9C3-1573-41B3-9341-ABA16A16CAD1}"/>
    <hyperlink ref="L15" r:id="rId13" xr:uid="{CADF99F9-FF53-4E0E-9DBA-11000455A348}"/>
    <hyperlink ref="L16" r:id="rId14" xr:uid="{BE3931E0-31AB-4783-93E1-E4FE718788D5}"/>
    <hyperlink ref="L17" r:id="rId15" xr:uid="{90612490-63F1-463E-AE4D-76C7EC325E2B}"/>
    <hyperlink ref="L18" r:id="rId16" xr:uid="{3549E74C-96C0-42C3-BB2F-CD65C016C56F}"/>
    <hyperlink ref="L19" r:id="rId17" xr:uid="{147E1376-6319-4245-9759-75B7A091FC24}"/>
    <hyperlink ref="L20" r:id="rId18" xr:uid="{F02C580B-DB62-4B25-A686-E02755A35986}"/>
    <hyperlink ref="L21" r:id="rId19" xr:uid="{AF00D33A-609F-4081-BEA1-71DAC820AD0D}"/>
    <hyperlink ref="L22" r:id="rId20" xr:uid="{DCE3EF7E-DFEF-4F9C-87F9-956BA8912482}"/>
    <hyperlink ref="L23" r:id="rId21" xr:uid="{484A511C-E049-4A44-AB53-0A73C5CF1470}"/>
    <hyperlink ref="L24" r:id="rId22" xr:uid="{12AAEE54-403C-43D6-88A9-59679AEEF299}"/>
    <hyperlink ref="L25" r:id="rId23" xr:uid="{D704C6F6-DA04-4004-896A-7EC6119623C3}"/>
    <hyperlink ref="L26" r:id="rId24" xr:uid="{E3855C1A-D91C-4D38-A9A6-00DF8AC47A7C}"/>
    <hyperlink ref="L27" r:id="rId25" xr:uid="{086E6483-C207-43E2-AFA5-82BD715121E9}"/>
    <hyperlink ref="L28" r:id="rId26" xr:uid="{8D7203F6-6BD9-4D66-BFA4-0F6B2195CE4C}"/>
    <hyperlink ref="L29" r:id="rId27" xr:uid="{95A88BC6-2010-44FD-86D4-FD9809194A68}"/>
    <hyperlink ref="L30" r:id="rId28" xr:uid="{49B066E4-BC8E-44FE-96DC-9C63C3682689}"/>
    <hyperlink ref="L31" r:id="rId29" xr:uid="{A161688F-5B54-4A5E-B841-0C71FE8D89B6}"/>
    <hyperlink ref="L32" r:id="rId30" xr:uid="{4761399A-8AA3-47AC-9942-1459DF173FA7}"/>
    <hyperlink ref="L33" r:id="rId31" xr:uid="{B49FFA7E-C8D5-4E14-8E57-D2EE2E2669A1}"/>
    <hyperlink ref="L34" r:id="rId32" xr:uid="{F225FBC6-B43E-472A-803E-ACCF4F6CB38B}"/>
    <hyperlink ref="L35" r:id="rId33" xr:uid="{C3D4A9FF-172B-4118-A404-414B970FB05E}"/>
    <hyperlink ref="L36" r:id="rId34" xr:uid="{87D07FFF-67E9-49EC-806D-4B159FB82646}"/>
    <hyperlink ref="L37" r:id="rId35" xr:uid="{3617C741-F7EA-4253-8DE6-89934EFC7E67}"/>
    <hyperlink ref="L38" r:id="rId36" xr:uid="{CB220034-3054-460D-B40D-9F9DAA9C34B6}"/>
    <hyperlink ref="L39" r:id="rId37" xr:uid="{593124D8-1C48-47D7-991E-1FD19A953816}"/>
    <hyperlink ref="L40" r:id="rId38" xr:uid="{C2108236-3D6F-4394-ACFA-741F788BDECE}"/>
    <hyperlink ref="L41" r:id="rId39" xr:uid="{9C562D9D-9F98-486C-97C0-B763EE1B95C1}"/>
    <hyperlink ref="L42" r:id="rId40" xr:uid="{701A5F41-596B-4872-8E6A-1AA4C0CB8C6F}"/>
    <hyperlink ref="L43" r:id="rId41" xr:uid="{4A3C9A6E-2945-4826-95BE-C1DEED3EE141}"/>
    <hyperlink ref="L45" r:id="rId42" xr:uid="{9A94DBDC-C5DA-45BD-B1C2-6305DD6BD053}"/>
    <hyperlink ref="L46" r:id="rId43" xr:uid="{F5DC806E-5474-4884-B8BB-6AA43677FB99}"/>
    <hyperlink ref="L47" r:id="rId44" xr:uid="{FD02D0D1-4E14-4BC5-BFD1-C12556C908DF}"/>
    <hyperlink ref="L48" r:id="rId45" xr:uid="{903BE136-504B-4EAB-B70C-728FD149D1A3}"/>
    <hyperlink ref="L49" r:id="rId46" xr:uid="{EB128F81-2FF8-4996-9AD2-3CDCCFAC27EC}"/>
    <hyperlink ref="L50" r:id="rId47" xr:uid="{2AA33844-A939-4BDA-8CEA-A67E321D512E}"/>
    <hyperlink ref="L51" r:id="rId48" xr:uid="{6F50C540-EBBB-4F22-9246-2930A6CF9ED1}"/>
    <hyperlink ref="L52" r:id="rId49" xr:uid="{10AF9F52-1B83-4F59-BAF8-0D6CBDBE9867}"/>
    <hyperlink ref="L54" r:id="rId50" xr:uid="{741F0875-4887-4C56-929B-19A506260C57}"/>
    <hyperlink ref="L55" r:id="rId51" xr:uid="{1A87F997-A823-4A27-A753-9876350E824B}"/>
    <hyperlink ref="L58" r:id="rId52" xr:uid="{410F9A0A-CCB5-4842-8339-27007AF86E4F}"/>
    <hyperlink ref="L61" r:id="rId53" xr:uid="{FE4224DB-7E61-4794-8C66-904B7D5A9961}"/>
    <hyperlink ref="L62" r:id="rId54" xr:uid="{16A8FBF1-8934-4F48-A4A0-F58362F71E3B}"/>
    <hyperlink ref="L63" r:id="rId55" xr:uid="{06AEDF9C-3D2F-4667-9FE2-2BEB6B8A704F}"/>
    <hyperlink ref="L64" r:id="rId56" xr:uid="{DB7F419E-572C-4BF0-AA36-F9267F028E0A}"/>
    <hyperlink ref="L68" r:id="rId57" xr:uid="{0FA0379F-BB84-45EA-8B33-A6BE6CF8F9BD}"/>
    <hyperlink ref="L70" r:id="rId58" xr:uid="{B824B1C1-513D-46CC-93F1-73455600FAA4}"/>
    <hyperlink ref="L76" r:id="rId59" xr:uid="{5E881C19-AF86-4674-AF79-7AAA13F43505}"/>
    <hyperlink ref="L85" r:id="rId60" xr:uid="{088848CB-7887-4D62-9477-85BE0D8BEC5C}"/>
    <hyperlink ref="L86" r:id="rId61" xr:uid="{55F0CC4A-59A0-46F1-A10A-ED066600C200}"/>
    <hyperlink ref="L95" r:id="rId62" xr:uid="{148646D3-3E60-4C8C-9B0B-87ACD1D513BF}"/>
    <hyperlink ref="K99" r:id="rId63" xr:uid="{6E374396-86C2-42C9-ADD1-DB0DA4602D47}"/>
    <hyperlink ref="L102" r:id="rId64" xr:uid="{AB3A42EE-616E-485B-85F6-FACC7E8D1753}"/>
    <hyperlink ref="L104" r:id="rId65" xr:uid="{BA2D439E-BAD7-42D0-A47C-03EF474A2C54}"/>
    <hyperlink ref="K105" r:id="rId66" xr:uid="{5E62B60F-BCCE-40DA-B4AC-16164E11449E}"/>
  </hyperlink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47"/>
  <sheetViews>
    <sheetView topLeftCell="A1334" zoomScaleNormal="100" workbookViewId="0">
      <selection activeCell="A1347" sqref="A1347:XFD1347"/>
    </sheetView>
  </sheetViews>
  <sheetFormatPr defaultColWidth="14.42578125" defaultRowHeight="15"/>
  <cols>
    <col min="1" max="1" width="26.140625" customWidth="1"/>
    <col min="2" max="2" width="39.85546875" customWidth="1"/>
    <col min="3" max="3" width="15.28515625" customWidth="1"/>
    <col min="4" max="4" width="15.28515625" style="194" customWidth="1"/>
    <col min="5" max="5" width="11.7109375" style="36" customWidth="1"/>
    <col min="6" max="6" width="20.42578125" style="44" customWidth="1"/>
    <col min="7" max="7" width="22.28515625" customWidth="1"/>
    <col min="8" max="8" width="14" customWidth="1"/>
    <col min="9" max="9" width="12.140625" customWidth="1"/>
    <col min="10" max="10" width="11.7109375" customWidth="1"/>
    <col min="11" max="11" width="32" customWidth="1"/>
    <col min="12" max="12" width="20.85546875" customWidth="1"/>
    <col min="13" max="13" width="25.28515625" customWidth="1"/>
    <col min="14" max="27" width="11.7109375" customWidth="1"/>
  </cols>
  <sheetData>
    <row r="1" spans="1:11">
      <c r="A1" s="205" t="s">
        <v>376</v>
      </c>
      <c r="B1" s="206" t="s">
        <v>377</v>
      </c>
      <c r="C1" s="39">
        <v>43345</v>
      </c>
      <c r="D1" s="40">
        <v>43347</v>
      </c>
      <c r="E1" s="41">
        <f>D1-C1</f>
        <v>2</v>
      </c>
      <c r="F1" s="153"/>
      <c r="G1" s="153"/>
      <c r="H1" s="153"/>
      <c r="I1" s="153"/>
    </row>
    <row r="2" spans="1:11">
      <c r="A2" s="42" t="s">
        <v>378</v>
      </c>
      <c r="B2" s="206" t="s">
        <v>377</v>
      </c>
      <c r="C2" s="39">
        <v>43346</v>
      </c>
      <c r="D2" s="40">
        <v>43349</v>
      </c>
      <c r="E2" s="41">
        <f>D2-C2</f>
        <v>3</v>
      </c>
      <c r="F2" s="153"/>
      <c r="G2" s="153"/>
      <c r="H2" s="153"/>
      <c r="I2" s="153"/>
    </row>
    <row r="3" spans="1:11">
      <c r="A3" s="42" t="s">
        <v>379</v>
      </c>
      <c r="B3" s="206" t="s">
        <v>380</v>
      </c>
      <c r="C3" s="39">
        <v>43345</v>
      </c>
      <c r="D3" s="40">
        <v>43350</v>
      </c>
      <c r="E3" s="41">
        <f>D3-C3</f>
        <v>5</v>
      </c>
      <c r="F3" s="153"/>
      <c r="G3" s="153"/>
      <c r="H3" s="153"/>
      <c r="I3" s="153"/>
    </row>
    <row r="4" spans="1:11">
      <c r="A4" s="42" t="s">
        <v>381</v>
      </c>
      <c r="B4" s="206" t="s">
        <v>377</v>
      </c>
      <c r="C4" s="39">
        <v>43352</v>
      </c>
      <c r="D4" s="40">
        <v>43353</v>
      </c>
      <c r="E4" s="41">
        <f>D4-C4</f>
        <v>1</v>
      </c>
      <c r="F4" s="153"/>
      <c r="G4" s="153"/>
      <c r="H4" s="153"/>
      <c r="I4" s="153"/>
    </row>
    <row r="5" spans="1:11">
      <c r="A5" s="205" t="s">
        <v>382</v>
      </c>
      <c r="B5" s="206" t="s">
        <v>383</v>
      </c>
      <c r="C5" s="39">
        <v>43349</v>
      </c>
      <c r="D5" s="40">
        <v>43353</v>
      </c>
      <c r="E5" s="41">
        <f>D5-C5</f>
        <v>4</v>
      </c>
      <c r="F5" s="153"/>
      <c r="G5" s="153"/>
      <c r="H5" s="153"/>
      <c r="I5" s="153"/>
    </row>
    <row r="6" spans="1:11">
      <c r="A6" s="205" t="s">
        <v>384</v>
      </c>
      <c r="B6" s="206" t="s">
        <v>385</v>
      </c>
      <c r="C6" s="39">
        <v>43346</v>
      </c>
      <c r="D6" s="40">
        <v>43353</v>
      </c>
      <c r="E6" s="41">
        <f>D6-C6</f>
        <v>7</v>
      </c>
      <c r="F6" s="153"/>
      <c r="G6" s="153"/>
      <c r="H6" s="153"/>
      <c r="I6" s="153"/>
    </row>
    <row r="7" spans="1:11">
      <c r="A7" s="42" t="s">
        <v>386</v>
      </c>
      <c r="B7" s="206" t="s">
        <v>387</v>
      </c>
      <c r="C7" s="39">
        <v>43345</v>
      </c>
      <c r="D7" s="40">
        <v>43353</v>
      </c>
      <c r="E7" s="41">
        <f>D7-C7</f>
        <v>8</v>
      </c>
      <c r="F7" s="153"/>
      <c r="G7" s="153"/>
      <c r="H7" s="153"/>
      <c r="I7" s="153"/>
    </row>
    <row r="8" spans="1:11">
      <c r="A8" s="42" t="s">
        <v>388</v>
      </c>
      <c r="B8" s="206" t="s">
        <v>389</v>
      </c>
      <c r="C8" s="39">
        <v>43349</v>
      </c>
      <c r="D8" s="40">
        <v>43354</v>
      </c>
      <c r="E8" s="41">
        <f>D8-C8</f>
        <v>5</v>
      </c>
      <c r="F8" s="153"/>
      <c r="G8" s="153"/>
      <c r="H8" s="153"/>
      <c r="I8" s="153"/>
    </row>
    <row r="9" spans="1:11">
      <c r="A9" s="205" t="s">
        <v>390</v>
      </c>
      <c r="B9" s="206" t="s">
        <v>377</v>
      </c>
      <c r="C9" s="39">
        <v>43352</v>
      </c>
      <c r="D9" s="40">
        <v>43356</v>
      </c>
      <c r="E9" s="41">
        <f>D9-C9</f>
        <v>4</v>
      </c>
      <c r="F9" s="153"/>
      <c r="G9" s="153"/>
      <c r="H9" s="153"/>
      <c r="I9" s="153"/>
    </row>
    <row r="10" spans="1:11">
      <c r="A10" s="205" t="s">
        <v>391</v>
      </c>
      <c r="B10" s="206" t="s">
        <v>392</v>
      </c>
      <c r="C10" s="39">
        <v>43345</v>
      </c>
      <c r="D10" s="40">
        <v>43356</v>
      </c>
      <c r="E10" s="41">
        <f>D10-C10</f>
        <v>11</v>
      </c>
      <c r="F10" s="153"/>
      <c r="G10" s="153"/>
      <c r="H10" s="153"/>
      <c r="I10" s="153"/>
    </row>
    <row r="11" spans="1:11">
      <c r="A11" s="42" t="s">
        <v>393</v>
      </c>
      <c r="B11" s="206" t="s">
        <v>394</v>
      </c>
      <c r="C11" s="39">
        <v>43345</v>
      </c>
      <c r="D11" s="40">
        <v>43358</v>
      </c>
      <c r="E11" s="41">
        <f>D11-C11</f>
        <v>13</v>
      </c>
      <c r="F11" s="153"/>
      <c r="G11" s="45" t="s">
        <v>312</v>
      </c>
      <c r="H11" s="45"/>
      <c r="I11" s="153"/>
    </row>
    <row r="12" spans="1:11">
      <c r="A12" s="42" t="s">
        <v>395</v>
      </c>
      <c r="B12" s="206" t="s">
        <v>396</v>
      </c>
      <c r="C12" s="39">
        <v>43354</v>
      </c>
      <c r="D12" s="40">
        <v>43360</v>
      </c>
      <c r="E12" s="41">
        <f>D12-C12</f>
        <v>6</v>
      </c>
      <c r="F12" s="43"/>
      <c r="G12" s="45"/>
      <c r="H12" s="45"/>
      <c r="I12" s="45"/>
      <c r="J12" s="42"/>
      <c r="K12" s="42"/>
    </row>
    <row r="13" spans="1:11">
      <c r="A13" s="205" t="s">
        <v>397</v>
      </c>
      <c r="B13" s="206" t="s">
        <v>398</v>
      </c>
      <c r="C13" s="39">
        <v>43359</v>
      </c>
      <c r="D13" s="40">
        <v>43364</v>
      </c>
      <c r="E13" s="41">
        <f>D13-C13</f>
        <v>5</v>
      </c>
      <c r="F13" s="153"/>
      <c r="G13" s="153"/>
      <c r="H13" s="153"/>
      <c r="I13" s="153"/>
    </row>
    <row r="14" spans="1:11">
      <c r="A14" s="205" t="s">
        <v>399</v>
      </c>
      <c r="B14" s="206" t="s">
        <v>400</v>
      </c>
      <c r="C14" s="39">
        <v>43359</v>
      </c>
      <c r="D14" s="40">
        <v>43367</v>
      </c>
      <c r="E14" s="41">
        <f>D14-C14</f>
        <v>8</v>
      </c>
      <c r="F14" s="153"/>
      <c r="G14" s="153"/>
      <c r="H14" s="153"/>
      <c r="I14" s="153"/>
    </row>
    <row r="15" spans="1:11">
      <c r="A15" s="205" t="s">
        <v>401</v>
      </c>
      <c r="B15" s="206" t="s">
        <v>402</v>
      </c>
      <c r="C15" s="39">
        <v>43358</v>
      </c>
      <c r="D15" s="40">
        <v>43367</v>
      </c>
      <c r="E15" s="41">
        <f>D15-C15</f>
        <v>9</v>
      </c>
      <c r="F15" s="153"/>
      <c r="G15" s="153"/>
      <c r="H15" s="153"/>
      <c r="I15" s="153"/>
    </row>
    <row r="16" spans="1:11">
      <c r="A16" s="42" t="s">
        <v>403</v>
      </c>
      <c r="B16" s="206" t="s">
        <v>404</v>
      </c>
      <c r="C16" s="39">
        <v>43349</v>
      </c>
      <c r="D16" s="40">
        <v>43368</v>
      </c>
      <c r="E16" s="41">
        <f>D16-C16</f>
        <v>19</v>
      </c>
      <c r="F16" s="153"/>
      <c r="G16" s="153"/>
      <c r="H16" s="153"/>
      <c r="I16" s="153"/>
    </row>
    <row r="17" spans="1:11">
      <c r="A17" s="205" t="s">
        <v>405</v>
      </c>
      <c r="B17" s="206" t="s">
        <v>406</v>
      </c>
      <c r="C17" s="39">
        <v>43365</v>
      </c>
      <c r="D17" s="40">
        <v>43369</v>
      </c>
      <c r="E17" s="41">
        <f>D17-C17</f>
        <v>4</v>
      </c>
      <c r="F17" s="153"/>
      <c r="G17" s="153"/>
      <c r="H17" s="153"/>
      <c r="I17" s="153"/>
    </row>
    <row r="18" spans="1:11">
      <c r="A18" s="42" t="s">
        <v>407</v>
      </c>
      <c r="B18" s="206" t="s">
        <v>408</v>
      </c>
      <c r="C18" s="39">
        <v>43375</v>
      </c>
      <c r="D18" s="40">
        <v>43379</v>
      </c>
      <c r="E18" s="41">
        <f>D18-C18</f>
        <v>4</v>
      </c>
      <c r="F18" s="153"/>
      <c r="G18" s="153"/>
      <c r="H18" s="153"/>
      <c r="I18" s="153"/>
    </row>
    <row r="19" spans="1:11">
      <c r="A19" s="42" t="s">
        <v>409</v>
      </c>
      <c r="B19" s="206" t="s">
        <v>410</v>
      </c>
      <c r="C19" s="39">
        <v>43369</v>
      </c>
      <c r="D19" s="40">
        <v>43379</v>
      </c>
      <c r="E19" s="41">
        <f>D19-C19</f>
        <v>10</v>
      </c>
      <c r="F19" s="153"/>
      <c r="G19" s="153"/>
      <c r="H19" s="153"/>
      <c r="I19" s="153"/>
    </row>
    <row r="20" spans="1:11">
      <c r="A20" s="205" t="s">
        <v>411</v>
      </c>
      <c r="B20" s="206" t="s">
        <v>377</v>
      </c>
      <c r="C20" s="39">
        <v>43379</v>
      </c>
      <c r="D20" s="40">
        <v>43381</v>
      </c>
      <c r="E20" s="41">
        <f>D20-C20</f>
        <v>2</v>
      </c>
      <c r="F20" s="153"/>
      <c r="G20" s="153"/>
      <c r="H20" s="153"/>
      <c r="I20" s="153"/>
    </row>
    <row r="21" spans="1:11" ht="15.75" customHeight="1">
      <c r="A21" s="205" t="s">
        <v>412</v>
      </c>
      <c r="B21" s="206" t="s">
        <v>413</v>
      </c>
      <c r="C21" s="39">
        <v>43352</v>
      </c>
      <c r="D21" s="40">
        <v>43382</v>
      </c>
      <c r="E21" s="41">
        <f>D21-C21</f>
        <v>30</v>
      </c>
      <c r="F21" s="153"/>
      <c r="G21" s="153"/>
      <c r="H21" s="153"/>
      <c r="I21" s="153"/>
    </row>
    <row r="22" spans="1:11" ht="15.75" customHeight="1">
      <c r="A22" s="42" t="s">
        <v>414</v>
      </c>
      <c r="B22" s="206" t="s">
        <v>415</v>
      </c>
      <c r="C22" s="39">
        <v>43379</v>
      </c>
      <c r="D22" s="40">
        <v>43383</v>
      </c>
      <c r="E22" s="41">
        <f>D22-C22</f>
        <v>4</v>
      </c>
      <c r="F22" s="153"/>
      <c r="G22" s="153"/>
      <c r="H22" s="153"/>
      <c r="I22" s="153"/>
    </row>
    <row r="23" spans="1:11" ht="15.75" customHeight="1">
      <c r="A23" s="205" t="s">
        <v>416</v>
      </c>
      <c r="B23" s="206" t="s">
        <v>417</v>
      </c>
      <c r="C23" s="39">
        <v>43379</v>
      </c>
      <c r="D23" s="40">
        <v>43384</v>
      </c>
      <c r="E23" s="41">
        <f>D23-C23</f>
        <v>5</v>
      </c>
      <c r="F23" s="153"/>
      <c r="G23" s="153"/>
      <c r="H23" s="153"/>
      <c r="I23" s="153"/>
    </row>
    <row r="24" spans="1:11" ht="15.75" customHeight="1">
      <c r="A24" s="42" t="s">
        <v>418</v>
      </c>
      <c r="B24" s="206" t="s">
        <v>419</v>
      </c>
      <c r="C24" s="39">
        <v>43368</v>
      </c>
      <c r="D24" s="39">
        <v>43386</v>
      </c>
      <c r="E24" s="41">
        <f>D24-C24</f>
        <v>18</v>
      </c>
      <c r="F24" s="153"/>
      <c r="G24" s="153"/>
      <c r="H24" s="153"/>
      <c r="I24" s="153"/>
    </row>
    <row r="25" spans="1:11" ht="15.75" customHeight="1">
      <c r="A25" s="205" t="s">
        <v>420</v>
      </c>
      <c r="B25" s="206" t="s">
        <v>421</v>
      </c>
      <c r="C25" s="39">
        <v>43365</v>
      </c>
      <c r="D25" s="39">
        <v>43386</v>
      </c>
      <c r="E25" s="41">
        <f>D25-C25</f>
        <v>21</v>
      </c>
      <c r="F25" s="153"/>
      <c r="G25" s="153"/>
      <c r="H25" s="153"/>
      <c r="I25" s="153"/>
    </row>
    <row r="26" spans="1:11" ht="15.75" customHeight="1">
      <c r="A26" s="205" t="s">
        <v>422</v>
      </c>
      <c r="B26" s="206" t="s">
        <v>423</v>
      </c>
      <c r="C26" s="39">
        <v>43369</v>
      </c>
      <c r="D26" s="39">
        <v>43388</v>
      </c>
      <c r="E26" s="41">
        <f>D26-C26</f>
        <v>19</v>
      </c>
      <c r="F26" s="153"/>
      <c r="G26" s="153"/>
      <c r="H26" s="153"/>
      <c r="I26" s="153"/>
    </row>
    <row r="27" spans="1:11" ht="15.75" customHeight="1">
      <c r="A27" s="205" t="s">
        <v>424</v>
      </c>
      <c r="B27" s="206" t="s">
        <v>425</v>
      </c>
      <c r="C27" s="39">
        <v>43352</v>
      </c>
      <c r="D27" s="39">
        <v>43393</v>
      </c>
      <c r="E27" s="41">
        <f>D27-C27</f>
        <v>41</v>
      </c>
      <c r="F27" s="43"/>
      <c r="G27" s="45" t="s">
        <v>1</v>
      </c>
      <c r="H27" s="45"/>
      <c r="I27" s="45"/>
      <c r="J27" s="42"/>
      <c r="K27" s="42"/>
    </row>
    <row r="28" spans="1:11" ht="15.75" customHeight="1">
      <c r="A28" s="205" t="s">
        <v>426</v>
      </c>
      <c r="B28" s="206" t="s">
        <v>427</v>
      </c>
      <c r="C28" s="39">
        <v>43362</v>
      </c>
      <c r="D28" s="39">
        <v>43396</v>
      </c>
      <c r="E28" s="41">
        <f>D28-C28</f>
        <v>34</v>
      </c>
      <c r="F28" s="153"/>
      <c r="G28" s="153"/>
      <c r="H28" s="153"/>
      <c r="I28" s="153"/>
    </row>
    <row r="29" spans="1:11" ht="15.75" customHeight="1">
      <c r="A29" s="205" t="s">
        <v>428</v>
      </c>
      <c r="B29" s="206" t="s">
        <v>429</v>
      </c>
      <c r="C29" s="39">
        <v>43352</v>
      </c>
      <c r="D29" s="39">
        <v>43396</v>
      </c>
      <c r="E29" s="41">
        <f>D29-C29</f>
        <v>44</v>
      </c>
      <c r="F29" s="153"/>
      <c r="G29" s="153"/>
      <c r="H29" s="153"/>
      <c r="I29" s="153"/>
    </row>
    <row r="30" spans="1:11" ht="15.75" customHeight="1">
      <c r="A30" s="42" t="s">
        <v>430</v>
      </c>
      <c r="B30" s="206" t="s">
        <v>431</v>
      </c>
      <c r="C30" s="39">
        <v>43355</v>
      </c>
      <c r="D30" s="39">
        <v>43397</v>
      </c>
      <c r="E30" s="41">
        <f>D30-C30</f>
        <v>42</v>
      </c>
      <c r="F30" s="153"/>
      <c r="G30" s="153"/>
      <c r="H30" s="153"/>
      <c r="I30" s="153"/>
    </row>
    <row r="31" spans="1:11" ht="15.75" customHeight="1">
      <c r="A31" s="42" t="s">
        <v>432</v>
      </c>
      <c r="B31" s="206" t="s">
        <v>433</v>
      </c>
      <c r="C31" s="39">
        <v>43345</v>
      </c>
      <c r="D31" s="39">
        <v>43397</v>
      </c>
      <c r="E31" s="41">
        <f>D31-C31</f>
        <v>52</v>
      </c>
      <c r="F31" s="153"/>
      <c r="G31" s="45" t="s">
        <v>1</v>
      </c>
      <c r="H31" s="45"/>
      <c r="I31" s="153"/>
    </row>
    <row r="32" spans="1:11" ht="15.75" customHeight="1">
      <c r="A32" s="205" t="s">
        <v>434</v>
      </c>
      <c r="B32" s="206" t="s">
        <v>435</v>
      </c>
      <c r="C32" s="39">
        <v>43358</v>
      </c>
      <c r="D32" s="39">
        <v>43400</v>
      </c>
      <c r="E32" s="41">
        <f>D32-C32</f>
        <v>42</v>
      </c>
      <c r="F32" s="43"/>
      <c r="G32" s="45" t="s">
        <v>436</v>
      </c>
      <c r="H32" s="45"/>
      <c r="I32" s="45"/>
      <c r="J32" s="42"/>
      <c r="K32" s="42"/>
    </row>
    <row r="33" spans="1:11" ht="15.75" customHeight="1">
      <c r="A33" s="42" t="s">
        <v>437</v>
      </c>
      <c r="B33" s="206" t="s">
        <v>438</v>
      </c>
      <c r="C33" s="39">
        <v>43362</v>
      </c>
      <c r="D33" s="39">
        <v>43407</v>
      </c>
      <c r="E33" s="41">
        <f>D33-C33</f>
        <v>45</v>
      </c>
      <c r="F33" s="153"/>
      <c r="G33" s="153"/>
      <c r="H33" s="153"/>
      <c r="I33" s="153"/>
    </row>
    <row r="34" spans="1:11" ht="15.75" customHeight="1">
      <c r="A34" s="42" t="s">
        <v>439</v>
      </c>
      <c r="B34" s="206" t="s">
        <v>440</v>
      </c>
      <c r="C34" s="39">
        <v>43362</v>
      </c>
      <c r="D34" s="39">
        <v>43412</v>
      </c>
      <c r="E34" s="41">
        <f>D34-C34</f>
        <v>50</v>
      </c>
      <c r="F34" s="153"/>
      <c r="G34" s="153"/>
      <c r="H34" s="153"/>
      <c r="I34" s="153"/>
    </row>
    <row r="35" spans="1:11" ht="15.75" customHeight="1">
      <c r="A35" s="42" t="s">
        <v>441</v>
      </c>
      <c r="B35" s="206" t="s">
        <v>442</v>
      </c>
      <c r="C35" s="39">
        <v>43402</v>
      </c>
      <c r="D35" s="39">
        <v>43415</v>
      </c>
      <c r="E35" s="41">
        <f>D35-C35</f>
        <v>13</v>
      </c>
      <c r="F35" s="43"/>
      <c r="G35" s="153"/>
      <c r="H35" s="153"/>
      <c r="I35" s="153"/>
    </row>
    <row r="36" spans="1:11" ht="15.75" customHeight="1">
      <c r="A36" s="205" t="s">
        <v>443</v>
      </c>
      <c r="B36" s="206" t="s">
        <v>444</v>
      </c>
      <c r="C36" s="39">
        <v>43400</v>
      </c>
      <c r="D36" s="39">
        <v>43415</v>
      </c>
      <c r="E36" s="41">
        <f>D36-C36</f>
        <v>15</v>
      </c>
      <c r="F36" s="43"/>
      <c r="G36" s="153"/>
      <c r="H36" s="153"/>
      <c r="I36" s="153"/>
    </row>
    <row r="37" spans="1:11" ht="15.75" customHeight="1">
      <c r="A37" s="205" t="s">
        <v>401</v>
      </c>
      <c r="B37" s="206" t="s">
        <v>402</v>
      </c>
      <c r="C37" s="39">
        <v>43408</v>
      </c>
      <c r="D37" s="39">
        <v>43421</v>
      </c>
      <c r="E37" s="41">
        <f>D37-C37</f>
        <v>13</v>
      </c>
      <c r="F37" s="43" t="s">
        <v>445</v>
      </c>
      <c r="G37" s="42"/>
      <c r="H37" s="42"/>
      <c r="I37" s="153"/>
    </row>
    <row r="38" spans="1:11" ht="15.75" customHeight="1">
      <c r="A38" s="205" t="s">
        <v>446</v>
      </c>
      <c r="B38" s="206" t="s">
        <v>447</v>
      </c>
      <c r="C38" s="39">
        <v>43352</v>
      </c>
      <c r="D38" s="39">
        <v>43421</v>
      </c>
      <c r="E38" s="41">
        <f>D38-C38</f>
        <v>69</v>
      </c>
      <c r="F38" s="45"/>
      <c r="G38" s="42"/>
      <c r="H38" s="42"/>
      <c r="I38" s="153"/>
    </row>
    <row r="39" spans="1:11" ht="15.75" customHeight="1">
      <c r="A39" s="42" t="s">
        <v>448</v>
      </c>
      <c r="B39" s="206" t="s">
        <v>449</v>
      </c>
      <c r="C39" s="39">
        <v>43345</v>
      </c>
      <c r="D39" s="39">
        <v>43421</v>
      </c>
      <c r="E39" s="41">
        <f>D39-C39</f>
        <v>76</v>
      </c>
      <c r="F39" s="153"/>
      <c r="G39" s="153"/>
      <c r="H39" s="153"/>
      <c r="I39" s="153"/>
    </row>
    <row r="40" spans="1:11" ht="15.75" customHeight="1">
      <c r="A40" s="42" t="s">
        <v>450</v>
      </c>
      <c r="B40" s="206" t="s">
        <v>451</v>
      </c>
      <c r="C40" s="39">
        <v>43386</v>
      </c>
      <c r="D40" s="39">
        <v>43422</v>
      </c>
      <c r="E40" s="41">
        <f>D40-C40</f>
        <v>36</v>
      </c>
      <c r="F40" s="43" t="s">
        <v>452</v>
      </c>
      <c r="G40" s="42"/>
      <c r="H40" s="42"/>
      <c r="I40" s="153"/>
    </row>
    <row r="41" spans="1:11" ht="15.75" customHeight="1">
      <c r="A41" s="205" t="s">
        <v>453</v>
      </c>
      <c r="B41" s="206" t="s">
        <v>454</v>
      </c>
      <c r="C41" s="39">
        <v>43345</v>
      </c>
      <c r="D41" s="39">
        <v>43422</v>
      </c>
      <c r="E41" s="41">
        <f>D41-C41</f>
        <v>77</v>
      </c>
      <c r="F41" s="153"/>
      <c r="G41" s="153"/>
      <c r="H41" s="153"/>
      <c r="I41" s="153"/>
    </row>
    <row r="42" spans="1:11" ht="15.75" customHeight="1">
      <c r="A42" s="205" t="s">
        <v>426</v>
      </c>
      <c r="B42" s="206" t="s">
        <v>427</v>
      </c>
      <c r="C42" s="39">
        <v>43404</v>
      </c>
      <c r="D42" s="39">
        <v>43423</v>
      </c>
      <c r="E42" s="41">
        <f>D42-C42</f>
        <v>19</v>
      </c>
      <c r="F42" s="43" t="s">
        <v>0</v>
      </c>
      <c r="G42" s="43" t="s">
        <v>43</v>
      </c>
      <c r="H42" s="43"/>
      <c r="I42" s="207" t="s">
        <v>455</v>
      </c>
    </row>
    <row r="43" spans="1:11" ht="15.75" customHeight="1">
      <c r="A43" s="205" t="s">
        <v>456</v>
      </c>
      <c r="B43" s="206" t="s">
        <v>457</v>
      </c>
      <c r="C43" s="39">
        <v>43345</v>
      </c>
      <c r="D43" s="39">
        <v>43423</v>
      </c>
      <c r="E43" s="41">
        <f>D43-C43</f>
        <v>78</v>
      </c>
      <c r="F43" s="45"/>
      <c r="G43" s="45"/>
      <c r="H43" s="45"/>
      <c r="I43" s="45"/>
      <c r="J43" s="42"/>
      <c r="K43" s="42"/>
    </row>
    <row r="44" spans="1:11" ht="15.75" customHeight="1">
      <c r="A44" s="205" t="s">
        <v>458</v>
      </c>
      <c r="B44" s="206" t="s">
        <v>459</v>
      </c>
      <c r="C44" s="39">
        <v>43380</v>
      </c>
      <c r="D44" s="39">
        <v>43427</v>
      </c>
      <c r="E44" s="41">
        <f>D44-C44</f>
        <v>47</v>
      </c>
      <c r="F44" s="43" t="s">
        <v>0</v>
      </c>
      <c r="G44" s="45" t="s">
        <v>1</v>
      </c>
      <c r="H44" s="45"/>
      <c r="I44" s="153"/>
    </row>
    <row r="45" spans="1:11" ht="15.75" customHeight="1">
      <c r="A45" s="42" t="s">
        <v>460</v>
      </c>
      <c r="B45" s="206" t="s">
        <v>461</v>
      </c>
      <c r="C45" s="39">
        <v>43345</v>
      </c>
      <c r="D45" s="39">
        <v>43432</v>
      </c>
      <c r="E45" s="41">
        <f>D45-C45</f>
        <v>87</v>
      </c>
      <c r="F45" s="45"/>
      <c r="G45" s="42"/>
      <c r="H45" s="42"/>
      <c r="I45" s="153"/>
    </row>
    <row r="46" spans="1:11" ht="15.75" customHeight="1">
      <c r="A46" s="205" t="s">
        <v>462</v>
      </c>
      <c r="B46" s="206" t="s">
        <v>463</v>
      </c>
      <c r="C46" s="39">
        <v>43398</v>
      </c>
      <c r="D46" s="39">
        <v>43449</v>
      </c>
      <c r="E46" s="41">
        <f>D46-C46</f>
        <v>51</v>
      </c>
      <c r="F46" s="43" t="s">
        <v>464</v>
      </c>
      <c r="G46" s="42"/>
      <c r="H46" s="42"/>
      <c r="I46" s="45"/>
      <c r="J46" s="42"/>
      <c r="K46" s="42"/>
    </row>
    <row r="47" spans="1:11" ht="15.75" customHeight="1">
      <c r="A47" s="42" t="s">
        <v>465</v>
      </c>
      <c r="B47" s="206" t="s">
        <v>465</v>
      </c>
      <c r="C47" s="39">
        <v>43443</v>
      </c>
      <c r="D47" s="39">
        <v>43450</v>
      </c>
      <c r="E47" s="41">
        <f>D47-C47</f>
        <v>7</v>
      </c>
      <c r="F47" s="45" t="s">
        <v>466</v>
      </c>
      <c r="G47" s="45" t="s">
        <v>280</v>
      </c>
      <c r="H47" s="45"/>
      <c r="I47" s="153"/>
    </row>
    <row r="48" spans="1:11" ht="15.75" customHeight="1">
      <c r="A48" s="42" t="s">
        <v>467</v>
      </c>
      <c r="B48" s="206" t="s">
        <v>468</v>
      </c>
      <c r="C48" s="39">
        <v>43364</v>
      </c>
      <c r="D48" s="39">
        <v>43461</v>
      </c>
      <c r="E48" s="41">
        <f>D48-C48</f>
        <v>97</v>
      </c>
      <c r="F48" s="43" t="s">
        <v>0</v>
      </c>
      <c r="G48" s="45" t="s">
        <v>33</v>
      </c>
      <c r="H48" s="45"/>
      <c r="I48" s="153"/>
    </row>
    <row r="49" spans="1:11" ht="15.75" customHeight="1">
      <c r="A49" s="205" t="s">
        <v>469</v>
      </c>
      <c r="B49" s="206" t="s">
        <v>470</v>
      </c>
      <c r="C49" s="39">
        <v>43345</v>
      </c>
      <c r="D49" s="39">
        <v>43461</v>
      </c>
      <c r="E49" s="41">
        <f>D49-C49</f>
        <v>116</v>
      </c>
      <c r="F49" s="45"/>
      <c r="G49" s="43" t="s">
        <v>471</v>
      </c>
      <c r="H49" s="43"/>
      <c r="I49" s="45"/>
      <c r="J49" s="42"/>
      <c r="K49" s="42"/>
    </row>
    <row r="50" spans="1:11" ht="15.75" customHeight="1">
      <c r="A50" s="42" t="s">
        <v>472</v>
      </c>
      <c r="B50" s="206" t="s">
        <v>473</v>
      </c>
      <c r="C50" s="39">
        <v>43426</v>
      </c>
      <c r="D50" s="39">
        <v>43468</v>
      </c>
      <c r="E50" s="41">
        <f>D50-C50</f>
        <v>42</v>
      </c>
      <c r="F50" s="43" t="s">
        <v>474</v>
      </c>
      <c r="G50" s="45"/>
      <c r="H50" s="45"/>
      <c r="I50" s="153"/>
    </row>
    <row r="51" spans="1:11" ht="15.75" customHeight="1">
      <c r="A51" s="42" t="s">
        <v>475</v>
      </c>
      <c r="B51" s="206" t="s">
        <v>476</v>
      </c>
      <c r="C51" s="39">
        <v>43415</v>
      </c>
      <c r="D51" s="39">
        <v>43469</v>
      </c>
      <c r="E51" s="47">
        <f>D51-C51</f>
        <v>54</v>
      </c>
      <c r="F51" s="208" t="s">
        <v>31</v>
      </c>
      <c r="G51" s="45"/>
      <c r="H51" s="45"/>
      <c r="I51" s="153"/>
    </row>
    <row r="52" spans="1:11" ht="15.75" customHeight="1">
      <c r="A52" s="42" t="s">
        <v>386</v>
      </c>
      <c r="B52" s="209" t="s">
        <v>387</v>
      </c>
      <c r="C52" s="39">
        <v>43452</v>
      </c>
      <c r="D52" s="39">
        <v>43472</v>
      </c>
      <c r="E52" s="47">
        <f>D52-C52</f>
        <v>20</v>
      </c>
      <c r="F52" s="43" t="s">
        <v>0</v>
      </c>
      <c r="G52" s="45" t="s">
        <v>43</v>
      </c>
      <c r="H52" s="42"/>
      <c r="I52" s="153"/>
    </row>
    <row r="53" spans="1:11" ht="15.75" customHeight="1">
      <c r="A53" s="42" t="s">
        <v>477</v>
      </c>
      <c r="B53" s="206" t="s">
        <v>478</v>
      </c>
      <c r="C53" s="39">
        <v>43352</v>
      </c>
      <c r="D53" s="39">
        <v>43472</v>
      </c>
      <c r="E53" s="47">
        <f>D53-C53</f>
        <v>120</v>
      </c>
      <c r="F53" s="45"/>
      <c r="G53" s="43" t="s">
        <v>1</v>
      </c>
      <c r="H53" s="43"/>
      <c r="I53" s="49"/>
      <c r="J53" s="50"/>
      <c r="K53" s="50"/>
    </row>
    <row r="54" spans="1:11" ht="15.75" customHeight="1">
      <c r="A54" s="42" t="s">
        <v>479</v>
      </c>
      <c r="B54" s="206" t="s">
        <v>480</v>
      </c>
      <c r="C54" s="39">
        <v>43464</v>
      </c>
      <c r="D54" s="39">
        <v>43476</v>
      </c>
      <c r="E54" s="47">
        <f>D54-C54</f>
        <v>12</v>
      </c>
      <c r="F54" s="45" t="s">
        <v>481</v>
      </c>
      <c r="G54" s="42"/>
      <c r="H54" s="42"/>
      <c r="I54" s="45"/>
      <c r="J54" s="42"/>
      <c r="K54" s="42"/>
    </row>
    <row r="55" spans="1:11" ht="15.75" customHeight="1">
      <c r="A55" s="52" t="s">
        <v>481</v>
      </c>
      <c r="B55" s="206" t="s">
        <v>482</v>
      </c>
      <c r="C55" s="39">
        <v>43441</v>
      </c>
      <c r="D55" s="39">
        <v>43485</v>
      </c>
      <c r="E55" s="47">
        <f>D55-C55</f>
        <v>44</v>
      </c>
      <c r="F55" s="43" t="s">
        <v>14</v>
      </c>
      <c r="G55" s="153"/>
      <c r="H55" s="153"/>
      <c r="I55" s="153"/>
      <c r="K55" s="53" t="s">
        <v>483</v>
      </c>
    </row>
    <row r="56" spans="1:11" ht="15.75" customHeight="1">
      <c r="A56" s="42" t="s">
        <v>484</v>
      </c>
      <c r="B56" s="206" t="s">
        <v>485</v>
      </c>
      <c r="C56" s="39">
        <v>43431</v>
      </c>
      <c r="D56" s="39">
        <v>43491</v>
      </c>
      <c r="E56" s="47">
        <f>D56-C56</f>
        <v>60</v>
      </c>
      <c r="F56" s="43" t="s">
        <v>474</v>
      </c>
      <c r="G56" s="45"/>
      <c r="H56" s="45"/>
      <c r="I56" s="45"/>
      <c r="J56" s="42"/>
      <c r="K56" s="42"/>
    </row>
    <row r="57" spans="1:11" ht="15.75" customHeight="1">
      <c r="A57" s="42" t="s">
        <v>445</v>
      </c>
      <c r="B57" s="206" t="s">
        <v>486</v>
      </c>
      <c r="C57" s="39">
        <v>43352</v>
      </c>
      <c r="D57" s="39">
        <v>43491</v>
      </c>
      <c r="E57" s="47">
        <f>D57-C57</f>
        <v>139</v>
      </c>
      <c r="F57" s="43" t="s">
        <v>0</v>
      </c>
      <c r="G57" s="45" t="s">
        <v>487</v>
      </c>
      <c r="H57" s="45"/>
      <c r="I57" s="153"/>
    </row>
    <row r="58" spans="1:11" ht="15.75" customHeight="1">
      <c r="A58" s="42" t="s">
        <v>488</v>
      </c>
      <c r="B58" s="206" t="s">
        <v>489</v>
      </c>
      <c r="C58" s="39">
        <v>43469</v>
      </c>
      <c r="D58" s="39">
        <v>43493</v>
      </c>
      <c r="E58" s="47">
        <f>D58-C58</f>
        <v>24</v>
      </c>
      <c r="F58" s="207" t="s">
        <v>490</v>
      </c>
      <c r="G58" s="45" t="s">
        <v>33</v>
      </c>
      <c r="H58" s="45"/>
      <c r="I58" s="45"/>
      <c r="J58" s="42"/>
      <c r="K58" s="42"/>
    </row>
    <row r="59" spans="1:11" ht="15.75" customHeight="1">
      <c r="A59" s="205" t="s">
        <v>469</v>
      </c>
      <c r="B59" s="206" t="s">
        <v>470</v>
      </c>
      <c r="C59" s="39">
        <v>43467</v>
      </c>
      <c r="D59" s="39">
        <v>43495</v>
      </c>
      <c r="E59" s="47">
        <f>D59-C59</f>
        <v>28</v>
      </c>
      <c r="F59" s="43" t="s">
        <v>0</v>
      </c>
      <c r="G59" s="45" t="s">
        <v>471</v>
      </c>
      <c r="H59" s="45"/>
      <c r="I59" s="45"/>
      <c r="J59" s="42"/>
      <c r="K59" s="42"/>
    </row>
    <row r="60" spans="1:11" ht="15.75" customHeight="1">
      <c r="A60" s="42" t="s">
        <v>491</v>
      </c>
      <c r="B60" s="206" t="s">
        <v>492</v>
      </c>
      <c r="C60" s="39">
        <v>43493</v>
      </c>
      <c r="D60" s="39">
        <v>43497</v>
      </c>
      <c r="E60" s="47">
        <f>D60-C60</f>
        <v>4</v>
      </c>
      <c r="F60" s="45" t="s">
        <v>493</v>
      </c>
      <c r="G60" s="45"/>
      <c r="H60" s="45"/>
      <c r="I60" s="45"/>
      <c r="J60" s="42"/>
      <c r="K60" s="42"/>
    </row>
    <row r="61" spans="1:11" ht="15.75" customHeight="1">
      <c r="A61" s="205" t="s">
        <v>494</v>
      </c>
      <c r="B61" s="206" t="s">
        <v>495</v>
      </c>
      <c r="C61" s="39">
        <v>43497</v>
      </c>
      <c r="D61" s="39">
        <v>43498</v>
      </c>
      <c r="E61" s="47">
        <f>D61-C61</f>
        <v>1</v>
      </c>
      <c r="F61" s="45" t="s">
        <v>493</v>
      </c>
      <c r="G61" s="45"/>
      <c r="H61" s="45"/>
      <c r="I61" s="45"/>
      <c r="J61" s="42"/>
      <c r="K61" s="42"/>
    </row>
    <row r="62" spans="1:11" ht="15.75" customHeight="1">
      <c r="A62" s="52" t="s">
        <v>496</v>
      </c>
      <c r="B62" s="209" t="s">
        <v>497</v>
      </c>
      <c r="C62" s="39">
        <v>43451</v>
      </c>
      <c r="D62" s="39">
        <v>43499</v>
      </c>
      <c r="E62" s="47">
        <f>D62-C62</f>
        <v>48</v>
      </c>
      <c r="F62" s="45" t="s">
        <v>474</v>
      </c>
      <c r="G62" s="45"/>
      <c r="H62" s="45"/>
      <c r="I62" s="45"/>
      <c r="J62" s="42"/>
      <c r="K62" s="42"/>
    </row>
    <row r="63" spans="1:11" ht="15.75" customHeight="1">
      <c r="A63" s="205" t="s">
        <v>498</v>
      </c>
      <c r="B63" s="206" t="s">
        <v>499</v>
      </c>
      <c r="C63" s="39">
        <v>43346</v>
      </c>
      <c r="D63" s="39">
        <v>43506</v>
      </c>
      <c r="E63" s="47">
        <f>D63-C63</f>
        <v>160</v>
      </c>
      <c r="F63" s="45"/>
      <c r="G63" s="45"/>
      <c r="H63" s="45"/>
      <c r="I63" s="45"/>
      <c r="J63" s="42"/>
      <c r="K63" s="42"/>
    </row>
    <row r="64" spans="1:11" ht="15.75" customHeight="1">
      <c r="A64" s="42" t="s">
        <v>500</v>
      </c>
      <c r="B64" s="206" t="s">
        <v>500</v>
      </c>
      <c r="C64" s="39">
        <v>43345</v>
      </c>
      <c r="D64" s="39">
        <v>43508</v>
      </c>
      <c r="E64" s="47">
        <f>D64-C64</f>
        <v>163</v>
      </c>
      <c r="F64" s="45"/>
      <c r="G64" s="45" t="s">
        <v>501</v>
      </c>
      <c r="H64" s="45"/>
      <c r="I64" s="45"/>
      <c r="J64" s="42"/>
      <c r="K64" s="53" t="s">
        <v>502</v>
      </c>
    </row>
    <row r="65" spans="1:13" ht="15.75" customHeight="1">
      <c r="A65" s="42" t="s">
        <v>503</v>
      </c>
      <c r="B65" s="206" t="s">
        <v>504</v>
      </c>
      <c r="C65" s="39">
        <v>43450</v>
      </c>
      <c r="D65" s="39">
        <v>43510</v>
      </c>
      <c r="E65" s="47">
        <f>D65-C65</f>
        <v>60</v>
      </c>
      <c r="F65" s="45" t="s">
        <v>505</v>
      </c>
      <c r="G65" s="45" t="s">
        <v>33</v>
      </c>
      <c r="H65" s="45"/>
      <c r="I65" s="45"/>
      <c r="J65" s="42"/>
      <c r="K65" s="42"/>
    </row>
    <row r="66" spans="1:13" ht="15.75" customHeight="1">
      <c r="A66" s="42" t="s">
        <v>506</v>
      </c>
      <c r="B66" s="206" t="s">
        <v>507</v>
      </c>
      <c r="C66" s="39">
        <v>43444</v>
      </c>
      <c r="D66" s="39">
        <v>43510</v>
      </c>
      <c r="E66" s="47">
        <f>D66-C66</f>
        <v>66</v>
      </c>
      <c r="F66" s="43" t="s">
        <v>0</v>
      </c>
      <c r="G66" s="45" t="s">
        <v>508</v>
      </c>
      <c r="H66" s="45"/>
      <c r="I66" s="45"/>
      <c r="J66" s="42"/>
      <c r="K66" s="42"/>
      <c r="M66" s="210" t="s">
        <v>509</v>
      </c>
    </row>
    <row r="67" spans="1:13" ht="15.75" customHeight="1">
      <c r="A67" s="42" t="s">
        <v>510</v>
      </c>
      <c r="B67" s="206" t="s">
        <v>510</v>
      </c>
      <c r="C67" s="39">
        <v>43438</v>
      </c>
      <c r="D67" s="39">
        <v>43512</v>
      </c>
      <c r="E67" s="47">
        <f>D67-C67</f>
        <v>74</v>
      </c>
      <c r="F67" s="45" t="s">
        <v>511</v>
      </c>
      <c r="G67" s="45" t="s">
        <v>512</v>
      </c>
      <c r="H67" s="45"/>
      <c r="I67" s="207" t="s">
        <v>455</v>
      </c>
      <c r="J67" s="42"/>
      <c r="K67" s="53" t="s">
        <v>513</v>
      </c>
    </row>
    <row r="68" spans="1:13" ht="15.75" customHeight="1">
      <c r="A68" s="42" t="s">
        <v>514</v>
      </c>
      <c r="B68" s="206" t="s">
        <v>514</v>
      </c>
      <c r="C68" s="39">
        <v>43346</v>
      </c>
      <c r="D68" s="39">
        <v>43512</v>
      </c>
      <c r="E68" s="47">
        <f>D68-C68</f>
        <v>166</v>
      </c>
      <c r="F68" s="45"/>
      <c r="G68" s="45"/>
      <c r="H68" s="45"/>
      <c r="I68" s="45"/>
      <c r="J68" s="42"/>
      <c r="K68" s="42"/>
    </row>
    <row r="69" spans="1:13" ht="15.75" customHeight="1">
      <c r="A69" s="205" t="s">
        <v>515</v>
      </c>
      <c r="B69" s="206" t="s">
        <v>516</v>
      </c>
      <c r="C69" s="39">
        <v>43423</v>
      </c>
      <c r="D69" s="39">
        <v>43517</v>
      </c>
      <c r="E69" s="47">
        <f>D69-C69</f>
        <v>94</v>
      </c>
      <c r="F69" s="43" t="s">
        <v>0</v>
      </c>
      <c r="I69" s="45" t="s">
        <v>517</v>
      </c>
      <c r="J69" s="42"/>
      <c r="K69" s="42"/>
    </row>
    <row r="70" spans="1:13" ht="15.75" customHeight="1">
      <c r="A70" s="205" t="s">
        <v>424</v>
      </c>
      <c r="B70" s="206" t="s">
        <v>425</v>
      </c>
      <c r="C70" s="39">
        <v>43442</v>
      </c>
      <c r="D70" s="39">
        <v>43522</v>
      </c>
      <c r="E70" s="47">
        <f>D70-C70</f>
        <v>80</v>
      </c>
      <c r="F70" s="43" t="s">
        <v>0</v>
      </c>
      <c r="G70" s="45" t="s">
        <v>1</v>
      </c>
      <c r="H70" s="45"/>
      <c r="I70" s="45"/>
      <c r="J70" s="42"/>
      <c r="K70" s="53" t="s">
        <v>518</v>
      </c>
    </row>
    <row r="71" spans="1:13" ht="15.75" customHeight="1">
      <c r="A71" s="205" t="s">
        <v>519</v>
      </c>
      <c r="B71" s="206" t="s">
        <v>520</v>
      </c>
      <c r="C71" s="39">
        <v>43345</v>
      </c>
      <c r="D71" s="39">
        <v>43522</v>
      </c>
      <c r="E71" s="47">
        <f>D71-C71</f>
        <v>177</v>
      </c>
      <c r="F71" s="45"/>
      <c r="G71" s="45" t="s">
        <v>1</v>
      </c>
      <c r="H71" s="45"/>
      <c r="I71" s="45" t="s">
        <v>521</v>
      </c>
      <c r="J71" s="42"/>
      <c r="K71" s="42"/>
    </row>
    <row r="72" spans="1:13" ht="15.75" customHeight="1">
      <c r="A72" s="42" t="s">
        <v>522</v>
      </c>
      <c r="B72" s="206" t="s">
        <v>523</v>
      </c>
      <c r="C72" s="39">
        <v>43509</v>
      </c>
      <c r="D72" s="40">
        <v>43524</v>
      </c>
      <c r="E72" s="41">
        <f>D72-C72</f>
        <v>15</v>
      </c>
      <c r="F72" s="43" t="s">
        <v>524</v>
      </c>
      <c r="G72" s="42"/>
      <c r="H72" s="42"/>
      <c r="I72" s="45"/>
      <c r="J72" s="42"/>
      <c r="K72" s="42"/>
    </row>
    <row r="73" spans="1:13" ht="15.75" customHeight="1">
      <c r="A73" s="52" t="s">
        <v>525</v>
      </c>
      <c r="B73" s="209" t="s">
        <v>526</v>
      </c>
      <c r="C73" s="39">
        <v>43452</v>
      </c>
      <c r="D73" s="39">
        <v>43526</v>
      </c>
      <c r="E73" s="41">
        <f>D73-C73</f>
        <v>74</v>
      </c>
      <c r="F73" s="43" t="s">
        <v>0</v>
      </c>
      <c r="G73" s="45" t="s">
        <v>280</v>
      </c>
      <c r="H73" s="45"/>
      <c r="I73" s="45"/>
      <c r="J73" s="42"/>
      <c r="K73" s="42"/>
    </row>
    <row r="74" spans="1:13" ht="15.75" customHeight="1">
      <c r="A74" s="42" t="s">
        <v>393</v>
      </c>
      <c r="B74" s="206" t="s">
        <v>394</v>
      </c>
      <c r="C74" s="39">
        <v>43414</v>
      </c>
      <c r="D74" s="39">
        <v>43526</v>
      </c>
      <c r="E74" s="41">
        <f>D74-C74</f>
        <v>112</v>
      </c>
      <c r="F74" s="43" t="s">
        <v>0</v>
      </c>
      <c r="G74" s="45" t="s">
        <v>312</v>
      </c>
      <c r="H74" s="45"/>
      <c r="I74" s="207"/>
      <c r="J74" s="42"/>
      <c r="K74" s="42"/>
    </row>
    <row r="75" spans="1:13" ht="15.75" customHeight="1">
      <c r="A75" s="42" t="s">
        <v>527</v>
      </c>
      <c r="B75" s="206" t="s">
        <v>528</v>
      </c>
      <c r="C75" s="39">
        <v>43352</v>
      </c>
      <c r="D75" s="39">
        <v>43526</v>
      </c>
      <c r="E75" s="41">
        <f>D75-C75</f>
        <v>174</v>
      </c>
      <c r="F75" s="43" t="s">
        <v>0</v>
      </c>
      <c r="G75" s="45"/>
      <c r="H75" s="45"/>
      <c r="I75" s="45"/>
      <c r="J75" s="42"/>
      <c r="K75" s="42"/>
    </row>
    <row r="76" spans="1:13" ht="15.75" customHeight="1">
      <c r="A76" s="205" t="s">
        <v>529</v>
      </c>
      <c r="B76" s="206" t="s">
        <v>530</v>
      </c>
      <c r="C76" s="39">
        <v>43350</v>
      </c>
      <c r="D76" s="39">
        <v>43526</v>
      </c>
      <c r="E76" s="41">
        <f>D76-C76</f>
        <v>176</v>
      </c>
      <c r="F76" s="45"/>
      <c r="G76" s="45"/>
      <c r="H76" s="45"/>
      <c r="I76" s="45"/>
      <c r="J76" s="42"/>
      <c r="K76" s="42"/>
    </row>
    <row r="77" spans="1:13" ht="15.75" customHeight="1">
      <c r="A77" s="205" t="s">
        <v>531</v>
      </c>
      <c r="B77" s="206" t="s">
        <v>532</v>
      </c>
      <c r="C77" s="39">
        <v>43345</v>
      </c>
      <c r="D77" s="39">
        <v>43529</v>
      </c>
      <c r="E77" s="47">
        <f>D77-C77</f>
        <v>184</v>
      </c>
      <c r="F77" s="45"/>
      <c r="I77" s="207" t="s">
        <v>533</v>
      </c>
      <c r="J77" s="42"/>
      <c r="K77" s="42"/>
    </row>
    <row r="78" spans="1:13" ht="15.75" customHeight="1">
      <c r="A78" s="205" t="s">
        <v>534</v>
      </c>
      <c r="B78" s="206" t="s">
        <v>535</v>
      </c>
      <c r="C78" s="39">
        <v>43469</v>
      </c>
      <c r="D78" s="39">
        <v>43531</v>
      </c>
      <c r="E78" s="47">
        <f>D78-C78</f>
        <v>62</v>
      </c>
      <c r="F78" s="45" t="s">
        <v>481</v>
      </c>
      <c r="G78" s="45" t="s">
        <v>1</v>
      </c>
      <c r="H78" s="45"/>
      <c r="I78" s="45"/>
      <c r="J78" s="42"/>
      <c r="K78" s="42"/>
    </row>
    <row r="79" spans="1:13" ht="15.75" customHeight="1">
      <c r="A79" s="42" t="s">
        <v>536</v>
      </c>
      <c r="B79" s="206" t="s">
        <v>537</v>
      </c>
      <c r="C79" s="39">
        <v>43453</v>
      </c>
      <c r="D79" s="39">
        <v>43531</v>
      </c>
      <c r="E79" s="47">
        <f>D79-C79</f>
        <v>78</v>
      </c>
      <c r="F79" s="43" t="s">
        <v>0</v>
      </c>
      <c r="G79" s="45" t="s">
        <v>33</v>
      </c>
      <c r="H79" s="45"/>
      <c r="I79" s="45"/>
      <c r="J79" s="42"/>
      <c r="K79" s="53" t="s">
        <v>538</v>
      </c>
    </row>
    <row r="80" spans="1:13" ht="15.75" customHeight="1">
      <c r="A80" s="42" t="s">
        <v>511</v>
      </c>
      <c r="B80" s="206" t="s">
        <v>466</v>
      </c>
      <c r="C80" s="39">
        <v>43436</v>
      </c>
      <c r="D80" s="39">
        <v>43531</v>
      </c>
      <c r="E80" s="47">
        <f>D80-C80</f>
        <v>95</v>
      </c>
      <c r="F80" s="43" t="s">
        <v>539</v>
      </c>
      <c r="G80" s="45"/>
      <c r="H80" s="45"/>
      <c r="I80" s="45"/>
      <c r="J80" s="42"/>
      <c r="K80" s="53" t="s">
        <v>540</v>
      </c>
    </row>
    <row r="81" spans="1:11" ht="15.75" customHeight="1">
      <c r="A81" s="205" t="s">
        <v>541</v>
      </c>
      <c r="B81" s="206" t="s">
        <v>542</v>
      </c>
      <c r="C81" s="39">
        <v>43527</v>
      </c>
      <c r="D81" s="39">
        <v>43532</v>
      </c>
      <c r="E81" s="47">
        <f>D81-C81</f>
        <v>5</v>
      </c>
      <c r="F81" s="208" t="s">
        <v>534</v>
      </c>
      <c r="G81" s="45" t="s">
        <v>1</v>
      </c>
      <c r="H81" s="45"/>
      <c r="I81" s="45"/>
      <c r="J81" s="42"/>
      <c r="K81" s="42"/>
    </row>
    <row r="82" spans="1:11" ht="15.75" customHeight="1">
      <c r="A82" s="205" t="s">
        <v>543</v>
      </c>
      <c r="B82" s="206" t="s">
        <v>464</v>
      </c>
      <c r="C82" s="39">
        <v>43368</v>
      </c>
      <c r="D82" s="39">
        <v>43532</v>
      </c>
      <c r="E82" s="47">
        <f>D82-C82</f>
        <v>164</v>
      </c>
      <c r="F82" s="207" t="s">
        <v>544</v>
      </c>
      <c r="G82" s="45" t="s">
        <v>545</v>
      </c>
      <c r="H82" s="45"/>
      <c r="I82" s="45"/>
      <c r="J82" s="42"/>
      <c r="K82" s="42"/>
    </row>
    <row r="83" spans="1:11" ht="15.75" customHeight="1">
      <c r="A83" s="42" t="s">
        <v>546</v>
      </c>
      <c r="B83" s="206" t="s">
        <v>547</v>
      </c>
      <c r="C83" s="39">
        <v>43487</v>
      </c>
      <c r="D83" s="39">
        <v>43533</v>
      </c>
      <c r="E83" s="47">
        <f>D83-C83</f>
        <v>46</v>
      </c>
      <c r="F83" s="45" t="s">
        <v>527</v>
      </c>
      <c r="G83" s="45"/>
      <c r="H83" s="45"/>
      <c r="I83" s="45"/>
      <c r="J83" s="42"/>
      <c r="K83" s="42"/>
    </row>
    <row r="84" spans="1:11" ht="15.75" customHeight="1">
      <c r="A84" s="42" t="s">
        <v>548</v>
      </c>
      <c r="B84" s="206" t="s">
        <v>548</v>
      </c>
      <c r="C84" s="39">
        <v>43478</v>
      </c>
      <c r="D84" s="39">
        <v>43534</v>
      </c>
      <c r="E84" s="47">
        <f>D84-C84</f>
        <v>56</v>
      </c>
      <c r="F84" s="45" t="s">
        <v>549</v>
      </c>
      <c r="G84" s="45"/>
      <c r="H84" s="45"/>
      <c r="I84" s="45"/>
      <c r="J84" s="42"/>
      <c r="K84" s="42"/>
    </row>
    <row r="85" spans="1:11" ht="15.75" customHeight="1">
      <c r="A85" s="205" t="s">
        <v>550</v>
      </c>
      <c r="B85" s="206" t="s">
        <v>551</v>
      </c>
      <c r="C85" s="39">
        <v>43509</v>
      </c>
      <c r="D85" s="39">
        <v>43535</v>
      </c>
      <c r="E85" s="47">
        <f>D85-C85</f>
        <v>26</v>
      </c>
      <c r="F85" s="43" t="s">
        <v>524</v>
      </c>
      <c r="G85" s="45"/>
      <c r="H85" s="45"/>
      <c r="I85" s="45"/>
      <c r="J85" s="42"/>
      <c r="K85" s="42"/>
    </row>
    <row r="86" spans="1:11" ht="15.75" customHeight="1">
      <c r="A86" s="205" t="s">
        <v>552</v>
      </c>
      <c r="B86" s="206" t="s">
        <v>553</v>
      </c>
      <c r="C86" s="39">
        <v>43448</v>
      </c>
      <c r="D86" s="39">
        <v>43539</v>
      </c>
      <c r="E86" s="47">
        <f>D86-C86</f>
        <v>91</v>
      </c>
      <c r="F86" s="45" t="s">
        <v>539</v>
      </c>
      <c r="G86" s="45" t="s">
        <v>33</v>
      </c>
      <c r="H86" s="45"/>
      <c r="I86" s="45"/>
      <c r="J86" s="42"/>
      <c r="K86" s="42"/>
    </row>
    <row r="87" spans="1:11" ht="15.75" customHeight="1">
      <c r="A87" s="42" t="s">
        <v>554</v>
      </c>
      <c r="B87" s="206" t="s">
        <v>555</v>
      </c>
      <c r="C87" s="39">
        <v>43526</v>
      </c>
      <c r="D87" s="39">
        <v>43540</v>
      </c>
      <c r="E87" s="47">
        <f>D87-C87</f>
        <v>14</v>
      </c>
      <c r="F87" s="43" t="s">
        <v>556</v>
      </c>
      <c r="G87" s="45"/>
      <c r="H87" s="45"/>
      <c r="I87" s="45"/>
      <c r="J87" s="42"/>
      <c r="K87" s="42"/>
    </row>
    <row r="88" spans="1:11" ht="15.75" customHeight="1">
      <c r="A88" s="205" t="s">
        <v>557</v>
      </c>
      <c r="B88" s="206" t="s">
        <v>558</v>
      </c>
      <c r="C88" s="39">
        <v>43523</v>
      </c>
      <c r="D88" s="39">
        <v>43540</v>
      </c>
      <c r="E88" s="47">
        <f>D88-C88</f>
        <v>17</v>
      </c>
      <c r="F88" s="43" t="s">
        <v>0</v>
      </c>
      <c r="G88" s="45"/>
      <c r="H88" s="45"/>
      <c r="I88" s="45"/>
      <c r="J88" s="42"/>
      <c r="K88" s="42"/>
    </row>
    <row r="89" spans="1:11" ht="15.75" customHeight="1">
      <c r="A89" s="205" t="s">
        <v>559</v>
      </c>
      <c r="B89" s="206" t="s">
        <v>560</v>
      </c>
      <c r="C89" s="39">
        <v>43434</v>
      </c>
      <c r="D89" s="39">
        <v>43540</v>
      </c>
      <c r="E89" s="47">
        <f>D89-C89</f>
        <v>106</v>
      </c>
      <c r="F89" s="43" t="s">
        <v>0</v>
      </c>
      <c r="G89" s="45"/>
      <c r="H89" s="45"/>
      <c r="I89" s="45"/>
      <c r="J89" s="42"/>
      <c r="K89" s="42"/>
    </row>
    <row r="90" spans="1:11" ht="15.75" customHeight="1">
      <c r="A90" s="205" t="s">
        <v>561</v>
      </c>
      <c r="B90" s="206" t="s">
        <v>562</v>
      </c>
      <c r="C90" s="39">
        <v>43379</v>
      </c>
      <c r="D90" s="39">
        <v>43540</v>
      </c>
      <c r="E90" s="47">
        <f>D90-C90</f>
        <v>161</v>
      </c>
      <c r="F90" s="43" t="s">
        <v>0</v>
      </c>
      <c r="G90" s="45" t="s">
        <v>70</v>
      </c>
      <c r="H90" s="45"/>
      <c r="I90" s="207" t="s">
        <v>455</v>
      </c>
      <c r="J90" s="42"/>
      <c r="K90" s="42"/>
    </row>
    <row r="91" spans="1:11" ht="15.75" customHeight="1">
      <c r="A91" s="205" t="s">
        <v>563</v>
      </c>
      <c r="B91" s="206" t="s">
        <v>564</v>
      </c>
      <c r="C91" s="39">
        <v>43485</v>
      </c>
      <c r="D91" s="39">
        <v>43545</v>
      </c>
      <c r="E91" s="47">
        <f>D91-C91</f>
        <v>60</v>
      </c>
      <c r="F91" s="207" t="s">
        <v>565</v>
      </c>
      <c r="G91" s="45" t="s">
        <v>1</v>
      </c>
      <c r="H91" s="45"/>
      <c r="I91" s="45"/>
      <c r="J91" s="42"/>
      <c r="K91" s="42"/>
    </row>
    <row r="92" spans="1:11" ht="15.75" customHeight="1">
      <c r="A92" s="42" t="s">
        <v>566</v>
      </c>
      <c r="B92" s="206" t="s">
        <v>567</v>
      </c>
      <c r="C92" s="39">
        <v>43467</v>
      </c>
      <c r="D92" s="39">
        <v>43545</v>
      </c>
      <c r="E92" s="47">
        <f>D92-C92</f>
        <v>78</v>
      </c>
      <c r="F92" s="207" t="s">
        <v>568</v>
      </c>
      <c r="G92" s="45"/>
      <c r="H92" s="45"/>
      <c r="I92" s="45"/>
      <c r="J92" s="42"/>
      <c r="K92" s="42"/>
    </row>
    <row r="93" spans="1:11" ht="15.75" customHeight="1">
      <c r="A93" s="42" t="s">
        <v>569</v>
      </c>
      <c r="B93" s="206" t="s">
        <v>570</v>
      </c>
      <c r="C93" s="39">
        <v>43494</v>
      </c>
      <c r="D93" s="39">
        <v>43546</v>
      </c>
      <c r="E93" s="47">
        <f>D93-C93</f>
        <v>52</v>
      </c>
      <c r="F93" s="45" t="s">
        <v>539</v>
      </c>
      <c r="G93" s="45" t="s">
        <v>33</v>
      </c>
      <c r="H93" s="45"/>
      <c r="I93" s="207" t="s">
        <v>455</v>
      </c>
      <c r="J93" s="42"/>
      <c r="K93" s="42"/>
    </row>
    <row r="94" spans="1:11" ht="15.75" customHeight="1">
      <c r="A94" s="205" t="s">
        <v>571</v>
      </c>
      <c r="B94" s="206" t="s">
        <v>572</v>
      </c>
      <c r="C94" s="39">
        <v>43532</v>
      </c>
      <c r="D94" s="39">
        <v>43547</v>
      </c>
      <c r="E94" s="47">
        <f>D94-C94</f>
        <v>15</v>
      </c>
      <c r="F94" s="207" t="s">
        <v>573</v>
      </c>
      <c r="G94" s="45"/>
      <c r="H94" s="45"/>
      <c r="I94" s="45"/>
      <c r="J94" s="42"/>
      <c r="K94" s="42"/>
    </row>
    <row r="95" spans="1:11" ht="15.75" customHeight="1">
      <c r="A95" s="205" t="s">
        <v>574</v>
      </c>
      <c r="B95" s="206" t="s">
        <v>575</v>
      </c>
      <c r="C95" s="39">
        <v>43544</v>
      </c>
      <c r="D95" s="40">
        <v>43548</v>
      </c>
      <c r="E95" s="41">
        <f>D95-C95</f>
        <v>4</v>
      </c>
      <c r="F95" s="43" t="s">
        <v>0</v>
      </c>
      <c r="G95" s="45"/>
      <c r="H95" s="45"/>
      <c r="I95" s="45"/>
      <c r="J95" s="42"/>
      <c r="K95" s="42"/>
    </row>
    <row r="96" spans="1:11" ht="15.75" customHeight="1">
      <c r="A96" s="205" t="s">
        <v>576</v>
      </c>
      <c r="B96" s="206" t="s">
        <v>577</v>
      </c>
      <c r="C96" s="39">
        <v>43510</v>
      </c>
      <c r="D96" s="40">
        <v>43548</v>
      </c>
      <c r="E96" s="41">
        <f>D96-C96</f>
        <v>38</v>
      </c>
      <c r="F96" s="208" t="s">
        <v>563</v>
      </c>
      <c r="G96" s="45"/>
      <c r="H96" s="45"/>
      <c r="I96" s="45"/>
      <c r="J96" s="42"/>
      <c r="K96" s="42"/>
    </row>
    <row r="97" spans="1:11" ht="15.75" customHeight="1">
      <c r="A97" s="205" t="s">
        <v>578</v>
      </c>
      <c r="B97" s="206" t="s">
        <v>579</v>
      </c>
      <c r="C97" s="39">
        <v>43544</v>
      </c>
      <c r="D97" s="40">
        <v>43551</v>
      </c>
      <c r="E97" s="47">
        <f>D97-C97</f>
        <v>7</v>
      </c>
      <c r="F97" s="43" t="s">
        <v>0</v>
      </c>
      <c r="G97" s="45"/>
      <c r="H97" s="45"/>
      <c r="I97" s="45"/>
      <c r="J97" s="42"/>
      <c r="K97" s="42"/>
    </row>
    <row r="98" spans="1:11" ht="15.75" customHeight="1">
      <c r="A98" s="42" t="s">
        <v>580</v>
      </c>
      <c r="B98" s="206" t="s">
        <v>581</v>
      </c>
      <c r="C98" s="39">
        <v>43386</v>
      </c>
      <c r="D98" s="40">
        <v>43551</v>
      </c>
      <c r="E98" s="47">
        <f>D98-C98</f>
        <v>165</v>
      </c>
      <c r="F98" s="207" t="s">
        <v>498</v>
      </c>
      <c r="G98" s="54" t="s">
        <v>582</v>
      </c>
      <c r="H98" s="207"/>
      <c r="I98" s="45"/>
      <c r="J98" s="42"/>
      <c r="K98" s="42"/>
    </row>
    <row r="99" spans="1:11" ht="15.75" customHeight="1">
      <c r="A99" s="205" t="s">
        <v>490</v>
      </c>
      <c r="B99" s="206" t="s">
        <v>583</v>
      </c>
      <c r="C99" s="39">
        <v>43441</v>
      </c>
      <c r="D99" s="39">
        <v>43556</v>
      </c>
      <c r="E99" s="47">
        <f>D99-C99</f>
        <v>115</v>
      </c>
      <c r="F99" s="43" t="s">
        <v>584</v>
      </c>
      <c r="G99" s="45" t="s">
        <v>1</v>
      </c>
      <c r="H99" s="45"/>
      <c r="I99" s="45"/>
      <c r="J99" s="42"/>
      <c r="K99" s="53" t="s">
        <v>585</v>
      </c>
    </row>
    <row r="100" spans="1:11" ht="15.75" customHeight="1">
      <c r="A100" s="42" t="s">
        <v>357</v>
      </c>
      <c r="B100" s="206" t="s">
        <v>586</v>
      </c>
      <c r="C100" s="39">
        <v>43544</v>
      </c>
      <c r="D100" s="39">
        <v>43561</v>
      </c>
      <c r="E100" s="47">
        <f>D100-C100</f>
        <v>17</v>
      </c>
      <c r="F100" s="43" t="s">
        <v>0</v>
      </c>
      <c r="G100" s="45"/>
      <c r="H100" s="45"/>
      <c r="I100" s="45"/>
      <c r="J100" s="42"/>
      <c r="K100" s="42"/>
    </row>
    <row r="101" spans="1:11" ht="15.75" customHeight="1">
      <c r="A101" s="205" t="s">
        <v>587</v>
      </c>
      <c r="B101" s="206" t="s">
        <v>588</v>
      </c>
      <c r="C101" s="39">
        <v>43535</v>
      </c>
      <c r="D101" s="39">
        <v>43561</v>
      </c>
      <c r="E101" s="47">
        <f>D101-C101</f>
        <v>26</v>
      </c>
      <c r="F101" s="208" t="s">
        <v>589</v>
      </c>
      <c r="G101" s="45" t="s">
        <v>33</v>
      </c>
      <c r="H101" s="45"/>
      <c r="I101" s="45"/>
      <c r="J101" s="42"/>
      <c r="K101" s="42"/>
    </row>
    <row r="102" spans="1:11" ht="15.75" customHeight="1">
      <c r="A102" s="42" t="s">
        <v>590</v>
      </c>
      <c r="B102" s="206" t="s">
        <v>591</v>
      </c>
      <c r="C102" s="39">
        <v>43491</v>
      </c>
      <c r="D102" s="39">
        <v>43563</v>
      </c>
      <c r="E102" s="47">
        <f>D102-C102</f>
        <v>72</v>
      </c>
      <c r="F102" s="207" t="s">
        <v>592</v>
      </c>
      <c r="G102" s="45"/>
      <c r="H102" s="45"/>
      <c r="I102" s="45"/>
      <c r="J102" s="42"/>
      <c r="K102" s="42"/>
    </row>
    <row r="103" spans="1:11" ht="15.75" customHeight="1">
      <c r="A103" s="42" t="s">
        <v>593</v>
      </c>
      <c r="B103" s="206" t="s">
        <v>594</v>
      </c>
      <c r="C103" s="39">
        <v>43545</v>
      </c>
      <c r="D103" s="39">
        <v>43564</v>
      </c>
      <c r="E103" s="47">
        <f>D103-C103</f>
        <v>19</v>
      </c>
      <c r="F103" s="43" t="s">
        <v>0</v>
      </c>
      <c r="G103" s="45"/>
      <c r="H103" s="45"/>
      <c r="I103" s="45"/>
      <c r="J103" s="42"/>
      <c r="K103" s="42"/>
    </row>
    <row r="104" spans="1:11" ht="15.75" customHeight="1">
      <c r="A104" s="42" t="s">
        <v>595</v>
      </c>
      <c r="B104" s="206" t="s">
        <v>596</v>
      </c>
      <c r="C104" s="39">
        <v>43544</v>
      </c>
      <c r="D104" s="39">
        <v>43566</v>
      </c>
      <c r="E104" s="47">
        <f>D104-C104</f>
        <v>22</v>
      </c>
      <c r="F104" s="43" t="s">
        <v>0</v>
      </c>
      <c r="G104" s="45"/>
      <c r="H104" s="45"/>
      <c r="I104" s="45"/>
      <c r="J104" s="42"/>
      <c r="K104" s="42"/>
    </row>
    <row r="105" spans="1:11" ht="15.75" customHeight="1">
      <c r="A105" s="205" t="s">
        <v>31</v>
      </c>
      <c r="B105" s="206" t="s">
        <v>32</v>
      </c>
      <c r="C105" s="39">
        <v>43368</v>
      </c>
      <c r="D105" s="39">
        <v>43567</v>
      </c>
      <c r="E105" s="47">
        <f>D105-C105</f>
        <v>199</v>
      </c>
      <c r="F105" s="43" t="s">
        <v>0</v>
      </c>
      <c r="G105" s="45"/>
      <c r="H105" s="45"/>
      <c r="I105" s="45"/>
      <c r="J105" s="42"/>
      <c r="K105" s="42"/>
    </row>
    <row r="106" spans="1:11" ht="15.75" customHeight="1">
      <c r="A106" s="42" t="s">
        <v>597</v>
      </c>
      <c r="B106" s="206" t="s">
        <v>598</v>
      </c>
      <c r="C106" s="39">
        <v>43544</v>
      </c>
      <c r="D106" s="39">
        <v>43568</v>
      </c>
      <c r="E106" s="47">
        <f>D106-C106</f>
        <v>24</v>
      </c>
      <c r="F106" s="43" t="s">
        <v>0</v>
      </c>
      <c r="G106" s="45" t="s">
        <v>33</v>
      </c>
      <c r="H106" s="45"/>
      <c r="I106" s="207" t="s">
        <v>455</v>
      </c>
      <c r="J106" s="42"/>
      <c r="K106" s="42"/>
    </row>
    <row r="107" spans="1:11" ht="15.75" customHeight="1">
      <c r="A107" s="42" t="s">
        <v>599</v>
      </c>
      <c r="B107" s="206" t="s">
        <v>600</v>
      </c>
      <c r="C107" s="39">
        <v>43520</v>
      </c>
      <c r="D107" s="39">
        <v>43568</v>
      </c>
      <c r="E107" s="47">
        <f>D107-C107</f>
        <v>48</v>
      </c>
      <c r="F107" s="43" t="s">
        <v>0</v>
      </c>
      <c r="G107" s="45"/>
      <c r="H107" s="45"/>
      <c r="I107" s="45"/>
      <c r="J107" s="42"/>
      <c r="K107" s="42"/>
    </row>
    <row r="108" spans="1:11" ht="15.75" customHeight="1">
      <c r="A108" s="42" t="s">
        <v>601</v>
      </c>
      <c r="B108" s="206" t="s">
        <v>602</v>
      </c>
      <c r="C108" s="39">
        <v>43346</v>
      </c>
      <c r="D108" s="39">
        <v>43570</v>
      </c>
      <c r="E108" s="47">
        <f>D108-C108</f>
        <v>224</v>
      </c>
      <c r="F108" s="45"/>
      <c r="G108" s="45" t="s">
        <v>33</v>
      </c>
      <c r="H108" s="45"/>
      <c r="I108" s="45"/>
      <c r="J108" s="42"/>
      <c r="K108" s="42"/>
    </row>
    <row r="109" spans="1:11" ht="15.75" customHeight="1">
      <c r="A109" s="205" t="s">
        <v>589</v>
      </c>
      <c r="B109" s="206" t="s">
        <v>603</v>
      </c>
      <c r="C109" s="39">
        <v>43469</v>
      </c>
      <c r="D109" s="39">
        <v>43571</v>
      </c>
      <c r="E109" s="47">
        <f>D109-C109</f>
        <v>102</v>
      </c>
      <c r="F109" s="43" t="s">
        <v>505</v>
      </c>
      <c r="G109" s="45" t="s">
        <v>604</v>
      </c>
      <c r="H109" s="45"/>
      <c r="I109" s="45"/>
      <c r="J109" s="42"/>
      <c r="K109" s="42"/>
    </row>
    <row r="110" spans="1:11" ht="15.75" customHeight="1">
      <c r="A110" s="42" t="s">
        <v>605</v>
      </c>
      <c r="B110" s="206" t="s">
        <v>606</v>
      </c>
      <c r="C110" s="39">
        <v>43540</v>
      </c>
      <c r="D110" s="39">
        <v>43572</v>
      </c>
      <c r="E110" s="47">
        <f>D110-C110</f>
        <v>32</v>
      </c>
      <c r="F110" s="43" t="s">
        <v>0</v>
      </c>
      <c r="G110" s="45" t="s">
        <v>1</v>
      </c>
      <c r="H110" s="45"/>
      <c r="I110" s="45"/>
      <c r="J110" s="42"/>
      <c r="K110" s="42"/>
    </row>
    <row r="111" spans="1:11" ht="15.75" customHeight="1">
      <c r="A111" s="205" t="s">
        <v>607</v>
      </c>
      <c r="B111" s="209" t="s">
        <v>608</v>
      </c>
      <c r="C111" s="39">
        <v>43463</v>
      </c>
      <c r="D111" s="39">
        <v>43572</v>
      </c>
      <c r="E111" s="47">
        <f>D111-C111</f>
        <v>109</v>
      </c>
      <c r="F111" s="43" t="s">
        <v>0</v>
      </c>
      <c r="G111" s="45" t="s">
        <v>1</v>
      </c>
      <c r="H111" s="45"/>
      <c r="I111" s="45"/>
      <c r="J111" s="42"/>
      <c r="K111" s="53" t="s">
        <v>609</v>
      </c>
    </row>
    <row r="112" spans="1:11" ht="15.75" customHeight="1">
      <c r="A112" s="42" t="s">
        <v>309</v>
      </c>
      <c r="B112" s="206" t="s">
        <v>610</v>
      </c>
      <c r="C112" s="39">
        <v>43544</v>
      </c>
      <c r="D112" s="39">
        <v>43573</v>
      </c>
      <c r="E112" s="47">
        <f>D112-C112</f>
        <v>29</v>
      </c>
      <c r="F112" s="43" t="s">
        <v>524</v>
      </c>
      <c r="G112" s="45"/>
      <c r="H112" s="45"/>
      <c r="I112" s="45"/>
      <c r="J112" s="42"/>
      <c r="K112" s="42"/>
    </row>
    <row r="113" spans="1:11" ht="15.75" customHeight="1">
      <c r="A113" s="205" t="s">
        <v>611</v>
      </c>
      <c r="B113" s="206" t="s">
        <v>612</v>
      </c>
      <c r="C113" s="39">
        <v>43484</v>
      </c>
      <c r="D113" s="39">
        <v>43574</v>
      </c>
      <c r="E113" s="47">
        <f>D113-C113</f>
        <v>90</v>
      </c>
      <c r="F113" s="207" t="s">
        <v>589</v>
      </c>
      <c r="G113" s="45" t="s">
        <v>1</v>
      </c>
      <c r="H113" s="45"/>
      <c r="I113" s="45"/>
      <c r="J113" s="42"/>
      <c r="K113" s="42"/>
    </row>
    <row r="114" spans="1:11" ht="15.75" customHeight="1">
      <c r="A114" s="205" t="s">
        <v>613</v>
      </c>
      <c r="B114" s="206" t="s">
        <v>614</v>
      </c>
      <c r="C114" s="39">
        <v>43572</v>
      </c>
      <c r="D114" s="39">
        <v>43575</v>
      </c>
      <c r="E114" s="47">
        <f>D114-C114</f>
        <v>3</v>
      </c>
      <c r="F114" s="43" t="s">
        <v>0</v>
      </c>
      <c r="G114" s="45"/>
      <c r="H114" s="45"/>
      <c r="I114" s="45"/>
      <c r="J114" s="42"/>
      <c r="K114" s="42"/>
    </row>
    <row r="115" spans="1:11" ht="15.75" customHeight="1">
      <c r="A115" s="205" t="s">
        <v>615</v>
      </c>
      <c r="B115" s="206" t="s">
        <v>616</v>
      </c>
      <c r="C115" s="39">
        <v>43526</v>
      </c>
      <c r="D115" s="39">
        <v>43575</v>
      </c>
      <c r="E115" s="47">
        <f>D115-C115</f>
        <v>49</v>
      </c>
      <c r="F115" s="43" t="s">
        <v>617</v>
      </c>
      <c r="G115" s="45" t="s">
        <v>43</v>
      </c>
      <c r="H115" s="45"/>
      <c r="I115" s="207" t="s">
        <v>455</v>
      </c>
      <c r="J115" s="42"/>
      <c r="K115" s="42"/>
    </row>
    <row r="116" spans="1:11" ht="15.75" customHeight="1">
      <c r="A116" s="42" t="s">
        <v>617</v>
      </c>
      <c r="B116" s="206" t="s">
        <v>618</v>
      </c>
      <c r="C116" s="39">
        <v>43442</v>
      </c>
      <c r="D116" s="39">
        <v>43575</v>
      </c>
      <c r="E116" s="47">
        <f>D116-C116</f>
        <v>133</v>
      </c>
      <c r="F116" s="45" t="s">
        <v>493</v>
      </c>
      <c r="G116" s="45" t="s">
        <v>33</v>
      </c>
      <c r="H116" s="45"/>
      <c r="I116" s="207"/>
      <c r="J116" s="42"/>
      <c r="K116" s="42"/>
    </row>
    <row r="117" spans="1:11" ht="15.75" customHeight="1">
      <c r="A117" s="205" t="s">
        <v>619</v>
      </c>
      <c r="B117" s="206" t="s">
        <v>620</v>
      </c>
      <c r="C117" s="39">
        <v>43544</v>
      </c>
      <c r="D117" s="39">
        <v>43578</v>
      </c>
      <c r="E117" s="47">
        <f>D117-C117</f>
        <v>34</v>
      </c>
      <c r="F117" s="43" t="s">
        <v>0</v>
      </c>
      <c r="G117" s="45" t="s">
        <v>26</v>
      </c>
      <c r="H117" s="45"/>
      <c r="I117" s="45"/>
      <c r="J117" s="42"/>
      <c r="K117" s="42"/>
    </row>
    <row r="118" spans="1:11" ht="15.75" customHeight="1">
      <c r="A118" s="42" t="s">
        <v>621</v>
      </c>
      <c r="B118" s="206" t="s">
        <v>622</v>
      </c>
      <c r="C118" s="39">
        <v>43543</v>
      </c>
      <c r="D118" s="39">
        <v>43581</v>
      </c>
      <c r="E118" s="47">
        <f>D118-C118</f>
        <v>38</v>
      </c>
      <c r="F118" s="43" t="s">
        <v>0</v>
      </c>
      <c r="G118" s="45" t="s">
        <v>623</v>
      </c>
      <c r="H118" s="45"/>
      <c r="I118" s="45"/>
      <c r="J118" s="42"/>
      <c r="K118" s="42"/>
    </row>
    <row r="119" spans="1:11" ht="15.75" customHeight="1">
      <c r="A119" s="205" t="s">
        <v>624</v>
      </c>
      <c r="B119" s="206" t="s">
        <v>625</v>
      </c>
      <c r="C119" s="39">
        <v>43421</v>
      </c>
      <c r="D119" s="39">
        <v>43582</v>
      </c>
      <c r="E119" s="47">
        <f>D119-C119</f>
        <v>161</v>
      </c>
      <c r="F119" s="43" t="s">
        <v>475</v>
      </c>
      <c r="G119" s="45" t="s">
        <v>33</v>
      </c>
      <c r="H119" s="45"/>
      <c r="I119" s="45"/>
      <c r="J119" s="42"/>
      <c r="K119" s="53" t="s">
        <v>626</v>
      </c>
    </row>
    <row r="120" spans="1:11" ht="15.75" customHeight="1">
      <c r="A120" s="205" t="s">
        <v>565</v>
      </c>
      <c r="B120" s="206" t="s">
        <v>627</v>
      </c>
      <c r="C120" s="39">
        <v>43354</v>
      </c>
      <c r="D120" s="39">
        <v>43582</v>
      </c>
      <c r="E120" s="47">
        <f>D120-C120</f>
        <v>228</v>
      </c>
      <c r="F120" s="45" t="s">
        <v>601</v>
      </c>
      <c r="G120" s="45" t="s">
        <v>628</v>
      </c>
      <c r="H120" s="45"/>
      <c r="I120" s="45"/>
      <c r="J120" s="42"/>
      <c r="K120" s="42"/>
    </row>
    <row r="121" spans="1:11" ht="15.75" customHeight="1">
      <c r="A121" s="205" t="s">
        <v>573</v>
      </c>
      <c r="B121" s="206" t="s">
        <v>629</v>
      </c>
      <c r="C121" s="39">
        <v>43517</v>
      </c>
      <c r="D121" s="39">
        <v>43583</v>
      </c>
      <c r="E121" s="47">
        <f>D121-C121</f>
        <v>66</v>
      </c>
      <c r="F121" s="45" t="s">
        <v>493</v>
      </c>
      <c r="G121" s="45" t="s">
        <v>26</v>
      </c>
      <c r="H121" s="45"/>
      <c r="I121" s="45"/>
      <c r="J121" s="42"/>
      <c r="K121" s="42"/>
    </row>
    <row r="122" spans="1:11" ht="15.75" customHeight="1">
      <c r="A122" s="205" t="s">
        <v>587</v>
      </c>
      <c r="B122" s="206" t="s">
        <v>588</v>
      </c>
      <c r="C122" s="39">
        <v>43573</v>
      </c>
      <c r="D122" s="39">
        <v>43584</v>
      </c>
      <c r="E122" s="47">
        <f>D122-C122</f>
        <v>11</v>
      </c>
      <c r="F122" s="43" t="s">
        <v>0</v>
      </c>
      <c r="G122" s="45" t="s">
        <v>33</v>
      </c>
      <c r="H122" s="45"/>
      <c r="I122" s="45"/>
      <c r="J122" s="42"/>
      <c r="K122" s="42"/>
    </row>
    <row r="123" spans="1:11" ht="15.75" customHeight="1">
      <c r="A123" s="42" t="s">
        <v>474</v>
      </c>
      <c r="B123" s="206" t="s">
        <v>630</v>
      </c>
      <c r="C123" s="39">
        <v>43396</v>
      </c>
      <c r="D123" s="39">
        <v>43584</v>
      </c>
      <c r="E123" s="47">
        <f>D123-C123</f>
        <v>188</v>
      </c>
      <c r="F123" s="43" t="s">
        <v>601</v>
      </c>
      <c r="G123" s="45" t="s">
        <v>471</v>
      </c>
      <c r="H123" s="45"/>
      <c r="I123" s="45"/>
      <c r="J123" s="42"/>
      <c r="K123" s="42"/>
    </row>
    <row r="124" spans="1:11" ht="15.75" customHeight="1">
      <c r="A124" s="205" t="s">
        <v>631</v>
      </c>
      <c r="B124" s="206" t="s">
        <v>632</v>
      </c>
      <c r="C124" s="39">
        <v>43569</v>
      </c>
      <c r="D124" s="39">
        <v>43588</v>
      </c>
      <c r="E124" s="47">
        <f>D124-C124</f>
        <v>19</v>
      </c>
      <c r="F124" s="207" t="s">
        <v>589</v>
      </c>
      <c r="G124" s="45"/>
      <c r="H124" s="45"/>
      <c r="I124" s="45"/>
      <c r="J124" s="42"/>
      <c r="K124" s="42"/>
    </row>
    <row r="125" spans="1:11" ht="15.75" customHeight="1">
      <c r="A125" s="205" t="s">
        <v>633</v>
      </c>
      <c r="B125" s="206" t="s">
        <v>634</v>
      </c>
      <c r="C125" s="39">
        <v>43555</v>
      </c>
      <c r="D125" s="39">
        <v>43589</v>
      </c>
      <c r="E125" s="47">
        <f>D125-C125</f>
        <v>34</v>
      </c>
      <c r="F125" s="43" t="s">
        <v>0</v>
      </c>
      <c r="G125" s="45"/>
      <c r="H125" s="45"/>
      <c r="I125" s="45"/>
      <c r="J125" s="42"/>
      <c r="K125" s="42"/>
    </row>
    <row r="126" spans="1:11" ht="15.75" customHeight="1">
      <c r="A126" s="42" t="s">
        <v>635</v>
      </c>
      <c r="B126" s="206" t="s">
        <v>636</v>
      </c>
      <c r="C126" s="39">
        <v>43544</v>
      </c>
      <c r="D126" s="39">
        <v>43589</v>
      </c>
      <c r="E126" s="47">
        <f>D126-C126</f>
        <v>45</v>
      </c>
      <c r="F126" s="43" t="s">
        <v>524</v>
      </c>
      <c r="G126" s="45"/>
      <c r="H126" s="45"/>
      <c r="I126" s="45"/>
      <c r="J126" s="42"/>
      <c r="K126" s="42"/>
    </row>
    <row r="127" spans="1:11" ht="15.75" customHeight="1">
      <c r="A127" s="42" t="s">
        <v>637</v>
      </c>
      <c r="B127" s="206" t="s">
        <v>638</v>
      </c>
      <c r="C127" s="39">
        <v>43556</v>
      </c>
      <c r="D127" s="39">
        <v>43590</v>
      </c>
      <c r="E127" s="47">
        <f>D127-C127</f>
        <v>34</v>
      </c>
      <c r="F127" s="43" t="s">
        <v>0</v>
      </c>
      <c r="G127" s="153"/>
      <c r="H127" s="153"/>
      <c r="I127" s="153"/>
    </row>
    <row r="128" spans="1:11" ht="15.75" customHeight="1">
      <c r="A128" s="205" t="s">
        <v>639</v>
      </c>
      <c r="B128" s="206" t="s">
        <v>640</v>
      </c>
      <c r="C128" s="39">
        <v>43524</v>
      </c>
      <c r="D128" s="39">
        <v>43590</v>
      </c>
      <c r="E128" s="47">
        <f>D128-C128</f>
        <v>66</v>
      </c>
      <c r="F128" s="208" t="s">
        <v>641</v>
      </c>
      <c r="G128" s="45"/>
      <c r="H128" s="45"/>
      <c r="I128" s="45"/>
      <c r="J128" s="42"/>
      <c r="K128" s="42"/>
    </row>
    <row r="129" spans="1:11" ht="15.75" customHeight="1">
      <c r="A129" s="42" t="s">
        <v>642</v>
      </c>
      <c r="B129" s="206" t="s">
        <v>643</v>
      </c>
      <c r="C129" s="39">
        <v>43577</v>
      </c>
      <c r="D129" s="39">
        <v>43591</v>
      </c>
      <c r="E129" s="47">
        <f>D129-C129</f>
        <v>14</v>
      </c>
      <c r="F129" s="43" t="s">
        <v>0</v>
      </c>
      <c r="G129" s="45" t="s">
        <v>644</v>
      </c>
      <c r="H129" s="45"/>
      <c r="I129" s="45"/>
      <c r="J129" s="42"/>
      <c r="K129" s="42"/>
    </row>
    <row r="130" spans="1:11" ht="15.75" customHeight="1">
      <c r="A130" s="205" t="s">
        <v>645</v>
      </c>
      <c r="B130" s="206" t="s">
        <v>646</v>
      </c>
      <c r="C130" s="39">
        <v>43548</v>
      </c>
      <c r="D130" s="39">
        <v>43594</v>
      </c>
      <c r="E130" s="47">
        <f>D130-C130</f>
        <v>46</v>
      </c>
      <c r="F130" s="207" t="s">
        <v>647</v>
      </c>
      <c r="G130" s="45" t="s">
        <v>1</v>
      </c>
      <c r="H130" s="45"/>
      <c r="I130" s="45"/>
      <c r="J130" s="42"/>
      <c r="K130" s="42"/>
    </row>
    <row r="131" spans="1:11" ht="15.75" customHeight="1">
      <c r="A131" s="205" t="s">
        <v>648</v>
      </c>
      <c r="B131" s="206" t="s">
        <v>649</v>
      </c>
      <c r="C131" s="39">
        <v>43558</v>
      </c>
      <c r="D131" s="39">
        <v>43595</v>
      </c>
      <c r="E131" s="47">
        <f>D131-C131</f>
        <v>37</v>
      </c>
      <c r="F131" s="43" t="s">
        <v>0</v>
      </c>
      <c r="G131" s="45"/>
      <c r="H131" s="45"/>
      <c r="I131" s="45"/>
      <c r="J131" s="42"/>
      <c r="K131" s="42"/>
    </row>
    <row r="132" spans="1:11" ht="15.75" customHeight="1">
      <c r="A132" s="42" t="s">
        <v>650</v>
      </c>
      <c r="B132" s="206" t="s">
        <v>651</v>
      </c>
      <c r="C132" s="39">
        <v>43541</v>
      </c>
      <c r="D132" s="39">
        <v>43596</v>
      </c>
      <c r="E132" s="47">
        <f>D132-C132</f>
        <v>55</v>
      </c>
      <c r="F132" s="43" t="s">
        <v>0</v>
      </c>
      <c r="G132" s="45"/>
      <c r="H132" s="45"/>
      <c r="I132" s="45"/>
      <c r="J132" s="42"/>
      <c r="K132" s="42"/>
    </row>
    <row r="133" spans="1:11" ht="15.75" customHeight="1">
      <c r="A133" s="205" t="s">
        <v>652</v>
      </c>
      <c r="B133" s="209">
        <v>1373757850</v>
      </c>
      <c r="C133" s="39">
        <v>43527</v>
      </c>
      <c r="D133" s="39">
        <v>43596</v>
      </c>
      <c r="E133" s="47">
        <f>D133-C133</f>
        <v>69</v>
      </c>
      <c r="F133" s="43" t="s">
        <v>0</v>
      </c>
      <c r="G133" s="45" t="s">
        <v>225</v>
      </c>
      <c r="H133" s="45"/>
      <c r="I133" s="45"/>
      <c r="J133" s="42"/>
      <c r="K133" s="42"/>
    </row>
    <row r="134" spans="1:11" ht="15.75" customHeight="1">
      <c r="A134" s="42" t="s">
        <v>653</v>
      </c>
      <c r="B134" s="206" t="s">
        <v>653</v>
      </c>
      <c r="C134" s="39">
        <v>43449</v>
      </c>
      <c r="D134" s="39">
        <v>43596</v>
      </c>
      <c r="E134" s="47">
        <f>D134-C134</f>
        <v>147</v>
      </c>
      <c r="F134" s="45" t="s">
        <v>511</v>
      </c>
      <c r="G134" s="45"/>
      <c r="H134" s="45"/>
      <c r="I134" s="45"/>
      <c r="J134" s="42"/>
      <c r="K134" s="42"/>
    </row>
    <row r="135" spans="1:11" ht="15.75" customHeight="1">
      <c r="A135" s="205" t="s">
        <v>654</v>
      </c>
      <c r="B135" s="206" t="s">
        <v>655</v>
      </c>
      <c r="C135" s="39">
        <v>43381</v>
      </c>
      <c r="D135" s="39">
        <v>43596</v>
      </c>
      <c r="E135" s="47">
        <f>D135-C135</f>
        <v>215</v>
      </c>
      <c r="F135" s="43" t="s">
        <v>0</v>
      </c>
      <c r="G135" s="45" t="s">
        <v>106</v>
      </c>
      <c r="H135" s="45"/>
      <c r="I135" s="45"/>
      <c r="J135" s="42"/>
      <c r="K135" s="42"/>
    </row>
    <row r="136" spans="1:11" ht="15.75" customHeight="1">
      <c r="A136" s="42" t="s">
        <v>656</v>
      </c>
      <c r="B136" s="206" t="s">
        <v>657</v>
      </c>
      <c r="C136" s="39">
        <v>43398</v>
      </c>
      <c r="D136" s="39">
        <v>43597</v>
      </c>
      <c r="E136" s="47">
        <f>D136-C136</f>
        <v>199</v>
      </c>
      <c r="F136" s="43" t="s">
        <v>464</v>
      </c>
      <c r="G136" s="45" t="s">
        <v>33</v>
      </c>
      <c r="H136" s="45"/>
      <c r="I136" s="45"/>
      <c r="J136" s="42"/>
      <c r="K136" s="42"/>
    </row>
    <row r="137" spans="1:11" ht="15.75" customHeight="1">
      <c r="A137" s="205" t="s">
        <v>658</v>
      </c>
      <c r="B137" s="206" t="s">
        <v>659</v>
      </c>
      <c r="C137" s="39">
        <v>43584</v>
      </c>
      <c r="D137" s="39">
        <v>43599</v>
      </c>
      <c r="E137" s="47">
        <f>D137-C137</f>
        <v>15</v>
      </c>
      <c r="F137" s="45" t="s">
        <v>637</v>
      </c>
      <c r="G137" s="45"/>
      <c r="H137" s="45"/>
      <c r="I137" s="45"/>
      <c r="J137" s="42"/>
      <c r="K137" s="42"/>
    </row>
    <row r="138" spans="1:11" ht="15.75" customHeight="1">
      <c r="A138" s="42" t="s">
        <v>660</v>
      </c>
      <c r="B138" s="206" t="s">
        <v>661</v>
      </c>
      <c r="C138" s="39">
        <v>43572</v>
      </c>
      <c r="D138" s="39">
        <v>43600</v>
      </c>
      <c r="E138" s="47">
        <f>D138-C138</f>
        <v>28</v>
      </c>
      <c r="F138" s="43" t="s">
        <v>0</v>
      </c>
      <c r="G138" s="45"/>
      <c r="H138" s="45"/>
      <c r="I138" s="45"/>
      <c r="J138" s="42"/>
      <c r="K138" s="42"/>
    </row>
    <row r="139" spans="1:11" ht="15.75" customHeight="1">
      <c r="A139" s="205" t="s">
        <v>426</v>
      </c>
      <c r="B139" s="206" t="s">
        <v>427</v>
      </c>
      <c r="C139" s="39">
        <v>43577</v>
      </c>
      <c r="D139" s="39">
        <v>43601</v>
      </c>
      <c r="E139" s="47">
        <f>D139-C139</f>
        <v>24</v>
      </c>
      <c r="F139" s="43" t="s">
        <v>0</v>
      </c>
      <c r="G139" s="45"/>
      <c r="H139" s="45"/>
      <c r="I139" s="45"/>
      <c r="J139" s="42"/>
      <c r="K139" s="42"/>
    </row>
    <row r="140" spans="1:11" ht="15.75" customHeight="1">
      <c r="A140" s="205" t="s">
        <v>662</v>
      </c>
      <c r="B140" s="206" t="s">
        <v>663</v>
      </c>
      <c r="C140" s="39">
        <v>43527</v>
      </c>
      <c r="D140" s="39">
        <v>43603</v>
      </c>
      <c r="E140" s="47">
        <f>D140-C140</f>
        <v>76</v>
      </c>
      <c r="F140" s="43" t="s">
        <v>664</v>
      </c>
      <c r="G140" s="153"/>
      <c r="H140" s="153"/>
      <c r="I140" s="153"/>
    </row>
    <row r="141" spans="1:11" ht="15.75" customHeight="1">
      <c r="A141" s="42" t="s">
        <v>665</v>
      </c>
      <c r="B141" s="206" t="s">
        <v>666</v>
      </c>
      <c r="C141" s="39">
        <v>43469</v>
      </c>
      <c r="D141" s="39">
        <v>43603</v>
      </c>
      <c r="E141" s="47">
        <f>D141-C141</f>
        <v>134</v>
      </c>
      <c r="F141" s="43" t="s">
        <v>0</v>
      </c>
      <c r="G141" s="153"/>
      <c r="H141" s="153"/>
      <c r="I141" s="153"/>
      <c r="K141" s="3" t="s">
        <v>667</v>
      </c>
    </row>
    <row r="142" spans="1:11" ht="15.75" customHeight="1">
      <c r="A142" s="42" t="s">
        <v>668</v>
      </c>
      <c r="B142" s="206" t="s">
        <v>669</v>
      </c>
      <c r="C142" s="39">
        <v>43587</v>
      </c>
      <c r="D142" s="39">
        <v>43604</v>
      </c>
      <c r="E142" s="47">
        <f>D142-C142</f>
        <v>17</v>
      </c>
      <c r="F142" s="43" t="s">
        <v>0</v>
      </c>
      <c r="G142" s="45"/>
      <c r="H142" s="45"/>
      <c r="I142" s="45"/>
      <c r="J142" s="42"/>
      <c r="K142" s="42"/>
    </row>
    <row r="143" spans="1:11" ht="15.75" customHeight="1">
      <c r="A143" s="205" t="s">
        <v>647</v>
      </c>
      <c r="B143" s="206" t="s">
        <v>670</v>
      </c>
      <c r="C143" s="39">
        <v>43544</v>
      </c>
      <c r="D143" s="39">
        <v>43608</v>
      </c>
      <c r="E143" s="47">
        <f>D143-C143</f>
        <v>64</v>
      </c>
      <c r="F143" s="43" t="s">
        <v>0</v>
      </c>
      <c r="G143" s="45" t="s">
        <v>671</v>
      </c>
      <c r="H143" s="45"/>
      <c r="I143" s="45"/>
      <c r="J143" s="42"/>
      <c r="K143" s="42"/>
    </row>
    <row r="144" spans="1:11" ht="15.75" customHeight="1">
      <c r="A144" s="205" t="s">
        <v>654</v>
      </c>
      <c r="B144" s="206" t="s">
        <v>655</v>
      </c>
      <c r="C144" s="39">
        <v>43605</v>
      </c>
      <c r="D144" s="39">
        <v>43610</v>
      </c>
      <c r="E144" s="47">
        <f>D144-C144</f>
        <v>5</v>
      </c>
      <c r="F144" s="43" t="s">
        <v>0</v>
      </c>
      <c r="G144" s="45" t="s">
        <v>106</v>
      </c>
      <c r="H144" s="45"/>
      <c r="I144" s="153"/>
    </row>
    <row r="145" spans="1:11" ht="15.75" customHeight="1">
      <c r="A145" s="42" t="s">
        <v>672</v>
      </c>
      <c r="B145" s="206" t="s">
        <v>673</v>
      </c>
      <c r="C145" s="39">
        <v>43544</v>
      </c>
      <c r="D145" s="39">
        <v>43610</v>
      </c>
      <c r="E145" s="47">
        <f>D145-C145</f>
        <v>66</v>
      </c>
      <c r="F145" s="43" t="s">
        <v>524</v>
      </c>
      <c r="G145" s="45" t="s">
        <v>674</v>
      </c>
      <c r="H145" s="45"/>
      <c r="I145" s="45"/>
      <c r="J145" s="42"/>
      <c r="K145" s="42"/>
    </row>
    <row r="146" spans="1:11" ht="15.75" customHeight="1">
      <c r="A146" s="205" t="s">
        <v>675</v>
      </c>
      <c r="B146" s="206" t="s">
        <v>676</v>
      </c>
      <c r="C146" s="39">
        <v>43527</v>
      </c>
      <c r="D146" s="39">
        <v>43610</v>
      </c>
      <c r="E146" s="47">
        <f>D146-C146</f>
        <v>83</v>
      </c>
      <c r="F146" s="43" t="s">
        <v>14</v>
      </c>
      <c r="G146" s="153"/>
      <c r="H146" s="153"/>
      <c r="I146" s="153"/>
    </row>
    <row r="147" spans="1:11" ht="15.75" customHeight="1">
      <c r="A147" s="42" t="s">
        <v>677</v>
      </c>
      <c r="B147" s="206" t="s">
        <v>678</v>
      </c>
      <c r="C147" s="39">
        <v>43613</v>
      </c>
      <c r="D147" s="39">
        <v>43617</v>
      </c>
      <c r="E147" s="47">
        <f>D147-C147</f>
        <v>4</v>
      </c>
      <c r="F147" s="43" t="s">
        <v>0</v>
      </c>
      <c r="G147" s="45"/>
      <c r="H147" s="45"/>
      <c r="I147" s="45"/>
      <c r="J147" s="42"/>
      <c r="K147" s="42"/>
    </row>
    <row r="148" spans="1:11" ht="15.75" customHeight="1">
      <c r="A148" s="205" t="s">
        <v>679</v>
      </c>
      <c r="B148" s="206" t="s">
        <v>680</v>
      </c>
      <c r="C148" s="39">
        <v>43594</v>
      </c>
      <c r="D148" s="39">
        <v>43617</v>
      </c>
      <c r="E148" s="47">
        <f>D148-C148</f>
        <v>23</v>
      </c>
      <c r="F148" s="43" t="s">
        <v>681</v>
      </c>
      <c r="G148" s="45"/>
      <c r="H148" s="45"/>
      <c r="I148" s="45"/>
      <c r="J148" s="42"/>
      <c r="K148" s="42"/>
    </row>
    <row r="149" spans="1:11" ht="15.75" customHeight="1">
      <c r="A149" s="42" t="s">
        <v>682</v>
      </c>
      <c r="B149" s="206" t="s">
        <v>683</v>
      </c>
      <c r="C149" s="39">
        <v>43591</v>
      </c>
      <c r="D149" s="39">
        <v>43617</v>
      </c>
      <c r="E149" s="47">
        <f>D149-C149</f>
        <v>26</v>
      </c>
      <c r="F149" s="43" t="s">
        <v>54</v>
      </c>
      <c r="G149" s="45"/>
      <c r="H149" s="45"/>
      <c r="I149" s="45"/>
      <c r="J149" s="42"/>
      <c r="K149" s="42"/>
    </row>
    <row r="150" spans="1:11" ht="15.75" customHeight="1">
      <c r="A150" s="205" t="s">
        <v>684</v>
      </c>
      <c r="B150" s="206" t="s">
        <v>685</v>
      </c>
      <c r="C150" s="39">
        <v>43548</v>
      </c>
      <c r="D150" s="39">
        <v>43617</v>
      </c>
      <c r="E150" s="47">
        <f>D150-C150</f>
        <v>69</v>
      </c>
      <c r="F150" s="45" t="s">
        <v>686</v>
      </c>
      <c r="G150" s="45"/>
      <c r="H150" s="45"/>
      <c r="I150" s="45"/>
      <c r="J150" s="42"/>
      <c r="K150" s="42"/>
    </row>
    <row r="151" spans="1:11" ht="15.75" customHeight="1">
      <c r="A151" s="42" t="s">
        <v>511</v>
      </c>
      <c r="B151" s="206" t="s">
        <v>466</v>
      </c>
      <c r="C151" s="39">
        <v>43541</v>
      </c>
      <c r="D151" s="39">
        <v>43617</v>
      </c>
      <c r="E151" s="47">
        <f>D151-C151</f>
        <v>76</v>
      </c>
      <c r="F151" s="45" t="s">
        <v>539</v>
      </c>
      <c r="G151" s="45" t="s">
        <v>628</v>
      </c>
      <c r="H151" s="45"/>
      <c r="I151" s="207"/>
      <c r="J151" s="42"/>
      <c r="K151" s="42"/>
    </row>
    <row r="152" spans="1:11" ht="15.75" customHeight="1">
      <c r="A152" s="205" t="s">
        <v>552</v>
      </c>
      <c r="B152" s="206" t="s">
        <v>553</v>
      </c>
      <c r="C152" s="39">
        <v>43561</v>
      </c>
      <c r="D152" s="39">
        <v>43618</v>
      </c>
      <c r="E152" s="47">
        <f>D152-C152</f>
        <v>57</v>
      </c>
      <c r="F152" s="45" t="s">
        <v>539</v>
      </c>
      <c r="G152" s="45" t="s">
        <v>33</v>
      </c>
      <c r="H152" s="45"/>
      <c r="I152" s="207" t="s">
        <v>455</v>
      </c>
      <c r="J152" s="42"/>
      <c r="K152" s="42"/>
    </row>
    <row r="153" spans="1:11" ht="15.75" customHeight="1">
      <c r="A153" s="205" t="s">
        <v>359</v>
      </c>
      <c r="B153" s="206" t="s">
        <v>360</v>
      </c>
      <c r="C153" s="39">
        <v>43352</v>
      </c>
      <c r="D153" s="39">
        <v>43619</v>
      </c>
      <c r="E153" s="47">
        <f>D153-C153</f>
        <v>267</v>
      </c>
      <c r="F153" s="43" t="s">
        <v>0</v>
      </c>
      <c r="G153" s="45" t="s">
        <v>33</v>
      </c>
      <c r="H153" s="45"/>
      <c r="I153" s="45"/>
      <c r="J153" s="42"/>
      <c r="K153" s="42"/>
    </row>
    <row r="154" spans="1:11" ht="15.75" customHeight="1">
      <c r="A154" s="42" t="s">
        <v>687</v>
      </c>
      <c r="B154" s="206" t="s">
        <v>688</v>
      </c>
      <c r="C154" s="39">
        <v>43568</v>
      </c>
      <c r="D154" s="39">
        <v>43622</v>
      </c>
      <c r="E154" s="47">
        <f>D154-C154</f>
        <v>54</v>
      </c>
      <c r="F154" s="43" t="s">
        <v>0</v>
      </c>
      <c r="G154" s="45" t="s">
        <v>26</v>
      </c>
      <c r="H154" s="45"/>
      <c r="I154" s="55"/>
      <c r="J154" s="56"/>
      <c r="K154" s="56"/>
    </row>
    <row r="155" spans="1:11" ht="15.75" customHeight="1">
      <c r="A155" s="42" t="s">
        <v>689</v>
      </c>
      <c r="B155" s="206" t="s">
        <v>690</v>
      </c>
      <c r="C155" s="39">
        <v>43591</v>
      </c>
      <c r="D155" s="39">
        <v>43623</v>
      </c>
      <c r="E155" s="47">
        <f>D155-C155</f>
        <v>32</v>
      </c>
      <c r="F155" s="43" t="s">
        <v>54</v>
      </c>
      <c r="G155" s="45" t="s">
        <v>1</v>
      </c>
      <c r="H155" s="45"/>
      <c r="I155" s="45"/>
      <c r="J155" s="42"/>
      <c r="K155" s="42"/>
    </row>
    <row r="156" spans="1:11" ht="15.75" customHeight="1">
      <c r="A156" s="42" t="s">
        <v>691</v>
      </c>
      <c r="B156" s="206" t="s">
        <v>691</v>
      </c>
      <c r="C156" s="39">
        <v>43550</v>
      </c>
      <c r="D156" s="39">
        <v>43624</v>
      </c>
      <c r="E156" s="47">
        <f>D156-C156</f>
        <v>74</v>
      </c>
      <c r="F156" s="43" t="s">
        <v>511</v>
      </c>
      <c r="G156" s="45"/>
      <c r="H156" s="45"/>
      <c r="I156" s="45"/>
      <c r="J156" s="42"/>
      <c r="K156" s="42"/>
    </row>
    <row r="157" spans="1:11" ht="15.75" customHeight="1">
      <c r="A157" s="205" t="s">
        <v>692</v>
      </c>
      <c r="B157" s="206" t="s">
        <v>693</v>
      </c>
      <c r="C157" s="39">
        <v>43597</v>
      </c>
      <c r="D157" s="39">
        <v>43625</v>
      </c>
      <c r="E157" s="47">
        <f>D157-C157</f>
        <v>28</v>
      </c>
      <c r="F157" s="43" t="s">
        <v>0</v>
      </c>
      <c r="G157" s="45"/>
      <c r="H157" s="45"/>
      <c r="I157" s="45"/>
      <c r="J157" s="42"/>
      <c r="K157" s="42"/>
    </row>
    <row r="158" spans="1:11" ht="15.75" customHeight="1">
      <c r="A158" s="42" t="s">
        <v>694</v>
      </c>
      <c r="B158" s="206" t="s">
        <v>695</v>
      </c>
      <c r="C158" s="39">
        <v>43386</v>
      </c>
      <c r="D158" s="39">
        <v>43625</v>
      </c>
      <c r="E158" s="47">
        <f>D158-C158</f>
        <v>239</v>
      </c>
      <c r="F158" s="207" t="s">
        <v>498</v>
      </c>
      <c r="G158" s="45" t="s">
        <v>26</v>
      </c>
      <c r="H158" s="45"/>
      <c r="I158" s="153"/>
      <c r="K158" s="3" t="s">
        <v>696</v>
      </c>
    </row>
    <row r="159" spans="1:11" ht="15.75" customHeight="1">
      <c r="A159" s="52" t="s">
        <v>496</v>
      </c>
      <c r="B159" s="209" t="s">
        <v>497</v>
      </c>
      <c r="C159" s="39">
        <v>43590</v>
      </c>
      <c r="D159" s="39">
        <v>43626</v>
      </c>
      <c r="E159" s="47">
        <f>D159-C159</f>
        <v>36</v>
      </c>
      <c r="F159" s="43" t="s">
        <v>0</v>
      </c>
      <c r="G159" s="153"/>
      <c r="H159" s="153"/>
      <c r="I159" s="153"/>
    </row>
    <row r="160" spans="1:11" ht="15.75" customHeight="1">
      <c r="A160" s="205" t="s">
        <v>697</v>
      </c>
      <c r="B160" s="206" t="s">
        <v>698</v>
      </c>
      <c r="C160" s="39">
        <v>43631</v>
      </c>
      <c r="D160" s="39">
        <v>43631</v>
      </c>
      <c r="E160" s="47">
        <f>D160-C160</f>
        <v>0</v>
      </c>
      <c r="F160" s="43" t="s">
        <v>699</v>
      </c>
      <c r="G160" s="45"/>
      <c r="H160" s="45"/>
      <c r="I160" s="45"/>
      <c r="J160" s="42"/>
      <c r="K160" s="42"/>
    </row>
    <row r="161" spans="1:11" ht="15.75" customHeight="1">
      <c r="A161" s="205" t="s">
        <v>700</v>
      </c>
      <c r="B161" s="206" t="s">
        <v>701</v>
      </c>
      <c r="C161" s="39">
        <v>43594</v>
      </c>
      <c r="D161" s="39">
        <v>43631</v>
      </c>
      <c r="E161" s="47">
        <f>D161-C161</f>
        <v>37</v>
      </c>
      <c r="F161" s="208" t="s">
        <v>702</v>
      </c>
      <c r="G161" s="45"/>
      <c r="H161" s="45"/>
      <c r="I161" s="45"/>
      <c r="J161" s="42"/>
      <c r="K161" s="42"/>
    </row>
    <row r="162" spans="1:11" ht="15.75" customHeight="1">
      <c r="A162" s="205" t="s">
        <v>703</v>
      </c>
      <c r="B162" s="206" t="s">
        <v>704</v>
      </c>
      <c r="C162" s="39">
        <v>43591</v>
      </c>
      <c r="D162" s="39">
        <v>43631</v>
      </c>
      <c r="E162" s="47">
        <f>D162-C162</f>
        <v>40</v>
      </c>
      <c r="F162" s="43" t="s">
        <v>0</v>
      </c>
      <c r="G162" s="45" t="s">
        <v>26</v>
      </c>
      <c r="H162" s="45"/>
      <c r="I162" s="45"/>
      <c r="J162" s="42"/>
      <c r="K162" s="42"/>
    </row>
    <row r="163" spans="1:11" ht="15.75" customHeight="1">
      <c r="A163" s="42" t="s">
        <v>25</v>
      </c>
      <c r="B163" s="206" t="s">
        <v>504</v>
      </c>
      <c r="C163" s="39">
        <v>43619</v>
      </c>
      <c r="D163" s="39">
        <v>43637</v>
      </c>
      <c r="E163" s="47">
        <f>D163-C163</f>
        <v>18</v>
      </c>
      <c r="F163" s="45" t="s">
        <v>506</v>
      </c>
      <c r="G163" s="45" t="s">
        <v>37</v>
      </c>
      <c r="H163" s="45"/>
      <c r="I163" s="45"/>
      <c r="J163" s="42"/>
      <c r="K163" s="42"/>
    </row>
    <row r="164" spans="1:11" ht="15.75" customHeight="1">
      <c r="A164" s="42" t="s">
        <v>705</v>
      </c>
      <c r="B164" s="206" t="s">
        <v>706</v>
      </c>
      <c r="C164" s="39">
        <v>43545</v>
      </c>
      <c r="D164" s="39">
        <v>43638</v>
      </c>
      <c r="E164" s="47">
        <f>D164-C164</f>
        <v>93</v>
      </c>
      <c r="F164" s="43" t="s">
        <v>0</v>
      </c>
      <c r="G164" s="45"/>
      <c r="H164" s="45"/>
      <c r="I164" s="45"/>
      <c r="J164" s="42"/>
      <c r="K164" s="42"/>
    </row>
    <row r="165" spans="1:11" ht="15.75" customHeight="1">
      <c r="A165" s="205" t="s">
        <v>490</v>
      </c>
      <c r="B165" s="206" t="s">
        <v>583</v>
      </c>
      <c r="C165" s="39">
        <v>43621</v>
      </c>
      <c r="D165" s="39">
        <v>43643</v>
      </c>
      <c r="E165" s="47">
        <f>D165-C165</f>
        <v>22</v>
      </c>
      <c r="F165" s="43" t="s">
        <v>707</v>
      </c>
      <c r="G165" s="45" t="s">
        <v>1</v>
      </c>
      <c r="H165" s="45"/>
      <c r="I165" s="45"/>
      <c r="J165" s="42"/>
      <c r="K165" s="42"/>
    </row>
    <row r="166" spans="1:11" ht="15.75" customHeight="1">
      <c r="A166" s="205" t="s">
        <v>708</v>
      </c>
      <c r="B166" s="206" t="s">
        <v>392</v>
      </c>
      <c r="C166" s="39">
        <v>43488</v>
      </c>
      <c r="D166" s="39">
        <v>43643</v>
      </c>
      <c r="E166" s="47">
        <f>D166-C166</f>
        <v>155</v>
      </c>
      <c r="F166" s="43" t="s">
        <v>0</v>
      </c>
      <c r="G166" s="45" t="s">
        <v>709</v>
      </c>
      <c r="H166" s="45"/>
      <c r="I166" s="153"/>
    </row>
    <row r="167" spans="1:11" ht="15.75" customHeight="1">
      <c r="A167" s="205" t="s">
        <v>710</v>
      </c>
      <c r="B167" s="206" t="s">
        <v>711</v>
      </c>
      <c r="C167" s="39">
        <v>43628</v>
      </c>
      <c r="D167" s="39">
        <v>43644</v>
      </c>
      <c r="E167" s="47">
        <f>D167-C167</f>
        <v>16</v>
      </c>
      <c r="F167" s="43" t="s">
        <v>54</v>
      </c>
      <c r="G167" s="153"/>
      <c r="H167" s="153"/>
      <c r="I167" s="153"/>
    </row>
    <row r="168" spans="1:11" ht="15.75" customHeight="1">
      <c r="A168" s="57" t="s">
        <v>712</v>
      </c>
      <c r="B168" s="211" t="s">
        <v>713</v>
      </c>
      <c r="C168" s="39">
        <v>43630</v>
      </c>
      <c r="D168" s="39">
        <v>43645</v>
      </c>
      <c r="E168" s="47">
        <f>D168-C168</f>
        <v>15</v>
      </c>
      <c r="F168" s="45" t="s">
        <v>714</v>
      </c>
      <c r="G168" s="45"/>
      <c r="H168" s="45"/>
      <c r="I168" s="45"/>
      <c r="J168" s="42"/>
      <c r="K168" s="42"/>
    </row>
    <row r="169" spans="1:11" ht="15.75" customHeight="1">
      <c r="A169" s="42" t="s">
        <v>506</v>
      </c>
      <c r="B169" s="206" t="s">
        <v>507</v>
      </c>
      <c r="C169" s="39">
        <v>43619</v>
      </c>
      <c r="D169" s="39">
        <v>43645</v>
      </c>
      <c r="E169" s="47">
        <f>D169-C169</f>
        <v>26</v>
      </c>
      <c r="F169" s="43" t="s">
        <v>0</v>
      </c>
      <c r="G169" s="45" t="s">
        <v>26</v>
      </c>
      <c r="H169" s="45"/>
      <c r="I169" s="153"/>
    </row>
    <row r="170" spans="1:11" ht="15.75" customHeight="1">
      <c r="A170" s="42" t="s">
        <v>715</v>
      </c>
      <c r="B170" s="206" t="s">
        <v>716</v>
      </c>
      <c r="C170" s="39">
        <v>43512</v>
      </c>
      <c r="D170" s="39">
        <v>43645</v>
      </c>
      <c r="E170" s="47">
        <f>D170-C170</f>
        <v>133</v>
      </c>
      <c r="F170" s="208" t="s">
        <v>624</v>
      </c>
      <c r="G170" s="45"/>
      <c r="H170" s="45"/>
      <c r="I170" s="45"/>
      <c r="J170" s="42"/>
      <c r="K170" s="42"/>
    </row>
    <row r="171" spans="1:11" ht="15.75" customHeight="1">
      <c r="A171" s="42" t="s">
        <v>717</v>
      </c>
      <c r="B171" s="206" t="s">
        <v>718</v>
      </c>
      <c r="C171" s="39">
        <v>43575</v>
      </c>
      <c r="D171" s="39">
        <v>43653</v>
      </c>
      <c r="E171" s="47">
        <f>D171-C171</f>
        <v>78</v>
      </c>
      <c r="F171" s="43" t="s">
        <v>54</v>
      </c>
      <c r="G171" s="153"/>
      <c r="H171" s="153"/>
      <c r="I171" s="153"/>
    </row>
    <row r="172" spans="1:11" ht="15.75" customHeight="1">
      <c r="A172" s="42" t="s">
        <v>719</v>
      </c>
      <c r="B172" s="206" t="s">
        <v>719</v>
      </c>
      <c r="C172" s="39">
        <v>43548</v>
      </c>
      <c r="D172" s="39">
        <v>43657</v>
      </c>
      <c r="E172" s="47">
        <f>D172-C172</f>
        <v>109</v>
      </c>
      <c r="F172" s="207" t="s">
        <v>647</v>
      </c>
      <c r="G172" s="45" t="s">
        <v>720</v>
      </c>
      <c r="H172" s="45"/>
      <c r="I172" s="45"/>
      <c r="J172" s="42"/>
      <c r="K172" s="42"/>
    </row>
    <row r="173" spans="1:11" ht="15.75" customHeight="1">
      <c r="A173" s="42" t="s">
        <v>721</v>
      </c>
      <c r="B173" s="206" t="s">
        <v>722</v>
      </c>
      <c r="C173" s="39">
        <v>43632</v>
      </c>
      <c r="D173" s="39">
        <v>43659</v>
      </c>
      <c r="E173" s="47">
        <f>D173-C173</f>
        <v>27</v>
      </c>
      <c r="F173" s="45" t="s">
        <v>723</v>
      </c>
      <c r="G173" s="45" t="s">
        <v>26</v>
      </c>
      <c r="H173" s="45"/>
      <c r="I173" s="45"/>
      <c r="J173" s="42"/>
      <c r="K173" s="42"/>
    </row>
    <row r="174" spans="1:11" ht="15.75" customHeight="1">
      <c r="A174" s="42" t="s">
        <v>724</v>
      </c>
      <c r="B174" s="206" t="s">
        <v>725</v>
      </c>
      <c r="C174" s="39">
        <v>43620</v>
      </c>
      <c r="D174" s="39">
        <v>43659</v>
      </c>
      <c r="E174" s="47">
        <f>D174-C174</f>
        <v>39</v>
      </c>
      <c r="F174" s="43" t="s">
        <v>0</v>
      </c>
      <c r="G174" s="45" t="s">
        <v>471</v>
      </c>
      <c r="H174" s="45"/>
      <c r="I174" s="45"/>
      <c r="J174" s="42"/>
      <c r="K174" s="42"/>
    </row>
    <row r="175" spans="1:11" ht="15.75" customHeight="1">
      <c r="A175" s="42" t="s">
        <v>726</v>
      </c>
      <c r="B175" s="206" t="s">
        <v>727</v>
      </c>
      <c r="C175" s="39">
        <v>43617</v>
      </c>
      <c r="D175" s="39">
        <v>43659</v>
      </c>
      <c r="E175" s="47">
        <f>D175-C175</f>
        <v>42</v>
      </c>
      <c r="F175" s="208" t="s">
        <v>728</v>
      </c>
      <c r="G175" s="45" t="s">
        <v>1</v>
      </c>
      <c r="H175" s="45"/>
      <c r="I175" s="45" t="s">
        <v>729</v>
      </c>
      <c r="J175" s="42"/>
      <c r="K175" s="42"/>
    </row>
    <row r="176" spans="1:11" ht="15.75" customHeight="1">
      <c r="A176" s="42" t="s">
        <v>730</v>
      </c>
      <c r="B176" s="206" t="s">
        <v>731</v>
      </c>
      <c r="C176" s="39">
        <v>43502</v>
      </c>
      <c r="D176" s="39">
        <v>43659</v>
      </c>
      <c r="E176" s="47">
        <f>D176-C176</f>
        <v>157</v>
      </c>
      <c r="F176" s="43" t="s">
        <v>0</v>
      </c>
      <c r="G176" s="45" t="s">
        <v>33</v>
      </c>
      <c r="H176" s="45"/>
      <c r="I176" s="45"/>
      <c r="J176" s="42"/>
      <c r="K176" s="42"/>
    </row>
    <row r="177" spans="1:11" ht="15.75" customHeight="1">
      <c r="A177" s="42" t="s">
        <v>549</v>
      </c>
      <c r="B177" s="206" t="s">
        <v>549</v>
      </c>
      <c r="C177" s="39">
        <v>43477</v>
      </c>
      <c r="D177" s="39">
        <v>43659</v>
      </c>
      <c r="E177" s="47">
        <f>D177-C177</f>
        <v>182</v>
      </c>
      <c r="F177" s="45" t="s">
        <v>481</v>
      </c>
      <c r="G177" s="45"/>
      <c r="H177" s="45"/>
      <c r="I177" s="45"/>
      <c r="J177" s="42"/>
      <c r="K177" s="42"/>
    </row>
    <row r="178" spans="1:11" ht="15.75" customHeight="1">
      <c r="A178" s="57" t="s">
        <v>732</v>
      </c>
      <c r="B178" s="206" t="s">
        <v>733</v>
      </c>
      <c r="C178" s="39">
        <v>43665</v>
      </c>
      <c r="D178" s="39">
        <v>43666</v>
      </c>
      <c r="E178" s="47">
        <f>D178-C178</f>
        <v>1</v>
      </c>
      <c r="F178" s="43" t="s">
        <v>734</v>
      </c>
      <c r="G178" s="153"/>
      <c r="H178" s="153"/>
      <c r="I178" s="153"/>
    </row>
    <row r="179" spans="1:11" ht="15.75" customHeight="1">
      <c r="A179" s="205" t="s">
        <v>735</v>
      </c>
      <c r="B179" s="206" t="s">
        <v>736</v>
      </c>
      <c r="C179" s="39">
        <v>43576</v>
      </c>
      <c r="D179" s="39">
        <v>43666</v>
      </c>
      <c r="E179" s="47">
        <f>D179-C179</f>
        <v>90</v>
      </c>
      <c r="F179" s="43" t="s">
        <v>0</v>
      </c>
      <c r="G179" s="45" t="s">
        <v>1</v>
      </c>
      <c r="H179" s="45"/>
      <c r="I179" s="45"/>
      <c r="J179" s="42"/>
      <c r="K179" s="42"/>
    </row>
    <row r="180" spans="1:11" ht="15.75" customHeight="1">
      <c r="A180" s="205" t="s">
        <v>737</v>
      </c>
      <c r="B180" s="206" t="s">
        <v>738</v>
      </c>
      <c r="C180" s="39">
        <v>43544</v>
      </c>
      <c r="D180" s="39">
        <v>43666</v>
      </c>
      <c r="E180" s="47">
        <f>D180-C180</f>
        <v>122</v>
      </c>
      <c r="F180" s="43" t="s">
        <v>524</v>
      </c>
      <c r="G180" s="45" t="s">
        <v>1</v>
      </c>
      <c r="H180" s="45"/>
      <c r="I180" s="45" t="s">
        <v>739</v>
      </c>
      <c r="J180" s="42"/>
      <c r="K180" s="42"/>
    </row>
    <row r="181" spans="1:11" ht="15.75" customHeight="1">
      <c r="A181" s="42" t="s">
        <v>740</v>
      </c>
      <c r="B181" s="206" t="s">
        <v>741</v>
      </c>
      <c r="C181" s="39">
        <v>43398</v>
      </c>
      <c r="D181" s="39">
        <v>43666</v>
      </c>
      <c r="E181" s="47">
        <f>D181-C181</f>
        <v>268</v>
      </c>
      <c r="F181" s="43" t="s">
        <v>464</v>
      </c>
      <c r="G181" s="45" t="s">
        <v>33</v>
      </c>
      <c r="H181" s="45"/>
      <c r="I181" s="207" t="s">
        <v>455</v>
      </c>
      <c r="J181" s="42"/>
      <c r="K181" s="42"/>
    </row>
    <row r="182" spans="1:11" ht="15.75" customHeight="1">
      <c r="A182" s="205" t="s">
        <v>652</v>
      </c>
      <c r="B182" s="209">
        <v>1373757850</v>
      </c>
      <c r="C182" s="39">
        <v>43620</v>
      </c>
      <c r="D182" s="39">
        <v>43667</v>
      </c>
      <c r="E182" s="47">
        <f>D182-C182</f>
        <v>47</v>
      </c>
      <c r="F182" s="43" t="s">
        <v>0</v>
      </c>
      <c r="G182" s="45" t="s">
        <v>225</v>
      </c>
      <c r="H182" s="45"/>
      <c r="I182" s="45"/>
      <c r="J182" s="42"/>
      <c r="K182" s="42"/>
    </row>
    <row r="183" spans="1:11" ht="15.75" customHeight="1">
      <c r="A183" s="42" t="s">
        <v>742</v>
      </c>
      <c r="B183" s="206" t="s">
        <v>743</v>
      </c>
      <c r="C183" s="39">
        <v>43539</v>
      </c>
      <c r="D183" s="39">
        <v>43673</v>
      </c>
      <c r="E183" s="47">
        <f>D183-C183</f>
        <v>134</v>
      </c>
      <c r="F183" s="208" t="s">
        <v>641</v>
      </c>
      <c r="G183" s="45" t="s">
        <v>744</v>
      </c>
      <c r="H183" s="45"/>
      <c r="I183" s="45"/>
      <c r="J183" s="42"/>
      <c r="K183" s="42"/>
    </row>
    <row r="184" spans="1:11" ht="15.75" customHeight="1">
      <c r="A184" s="42" t="s">
        <v>745</v>
      </c>
      <c r="B184" s="206" t="s">
        <v>746</v>
      </c>
      <c r="C184" s="39">
        <v>43345</v>
      </c>
      <c r="D184" s="39">
        <v>43673</v>
      </c>
      <c r="E184" s="47">
        <f>D184-C184</f>
        <v>328</v>
      </c>
      <c r="F184" s="43" t="s">
        <v>0</v>
      </c>
      <c r="G184" s="153"/>
      <c r="H184" s="153"/>
      <c r="I184" s="153"/>
    </row>
    <row r="185" spans="1:11" ht="15.75" customHeight="1">
      <c r="A185" s="42" t="s">
        <v>747</v>
      </c>
      <c r="B185" s="206" t="s">
        <v>748</v>
      </c>
      <c r="C185" s="39">
        <v>43619</v>
      </c>
      <c r="D185" s="39">
        <v>43674</v>
      </c>
      <c r="E185" s="47">
        <f>D185-C185</f>
        <v>55</v>
      </c>
      <c r="F185" s="43" t="s">
        <v>0</v>
      </c>
      <c r="G185" s="45"/>
      <c r="H185" s="45"/>
      <c r="I185" s="45"/>
      <c r="J185" s="42"/>
      <c r="K185" s="42"/>
    </row>
    <row r="186" spans="1:11" ht="15.75" customHeight="1">
      <c r="A186" s="205" t="s">
        <v>749</v>
      </c>
      <c r="B186" s="206" t="s">
        <v>750</v>
      </c>
      <c r="C186" s="39">
        <v>43632</v>
      </c>
      <c r="D186" s="39">
        <v>43680</v>
      </c>
      <c r="E186" s="47">
        <f>D186-C186</f>
        <v>48</v>
      </c>
      <c r="F186" s="43" t="s">
        <v>0</v>
      </c>
      <c r="G186" s="45" t="s">
        <v>751</v>
      </c>
      <c r="H186" s="45"/>
      <c r="I186" s="45"/>
      <c r="J186" s="42"/>
      <c r="K186" s="42"/>
    </row>
    <row r="187" spans="1:11" ht="15.75" customHeight="1">
      <c r="A187" s="57" t="s">
        <v>752</v>
      </c>
      <c r="B187" s="209" t="s">
        <v>753</v>
      </c>
      <c r="C187" s="39">
        <v>43622</v>
      </c>
      <c r="D187" s="39">
        <v>43681</v>
      </c>
      <c r="E187" s="47">
        <f>D187-C187</f>
        <v>59</v>
      </c>
      <c r="F187" s="43" t="s">
        <v>0</v>
      </c>
      <c r="G187" s="45" t="s">
        <v>1</v>
      </c>
      <c r="H187" s="45"/>
      <c r="I187" s="45"/>
      <c r="J187" s="42"/>
      <c r="K187" s="42"/>
    </row>
    <row r="188" spans="1:11" ht="15.75" customHeight="1">
      <c r="A188" s="205" t="s">
        <v>754</v>
      </c>
      <c r="B188" s="206" t="s">
        <v>755</v>
      </c>
      <c r="C188" s="39">
        <v>43618</v>
      </c>
      <c r="D188" s="39">
        <v>43682</v>
      </c>
      <c r="E188" s="47">
        <f>D188-C188</f>
        <v>64</v>
      </c>
      <c r="F188" s="43" t="s">
        <v>54</v>
      </c>
      <c r="G188" s="45"/>
      <c r="H188" s="45"/>
      <c r="I188" s="45"/>
      <c r="J188" s="42"/>
      <c r="K188" s="42"/>
    </row>
    <row r="189" spans="1:11" ht="15.75" customHeight="1">
      <c r="A189" s="42" t="s">
        <v>599</v>
      </c>
      <c r="B189" s="206" t="s">
        <v>600</v>
      </c>
      <c r="C189" s="39">
        <v>43638</v>
      </c>
      <c r="D189" s="39">
        <v>43687</v>
      </c>
      <c r="E189" s="47">
        <f>D189-C189</f>
        <v>49</v>
      </c>
      <c r="F189" s="43" t="s">
        <v>0</v>
      </c>
      <c r="G189" s="45"/>
      <c r="H189" s="45"/>
      <c r="I189" s="45"/>
      <c r="J189" s="42"/>
      <c r="K189" s="42"/>
    </row>
    <row r="190" spans="1:11" ht="15.75" customHeight="1">
      <c r="A190" s="205" t="s">
        <v>756</v>
      </c>
      <c r="B190" s="206" t="s">
        <v>757</v>
      </c>
      <c r="C190" s="39">
        <v>43579</v>
      </c>
      <c r="D190" s="39">
        <v>43689</v>
      </c>
      <c r="E190" s="47">
        <f>D190-C190</f>
        <v>110</v>
      </c>
      <c r="F190" s="43" t="s">
        <v>0</v>
      </c>
      <c r="G190" s="45" t="s">
        <v>487</v>
      </c>
      <c r="H190" s="45"/>
      <c r="I190" s="207" t="s">
        <v>455</v>
      </c>
      <c r="J190" s="42"/>
      <c r="K190" s="42"/>
    </row>
    <row r="191" spans="1:11" ht="15.75" customHeight="1">
      <c r="A191" s="57" t="s">
        <v>758</v>
      </c>
      <c r="B191" s="206" t="s">
        <v>759</v>
      </c>
      <c r="C191" s="39">
        <v>43673</v>
      </c>
      <c r="D191" s="39">
        <v>43694</v>
      </c>
      <c r="E191" s="47">
        <f>D191-C191</f>
        <v>21</v>
      </c>
      <c r="F191" s="208" t="s">
        <v>624</v>
      </c>
      <c r="G191" s="45"/>
      <c r="H191" s="45"/>
      <c r="I191" s="55"/>
      <c r="J191" s="56"/>
      <c r="K191" s="56"/>
    </row>
    <row r="192" spans="1:11" ht="15.75" customHeight="1">
      <c r="A192" s="42" t="s">
        <v>760</v>
      </c>
      <c r="B192" s="206" t="s">
        <v>761</v>
      </c>
      <c r="C192" s="39">
        <v>43602</v>
      </c>
      <c r="D192" s="39">
        <v>43694</v>
      </c>
      <c r="E192" s="47">
        <f>D192-C192</f>
        <v>92</v>
      </c>
      <c r="F192" s="43" t="s">
        <v>0</v>
      </c>
      <c r="G192" s="45"/>
      <c r="H192" s="45"/>
      <c r="I192" s="45" t="s">
        <v>762</v>
      </c>
      <c r="J192" s="210" t="s">
        <v>763</v>
      </c>
    </row>
    <row r="193" spans="1:11" ht="15.75" customHeight="1">
      <c r="A193" s="42" t="s">
        <v>764</v>
      </c>
      <c r="B193" s="206" t="s">
        <v>765</v>
      </c>
      <c r="C193" s="39">
        <v>43578</v>
      </c>
      <c r="D193" s="39">
        <v>43694</v>
      </c>
      <c r="E193" s="47">
        <f>D193-C193</f>
        <v>116</v>
      </c>
      <c r="F193" s="43" t="s">
        <v>0</v>
      </c>
      <c r="G193" s="45" t="s">
        <v>487</v>
      </c>
      <c r="H193" s="45"/>
      <c r="I193" s="55"/>
      <c r="J193" s="56"/>
      <c r="K193" s="56"/>
    </row>
    <row r="194" spans="1:11" ht="15.75" customHeight="1">
      <c r="A194" s="205" t="s">
        <v>766</v>
      </c>
      <c r="B194" s="206" t="s">
        <v>767</v>
      </c>
      <c r="C194" s="39">
        <v>43688</v>
      </c>
      <c r="D194" s="39">
        <v>43695</v>
      </c>
      <c r="E194" s="47">
        <f>D194-C194</f>
        <v>7</v>
      </c>
      <c r="F194" s="43" t="s">
        <v>54</v>
      </c>
      <c r="G194" s="45"/>
      <c r="H194" s="45"/>
      <c r="I194" s="45"/>
      <c r="J194" s="42"/>
      <c r="K194" s="42"/>
    </row>
    <row r="195" spans="1:11" ht="15.75" customHeight="1">
      <c r="A195" s="205" t="s">
        <v>768</v>
      </c>
      <c r="B195" s="206" t="s">
        <v>769</v>
      </c>
      <c r="C195" s="39">
        <v>43682</v>
      </c>
      <c r="D195" s="39">
        <v>43695</v>
      </c>
      <c r="E195" s="47">
        <f>D195-C195</f>
        <v>13</v>
      </c>
      <c r="F195" s="208" t="s">
        <v>770</v>
      </c>
      <c r="G195" s="45"/>
      <c r="H195" s="45"/>
      <c r="I195" s="45"/>
      <c r="J195" s="42"/>
      <c r="K195" s="42"/>
    </row>
    <row r="196" spans="1:11" ht="15.75" customHeight="1">
      <c r="A196" s="42" t="s">
        <v>54</v>
      </c>
      <c r="B196" s="206" t="s">
        <v>771</v>
      </c>
      <c r="C196" s="39">
        <v>43544</v>
      </c>
      <c r="D196" s="39">
        <v>43695</v>
      </c>
      <c r="E196" s="47">
        <f>D196-C196</f>
        <v>151</v>
      </c>
      <c r="F196" s="43" t="s">
        <v>0</v>
      </c>
      <c r="I196" s="45" t="s">
        <v>772</v>
      </c>
      <c r="J196" s="42"/>
      <c r="K196" s="42"/>
    </row>
    <row r="197" spans="1:11" ht="15.75" customHeight="1">
      <c r="A197" s="57" t="s">
        <v>773</v>
      </c>
      <c r="B197" s="206" t="s">
        <v>774</v>
      </c>
      <c r="C197" s="39">
        <v>43653</v>
      </c>
      <c r="D197" s="39">
        <v>43697</v>
      </c>
      <c r="E197" s="47">
        <f>D197-C197</f>
        <v>44</v>
      </c>
      <c r="F197" s="43" t="s">
        <v>0</v>
      </c>
      <c r="G197" s="45" t="s">
        <v>312</v>
      </c>
      <c r="H197" s="45"/>
      <c r="I197" s="45"/>
      <c r="J197" s="42"/>
      <c r="K197" s="42"/>
    </row>
    <row r="198" spans="1:11" ht="15.75" customHeight="1">
      <c r="A198" s="57" t="s">
        <v>775</v>
      </c>
      <c r="B198" s="206" t="s">
        <v>776</v>
      </c>
      <c r="C198" s="39">
        <v>43668</v>
      </c>
      <c r="D198" s="39">
        <v>43698</v>
      </c>
      <c r="E198" s="47">
        <f>D198-C198</f>
        <v>30</v>
      </c>
      <c r="F198" s="43" t="s">
        <v>777</v>
      </c>
      <c r="G198" s="45"/>
      <c r="H198" s="45"/>
      <c r="I198" s="45"/>
      <c r="J198" s="42"/>
      <c r="K198" s="42"/>
    </row>
    <row r="199" spans="1:11" ht="15.75" customHeight="1">
      <c r="A199" s="42" t="s">
        <v>778</v>
      </c>
      <c r="B199" s="206" t="s">
        <v>779</v>
      </c>
      <c r="C199" s="39">
        <v>43618</v>
      </c>
      <c r="D199" s="39">
        <v>43699</v>
      </c>
      <c r="E199" s="47">
        <f>D199-C199</f>
        <v>81</v>
      </c>
      <c r="F199" s="43" t="s">
        <v>17</v>
      </c>
      <c r="G199" s="45"/>
      <c r="H199" s="45"/>
      <c r="I199" s="45"/>
      <c r="J199" s="42"/>
      <c r="K199" s="42"/>
    </row>
    <row r="200" spans="1:11" ht="15.75" customHeight="1">
      <c r="A200" s="57" t="s">
        <v>780</v>
      </c>
      <c r="B200" s="209" t="s">
        <v>781</v>
      </c>
      <c r="C200" s="39">
        <v>43624</v>
      </c>
      <c r="D200" s="39">
        <v>43700</v>
      </c>
      <c r="E200" s="47">
        <f>D200-C200</f>
        <v>76</v>
      </c>
      <c r="F200" s="43" t="s">
        <v>782</v>
      </c>
      <c r="I200" s="45" t="s">
        <v>783</v>
      </c>
      <c r="J200" s="42"/>
      <c r="K200" s="42"/>
    </row>
    <row r="201" spans="1:11" ht="15.75" customHeight="1">
      <c r="A201" s="205" t="s">
        <v>784</v>
      </c>
      <c r="B201" s="206" t="s">
        <v>785</v>
      </c>
      <c r="C201" s="39">
        <v>43587</v>
      </c>
      <c r="D201" s="39">
        <v>43700</v>
      </c>
      <c r="E201" s="47">
        <f>D201-C201</f>
        <v>113</v>
      </c>
      <c r="F201" s="43" t="s">
        <v>0</v>
      </c>
      <c r="G201" s="45" t="s">
        <v>1</v>
      </c>
      <c r="H201" s="45"/>
      <c r="I201" s="45"/>
      <c r="J201" s="42"/>
      <c r="K201" s="42"/>
    </row>
    <row r="202" spans="1:11" ht="15.75" customHeight="1">
      <c r="A202" s="57" t="s">
        <v>786</v>
      </c>
      <c r="B202" s="206" t="s">
        <v>787</v>
      </c>
      <c r="C202" s="39">
        <v>43685</v>
      </c>
      <c r="D202" s="39">
        <v>43701</v>
      </c>
      <c r="E202" s="47">
        <f>D202-C202</f>
        <v>16</v>
      </c>
      <c r="F202" s="43" t="s">
        <v>788</v>
      </c>
      <c r="G202" s="45" t="s">
        <v>1</v>
      </c>
      <c r="H202" s="45"/>
      <c r="I202" s="45"/>
      <c r="J202" s="42"/>
      <c r="K202" s="42"/>
    </row>
    <row r="203" spans="1:11" ht="15.75" customHeight="1">
      <c r="A203" s="57" t="s">
        <v>789</v>
      </c>
      <c r="B203" s="209" t="s">
        <v>790</v>
      </c>
      <c r="C203" s="39">
        <v>43626</v>
      </c>
      <c r="D203" s="39">
        <v>43701</v>
      </c>
      <c r="E203" s="47">
        <f>D203-C203</f>
        <v>75</v>
      </c>
      <c r="F203" s="43" t="s">
        <v>54</v>
      </c>
      <c r="G203" s="45"/>
      <c r="H203" s="45"/>
      <c r="I203" s="45"/>
      <c r="J203" s="42"/>
      <c r="K203" s="42"/>
    </row>
    <row r="204" spans="1:11" ht="15.75" customHeight="1">
      <c r="A204" s="42" t="s">
        <v>707</v>
      </c>
      <c r="B204" s="206" t="s">
        <v>791</v>
      </c>
      <c r="C204" s="39">
        <v>43361</v>
      </c>
      <c r="D204" s="39">
        <v>43702</v>
      </c>
      <c r="E204" s="47">
        <f>D204-C204</f>
        <v>341</v>
      </c>
      <c r="F204" s="43" t="s">
        <v>0</v>
      </c>
      <c r="G204" s="45" t="s">
        <v>792</v>
      </c>
      <c r="H204" s="45"/>
      <c r="I204" s="45"/>
      <c r="J204" s="42"/>
      <c r="K204" s="53" t="s">
        <v>793</v>
      </c>
    </row>
    <row r="205" spans="1:11" ht="15.75" customHeight="1">
      <c r="A205" s="205" t="s">
        <v>794</v>
      </c>
      <c r="B205" s="206" t="s">
        <v>795</v>
      </c>
      <c r="C205" s="39">
        <v>43620</v>
      </c>
      <c r="D205" s="39">
        <v>43703</v>
      </c>
      <c r="E205" s="47">
        <f>D205-C205</f>
        <v>83</v>
      </c>
      <c r="F205" s="45" t="s">
        <v>764</v>
      </c>
      <c r="G205" s="45" t="s">
        <v>1</v>
      </c>
      <c r="H205" s="45"/>
      <c r="I205" s="45"/>
      <c r="J205" s="42"/>
      <c r="K205" s="42"/>
    </row>
    <row r="206" spans="1:11" ht="15.75" customHeight="1">
      <c r="A206" s="205" t="s">
        <v>796</v>
      </c>
      <c r="B206" s="206" t="s">
        <v>797</v>
      </c>
      <c r="C206" s="39">
        <v>43640</v>
      </c>
      <c r="D206" s="39">
        <v>43708</v>
      </c>
      <c r="E206" s="47">
        <f>D206-C206</f>
        <v>68</v>
      </c>
      <c r="F206" s="207" t="s">
        <v>737</v>
      </c>
      <c r="G206" s="45"/>
      <c r="H206" s="45"/>
      <c r="I206" s="45"/>
      <c r="J206" s="42"/>
      <c r="K206" s="42"/>
    </row>
    <row r="207" spans="1:11" ht="15.75" customHeight="1">
      <c r="A207" s="52" t="s">
        <v>798</v>
      </c>
      <c r="B207" s="209" t="s">
        <v>798</v>
      </c>
      <c r="C207" s="39">
        <v>43622</v>
      </c>
      <c r="D207" s="39">
        <v>43708</v>
      </c>
      <c r="E207" s="47">
        <f>D207-C207</f>
        <v>86</v>
      </c>
      <c r="F207" s="207" t="s">
        <v>301</v>
      </c>
      <c r="G207" s="45"/>
      <c r="H207" s="45"/>
      <c r="I207" s="45"/>
      <c r="J207" s="42"/>
      <c r="K207" s="42"/>
    </row>
    <row r="208" spans="1:11" ht="15.75" customHeight="1">
      <c r="A208" s="205" t="s">
        <v>799</v>
      </c>
      <c r="B208" s="206" t="s">
        <v>800</v>
      </c>
      <c r="C208" s="39">
        <v>43630</v>
      </c>
      <c r="D208" s="39">
        <v>43709</v>
      </c>
      <c r="E208" s="47">
        <f>D208-C208</f>
        <v>79</v>
      </c>
      <c r="F208" s="43" t="s">
        <v>0</v>
      </c>
      <c r="G208" s="45"/>
      <c r="H208" s="45"/>
      <c r="I208" s="45"/>
      <c r="J208" s="42"/>
      <c r="K208" s="42"/>
    </row>
    <row r="209" spans="1:11" ht="15.75" customHeight="1">
      <c r="A209" s="57" t="s">
        <v>715</v>
      </c>
      <c r="B209" s="206" t="s">
        <v>801</v>
      </c>
      <c r="C209" s="39">
        <v>43647</v>
      </c>
      <c r="D209" s="40">
        <v>43710</v>
      </c>
      <c r="E209" s="41">
        <f>D209-C209</f>
        <v>63</v>
      </c>
      <c r="F209" s="43" t="s">
        <v>0</v>
      </c>
      <c r="G209" s="45"/>
      <c r="H209" s="45"/>
      <c r="I209" s="45"/>
      <c r="J209" s="42"/>
      <c r="K209" s="42"/>
    </row>
    <row r="210" spans="1:11" ht="15.75" customHeight="1">
      <c r="A210" s="205" t="s">
        <v>301</v>
      </c>
      <c r="B210" s="206" t="s">
        <v>303</v>
      </c>
      <c r="C210" s="39">
        <v>43522</v>
      </c>
      <c r="D210" s="40">
        <v>43710</v>
      </c>
      <c r="E210" s="41">
        <f>D210-C210</f>
        <v>188</v>
      </c>
      <c r="F210" s="45" t="s">
        <v>493</v>
      </c>
      <c r="G210" s="45"/>
      <c r="H210" s="45"/>
      <c r="I210" s="45"/>
      <c r="J210" s="42"/>
      <c r="K210" s="42"/>
    </row>
    <row r="211" spans="1:11" ht="15.75" customHeight="1">
      <c r="A211" s="42" t="s">
        <v>782</v>
      </c>
      <c r="B211" s="206" t="s">
        <v>802</v>
      </c>
      <c r="C211" s="39">
        <v>43598</v>
      </c>
      <c r="D211" s="39">
        <v>43712</v>
      </c>
      <c r="E211" s="47">
        <f>D211-C211</f>
        <v>114</v>
      </c>
      <c r="F211" s="43" t="s">
        <v>646</v>
      </c>
      <c r="G211" s="45" t="s">
        <v>26</v>
      </c>
      <c r="H211" s="45"/>
      <c r="I211" s="45"/>
      <c r="J211" s="42"/>
      <c r="K211" s="42"/>
    </row>
    <row r="212" spans="1:11" ht="15.75" customHeight="1">
      <c r="A212" s="205" t="s">
        <v>803</v>
      </c>
      <c r="B212" s="206" t="s">
        <v>804</v>
      </c>
      <c r="C212" s="39">
        <v>43524</v>
      </c>
      <c r="D212" s="39">
        <v>43712</v>
      </c>
      <c r="E212" s="47">
        <f>D212-C212</f>
        <v>188</v>
      </c>
      <c r="F212" s="43" t="s">
        <v>0</v>
      </c>
      <c r="G212" s="45" t="s">
        <v>805</v>
      </c>
      <c r="H212" s="45"/>
      <c r="I212" s="45"/>
      <c r="J212" s="42"/>
      <c r="K212" s="42"/>
    </row>
    <row r="213" spans="1:11" ht="15.75" customHeight="1">
      <c r="A213" s="205" t="s">
        <v>806</v>
      </c>
      <c r="B213" s="206" t="s">
        <v>807</v>
      </c>
      <c r="C213" s="39">
        <v>43688</v>
      </c>
      <c r="D213" s="39">
        <v>43715</v>
      </c>
      <c r="E213" s="47">
        <f>D213-C213</f>
        <v>27</v>
      </c>
      <c r="F213" s="43" t="s">
        <v>54</v>
      </c>
      <c r="G213" s="45"/>
      <c r="H213" s="45"/>
      <c r="I213" s="45"/>
      <c r="J213" s="42"/>
      <c r="K213" s="42"/>
    </row>
    <row r="214" spans="1:11" ht="15.75" customHeight="1">
      <c r="A214" s="42" t="s">
        <v>808</v>
      </c>
      <c r="B214" s="206" t="s">
        <v>809</v>
      </c>
      <c r="C214" s="39">
        <v>43702</v>
      </c>
      <c r="D214" s="40">
        <v>43722</v>
      </c>
      <c r="E214" s="41">
        <f>D214-C214</f>
        <v>20</v>
      </c>
      <c r="F214" s="43" t="s">
        <v>810</v>
      </c>
      <c r="G214" s="45"/>
      <c r="H214" s="45"/>
      <c r="I214" s="45"/>
      <c r="J214" s="42"/>
      <c r="K214" s="42"/>
    </row>
    <row r="215" spans="1:11" ht="15.75" customHeight="1">
      <c r="A215" s="205" t="s">
        <v>811</v>
      </c>
      <c r="B215" s="206" t="s">
        <v>812</v>
      </c>
      <c r="C215" s="39">
        <v>43666</v>
      </c>
      <c r="D215" s="40">
        <v>43722</v>
      </c>
      <c r="E215" s="41">
        <f>D215-C215</f>
        <v>56</v>
      </c>
      <c r="F215" s="45" t="s">
        <v>813</v>
      </c>
      <c r="G215" s="45"/>
      <c r="H215" s="45"/>
      <c r="I215" s="45"/>
      <c r="J215" s="42"/>
      <c r="K215" s="42"/>
    </row>
    <row r="216" spans="1:11" ht="15.75" customHeight="1">
      <c r="A216" s="205" t="s">
        <v>814</v>
      </c>
      <c r="B216" s="209" t="s">
        <v>815</v>
      </c>
      <c r="C216" s="39">
        <v>43712</v>
      </c>
      <c r="D216" s="39">
        <v>43727</v>
      </c>
      <c r="E216" s="41">
        <f>D216-C216</f>
        <v>15</v>
      </c>
      <c r="F216" s="208" t="s">
        <v>816</v>
      </c>
      <c r="G216" s="45" t="s">
        <v>43</v>
      </c>
      <c r="H216" s="45"/>
      <c r="I216" s="55" t="s">
        <v>817</v>
      </c>
      <c r="J216" s="56"/>
      <c r="K216" s="56"/>
    </row>
    <row r="217" spans="1:11" ht="15.75" customHeight="1">
      <c r="A217" s="205" t="s">
        <v>818</v>
      </c>
      <c r="B217" s="209" t="s">
        <v>819</v>
      </c>
      <c r="C217" s="39">
        <v>43713</v>
      </c>
      <c r="D217" s="39">
        <v>43728</v>
      </c>
      <c r="E217" s="47">
        <f>D217-C217</f>
        <v>15</v>
      </c>
      <c r="F217" s="43" t="s">
        <v>820</v>
      </c>
      <c r="G217" s="153"/>
      <c r="H217" s="153"/>
      <c r="I217" s="153"/>
    </row>
    <row r="218" spans="1:11" ht="15.75" customHeight="1">
      <c r="A218" s="205" t="s">
        <v>821</v>
      </c>
      <c r="B218" s="206" t="s">
        <v>822</v>
      </c>
      <c r="C218" s="39">
        <v>43709</v>
      </c>
      <c r="D218" s="39">
        <v>43728</v>
      </c>
      <c r="E218" s="47">
        <f>D218-C218</f>
        <v>19</v>
      </c>
      <c r="F218" s="208" t="s">
        <v>624</v>
      </c>
      <c r="G218" s="45" t="s">
        <v>33</v>
      </c>
      <c r="H218" s="45"/>
      <c r="I218" s="45"/>
      <c r="J218" s="42"/>
      <c r="K218" s="42"/>
    </row>
    <row r="219" spans="1:11" ht="15.75" customHeight="1">
      <c r="A219" s="57" t="s">
        <v>823</v>
      </c>
      <c r="B219" s="209" t="s">
        <v>824</v>
      </c>
      <c r="C219" s="39">
        <v>43725</v>
      </c>
      <c r="D219" s="39">
        <v>43730</v>
      </c>
      <c r="E219" s="47">
        <f>D219-C219</f>
        <v>5</v>
      </c>
      <c r="F219" s="43" t="s">
        <v>825</v>
      </c>
      <c r="G219" s="45" t="s">
        <v>826</v>
      </c>
      <c r="H219" s="45"/>
      <c r="I219" s="45"/>
      <c r="J219" s="42"/>
      <c r="K219" s="42"/>
    </row>
    <row r="220" spans="1:11" ht="15.75" customHeight="1">
      <c r="A220" s="205" t="s">
        <v>827</v>
      </c>
      <c r="B220" s="206" t="s">
        <v>828</v>
      </c>
      <c r="C220" s="39">
        <v>43380</v>
      </c>
      <c r="D220" s="39">
        <v>43731</v>
      </c>
      <c r="E220" s="47">
        <f>D220-C220</f>
        <v>351</v>
      </c>
      <c r="F220" s="43" t="s">
        <v>0</v>
      </c>
      <c r="G220" s="45" t="s">
        <v>829</v>
      </c>
      <c r="H220" s="45"/>
      <c r="I220" s="45"/>
      <c r="J220" s="42"/>
      <c r="K220" s="53" t="s">
        <v>830</v>
      </c>
    </row>
    <row r="221" spans="1:11" ht="15.75" customHeight="1">
      <c r="A221" s="57" t="s">
        <v>831</v>
      </c>
      <c r="B221" s="209" t="s">
        <v>832</v>
      </c>
      <c r="C221" s="39">
        <v>43718</v>
      </c>
      <c r="D221" s="39">
        <v>43734</v>
      </c>
      <c r="E221" s="47">
        <f>D221-C221</f>
        <v>16</v>
      </c>
      <c r="F221" s="43" t="s">
        <v>0</v>
      </c>
      <c r="G221" s="55"/>
      <c r="H221" s="55"/>
      <c r="I221" s="55"/>
      <c r="J221" s="56"/>
      <c r="K221" s="56"/>
    </row>
    <row r="222" spans="1:11" ht="15.75" customHeight="1">
      <c r="A222" s="205" t="s">
        <v>833</v>
      </c>
      <c r="B222" s="209" t="s">
        <v>834</v>
      </c>
      <c r="C222" s="39">
        <v>43731</v>
      </c>
      <c r="D222" s="39">
        <v>43735</v>
      </c>
      <c r="E222" s="47">
        <f>D222-C222</f>
        <v>4</v>
      </c>
      <c r="F222" s="43" t="s">
        <v>813</v>
      </c>
      <c r="G222" s="45"/>
      <c r="H222" s="45"/>
      <c r="I222" s="45"/>
      <c r="J222" s="42"/>
      <c r="K222" s="42"/>
    </row>
    <row r="223" spans="1:11" ht="15.75" customHeight="1">
      <c r="A223" s="205" t="s">
        <v>835</v>
      </c>
      <c r="B223" s="209" t="s">
        <v>836</v>
      </c>
      <c r="C223" s="39">
        <v>43722</v>
      </c>
      <c r="D223" s="39">
        <v>43735</v>
      </c>
      <c r="E223" s="47">
        <f>D223-C223</f>
        <v>13</v>
      </c>
      <c r="F223" s="208" t="s">
        <v>816</v>
      </c>
      <c r="G223" s="45"/>
      <c r="H223" s="45"/>
      <c r="I223" s="45"/>
      <c r="J223" s="42"/>
      <c r="K223" s="42"/>
    </row>
    <row r="224" spans="1:11" ht="15.75" customHeight="1">
      <c r="A224" s="205" t="s">
        <v>592</v>
      </c>
      <c r="B224" s="206" t="s">
        <v>837</v>
      </c>
      <c r="C224" s="39">
        <v>43473</v>
      </c>
      <c r="D224" s="39">
        <v>43736</v>
      </c>
      <c r="E224" s="47">
        <f>D224-C224</f>
        <v>263</v>
      </c>
      <c r="F224" s="43" t="s">
        <v>0</v>
      </c>
      <c r="G224" s="45" t="s">
        <v>838</v>
      </c>
      <c r="H224" s="45"/>
      <c r="I224" s="45"/>
      <c r="J224" s="42"/>
      <c r="K224" s="42"/>
    </row>
    <row r="225" spans="1:11" ht="15.75" customHeight="1">
      <c r="A225" s="42" t="s">
        <v>810</v>
      </c>
      <c r="B225" s="206" t="s">
        <v>839</v>
      </c>
      <c r="C225" s="39">
        <v>43471</v>
      </c>
      <c r="D225" s="39">
        <v>43736</v>
      </c>
      <c r="E225" s="47">
        <f>D225-C225</f>
        <v>265</v>
      </c>
      <c r="F225" s="45" t="s">
        <v>481</v>
      </c>
      <c r="G225" s="45" t="s">
        <v>33</v>
      </c>
      <c r="H225" s="45"/>
      <c r="I225" s="45"/>
      <c r="J225" s="42"/>
      <c r="K225" s="42"/>
    </row>
    <row r="226" spans="1:11" ht="15.75" customHeight="1">
      <c r="A226" s="57" t="s">
        <v>840</v>
      </c>
      <c r="B226" s="209" t="s">
        <v>841</v>
      </c>
      <c r="C226" s="39">
        <v>43718</v>
      </c>
      <c r="D226" s="39">
        <v>43737</v>
      </c>
      <c r="E226" s="47">
        <f>D226-C226</f>
        <v>19</v>
      </c>
      <c r="F226" s="208" t="s">
        <v>728</v>
      </c>
      <c r="G226" s="153"/>
      <c r="H226" s="153"/>
      <c r="I226" s="153"/>
    </row>
    <row r="227" spans="1:11" ht="15.75" customHeight="1">
      <c r="A227" s="205" t="s">
        <v>842</v>
      </c>
      <c r="B227" s="206" t="s">
        <v>843</v>
      </c>
      <c r="C227" s="39">
        <v>43698</v>
      </c>
      <c r="D227" s="39">
        <v>43737</v>
      </c>
      <c r="E227" s="47">
        <f>D227-C227</f>
        <v>39</v>
      </c>
      <c r="F227" s="43" t="s">
        <v>0</v>
      </c>
      <c r="G227" s="45" t="s">
        <v>844</v>
      </c>
      <c r="H227" s="45"/>
      <c r="I227" s="45"/>
      <c r="J227" s="42"/>
      <c r="K227" s="42"/>
    </row>
    <row r="228" spans="1:11" ht="15.75" customHeight="1">
      <c r="A228" s="212" t="s">
        <v>845</v>
      </c>
      <c r="B228" s="213" t="s">
        <v>846</v>
      </c>
      <c r="C228" s="61">
        <v>43702</v>
      </c>
      <c r="D228" s="39">
        <v>43738</v>
      </c>
      <c r="E228" s="47">
        <f>D228-C228</f>
        <v>36</v>
      </c>
      <c r="F228" s="62" t="s">
        <v>0</v>
      </c>
      <c r="G228" s="55"/>
      <c r="H228" s="55"/>
      <c r="I228" s="55"/>
      <c r="J228" s="56"/>
      <c r="K228" s="56"/>
    </row>
    <row r="229" spans="1:11" ht="15.75" customHeight="1">
      <c r="A229" s="205" t="s">
        <v>847</v>
      </c>
      <c r="B229" s="206" t="s">
        <v>848</v>
      </c>
      <c r="C229" s="39">
        <v>43459</v>
      </c>
      <c r="D229" s="39">
        <v>43738</v>
      </c>
      <c r="E229" s="47">
        <f>D229-C229</f>
        <v>279</v>
      </c>
      <c r="F229" s="43" t="s">
        <v>0</v>
      </c>
      <c r="G229" s="45"/>
      <c r="H229" s="45"/>
      <c r="I229" s="45"/>
      <c r="J229" s="42"/>
      <c r="K229" s="42"/>
    </row>
    <row r="230" spans="1:11" ht="15.75" customHeight="1">
      <c r="A230" s="57" t="s">
        <v>789</v>
      </c>
      <c r="B230" s="209" t="s">
        <v>790</v>
      </c>
      <c r="C230" s="39">
        <v>43710</v>
      </c>
      <c r="D230" s="39">
        <v>43740</v>
      </c>
      <c r="E230" s="47">
        <f>D230-C230</f>
        <v>30</v>
      </c>
      <c r="F230" s="43" t="s">
        <v>0</v>
      </c>
      <c r="G230" s="45"/>
      <c r="H230" s="45"/>
      <c r="I230" s="45"/>
      <c r="J230" s="42"/>
      <c r="K230" s="42"/>
    </row>
    <row r="231" spans="1:11" ht="15.75" customHeight="1">
      <c r="A231" s="57" t="s">
        <v>849</v>
      </c>
      <c r="B231" s="209" t="s">
        <v>850</v>
      </c>
      <c r="C231" s="39">
        <v>43726</v>
      </c>
      <c r="D231" s="39">
        <v>43741</v>
      </c>
      <c r="E231" s="47">
        <f>D231-C231</f>
        <v>15</v>
      </c>
      <c r="F231" s="45" t="s">
        <v>813</v>
      </c>
      <c r="G231" s="45" t="s">
        <v>512</v>
      </c>
      <c r="H231" s="45"/>
      <c r="I231" s="45"/>
      <c r="J231" s="42"/>
      <c r="K231" s="42"/>
    </row>
    <row r="232" spans="1:11" ht="15.75" customHeight="1">
      <c r="A232" s="57" t="s">
        <v>851</v>
      </c>
      <c r="B232" s="209" t="s">
        <v>852</v>
      </c>
      <c r="C232" s="39">
        <v>43739</v>
      </c>
      <c r="D232" s="39">
        <v>43742</v>
      </c>
      <c r="E232" s="47">
        <f>D232-C232</f>
        <v>3</v>
      </c>
      <c r="F232" s="43" t="s">
        <v>853</v>
      </c>
      <c r="G232" s="45"/>
      <c r="H232" s="45"/>
      <c r="I232" s="45"/>
      <c r="J232" s="42"/>
      <c r="K232" s="42"/>
    </row>
    <row r="233" spans="1:11" ht="15.75" customHeight="1">
      <c r="A233" s="205" t="s">
        <v>854</v>
      </c>
      <c r="B233" s="206" t="s">
        <v>855</v>
      </c>
      <c r="C233" s="39">
        <v>43681</v>
      </c>
      <c r="D233" s="39">
        <v>43742</v>
      </c>
      <c r="E233" s="47">
        <f>D233-C233</f>
        <v>61</v>
      </c>
      <c r="F233" s="208" t="s">
        <v>770</v>
      </c>
      <c r="G233" s="45" t="s">
        <v>33</v>
      </c>
      <c r="H233" s="45"/>
      <c r="I233" s="45"/>
      <c r="J233" s="42"/>
      <c r="K233" s="42"/>
    </row>
    <row r="234" spans="1:11" ht="15.75" customHeight="1">
      <c r="A234" s="42" t="s">
        <v>856</v>
      </c>
      <c r="B234" s="206" t="s">
        <v>857</v>
      </c>
      <c r="C234" s="39">
        <v>43620</v>
      </c>
      <c r="D234" s="39">
        <v>43743</v>
      </c>
      <c r="E234" s="47">
        <f>D234-C234</f>
        <v>123</v>
      </c>
      <c r="F234" s="45" t="s">
        <v>726</v>
      </c>
      <c r="G234" s="45" t="s">
        <v>858</v>
      </c>
      <c r="H234" s="45"/>
      <c r="I234" s="45"/>
      <c r="J234" s="42"/>
      <c r="K234" s="42"/>
    </row>
    <row r="235" spans="1:11" ht="15.75" customHeight="1">
      <c r="A235" s="42" t="s">
        <v>859</v>
      </c>
      <c r="B235" s="206" t="s">
        <v>860</v>
      </c>
      <c r="C235" s="39">
        <v>43576</v>
      </c>
      <c r="D235" s="39">
        <v>43744</v>
      </c>
      <c r="E235" s="47">
        <f>D235-C235</f>
        <v>168</v>
      </c>
      <c r="F235" s="43" t="s">
        <v>54</v>
      </c>
      <c r="G235" s="45" t="s">
        <v>1</v>
      </c>
      <c r="H235" s="45"/>
      <c r="I235" s="45"/>
      <c r="J235" s="42"/>
      <c r="K235" s="42"/>
    </row>
    <row r="236" spans="1:11" ht="15.75" customHeight="1">
      <c r="A236" s="205" t="s">
        <v>861</v>
      </c>
      <c r="B236" s="206" t="s">
        <v>862</v>
      </c>
      <c r="C236" s="39">
        <v>43548</v>
      </c>
      <c r="D236" s="39">
        <v>43745</v>
      </c>
      <c r="E236" s="47">
        <f>D236-C236</f>
        <v>197</v>
      </c>
      <c r="F236" s="43" t="s">
        <v>0</v>
      </c>
      <c r="G236" s="45" t="s">
        <v>1</v>
      </c>
      <c r="H236" s="45"/>
      <c r="I236" s="45"/>
      <c r="J236" s="42"/>
      <c r="K236" s="42"/>
    </row>
    <row r="237" spans="1:11" ht="15.75" customHeight="1">
      <c r="A237" s="205" t="s">
        <v>863</v>
      </c>
      <c r="B237" s="209" t="s">
        <v>864</v>
      </c>
      <c r="C237" s="39">
        <v>43731</v>
      </c>
      <c r="D237" s="39">
        <v>43746</v>
      </c>
      <c r="E237" s="47">
        <f>D237-C237</f>
        <v>15</v>
      </c>
      <c r="F237" s="208" t="s">
        <v>641</v>
      </c>
      <c r="G237" s="45"/>
      <c r="H237" s="45"/>
      <c r="I237" s="45"/>
      <c r="J237" s="42"/>
      <c r="K237" s="42"/>
    </row>
    <row r="238" spans="1:11" ht="15.75" customHeight="1">
      <c r="A238" s="205" t="s">
        <v>865</v>
      </c>
      <c r="B238" s="209" t="s">
        <v>866</v>
      </c>
      <c r="C238" s="39">
        <v>43745</v>
      </c>
      <c r="D238" s="39">
        <v>43750</v>
      </c>
      <c r="E238" s="47">
        <f>D238-C238</f>
        <v>5</v>
      </c>
      <c r="F238" s="43" t="s">
        <v>0</v>
      </c>
      <c r="G238" s="45"/>
      <c r="H238" s="45"/>
      <c r="I238" s="45"/>
      <c r="J238" s="42"/>
      <c r="K238" s="42"/>
    </row>
    <row r="239" spans="1:11" ht="15.75" customHeight="1">
      <c r="A239" s="57" t="s">
        <v>867</v>
      </c>
      <c r="B239" s="206" t="s">
        <v>868</v>
      </c>
      <c r="C239" s="39">
        <v>43646</v>
      </c>
      <c r="D239" s="39">
        <v>43750</v>
      </c>
      <c r="E239" s="47">
        <f>D239-C239</f>
        <v>104</v>
      </c>
      <c r="F239" s="63" t="s">
        <v>869</v>
      </c>
      <c r="G239" s="45"/>
      <c r="H239" s="45"/>
      <c r="I239" s="45"/>
      <c r="J239" s="42"/>
      <c r="K239" s="42"/>
    </row>
    <row r="240" spans="1:11" ht="15.75" customHeight="1">
      <c r="A240" s="57" t="s">
        <v>870</v>
      </c>
      <c r="B240" s="209" t="s">
        <v>871</v>
      </c>
      <c r="C240" s="39">
        <v>43717</v>
      </c>
      <c r="D240" s="39">
        <v>43753</v>
      </c>
      <c r="E240" s="47">
        <f>D240-C240</f>
        <v>36</v>
      </c>
      <c r="F240" s="208" t="s">
        <v>592</v>
      </c>
      <c r="G240" s="45" t="s">
        <v>872</v>
      </c>
      <c r="H240" s="45"/>
      <c r="I240" s="45"/>
      <c r="J240" s="42"/>
      <c r="K240" s="42"/>
    </row>
    <row r="241" spans="1:11" ht="15.75" customHeight="1">
      <c r="A241" s="205" t="s">
        <v>873</v>
      </c>
      <c r="B241" s="206" t="s">
        <v>874</v>
      </c>
      <c r="C241" s="39">
        <v>43651</v>
      </c>
      <c r="D241" s="39">
        <v>43760</v>
      </c>
      <c r="E241" s="47">
        <f>D241-C241</f>
        <v>109</v>
      </c>
      <c r="F241" s="43" t="s">
        <v>0</v>
      </c>
      <c r="G241" s="45" t="s">
        <v>1</v>
      </c>
      <c r="H241" s="45"/>
      <c r="I241" s="45"/>
      <c r="J241" s="42"/>
      <c r="K241" s="42"/>
    </row>
    <row r="242" spans="1:11" ht="15.75" customHeight="1">
      <c r="A242" s="57" t="s">
        <v>875</v>
      </c>
      <c r="B242" s="209" t="s">
        <v>876</v>
      </c>
      <c r="C242" s="39">
        <v>43744</v>
      </c>
      <c r="D242" s="39">
        <v>43764</v>
      </c>
      <c r="E242" s="47">
        <f>D242-C242</f>
        <v>20</v>
      </c>
      <c r="F242" s="208" t="s">
        <v>877</v>
      </c>
      <c r="G242" s="45"/>
      <c r="H242" s="45"/>
      <c r="I242" s="45"/>
      <c r="J242" s="42"/>
      <c r="K242" s="42"/>
    </row>
    <row r="243" spans="1:11" ht="15.75" customHeight="1">
      <c r="A243" s="42" t="s">
        <v>878</v>
      </c>
      <c r="B243" s="206" t="s">
        <v>878</v>
      </c>
      <c r="C243" s="39">
        <v>43736</v>
      </c>
      <c r="D243" s="39">
        <v>43764</v>
      </c>
      <c r="E243" s="47">
        <f>D243-C243</f>
        <v>28</v>
      </c>
      <c r="F243" s="43" t="s">
        <v>0</v>
      </c>
      <c r="G243" s="153"/>
      <c r="H243" s="153"/>
      <c r="I243" s="153"/>
    </row>
    <row r="244" spans="1:11" ht="15.75" customHeight="1">
      <c r="A244" s="205" t="s">
        <v>879</v>
      </c>
      <c r="B244" s="206" t="s">
        <v>880</v>
      </c>
      <c r="C244" s="39">
        <v>43761</v>
      </c>
      <c r="D244" s="39">
        <v>43771</v>
      </c>
      <c r="E244" s="47">
        <f>D244-C244</f>
        <v>10</v>
      </c>
      <c r="F244" s="63" t="s">
        <v>881</v>
      </c>
      <c r="G244" s="45"/>
      <c r="H244" s="45"/>
      <c r="I244" s="45"/>
      <c r="J244" s="42"/>
      <c r="K244" s="42"/>
    </row>
    <row r="245" spans="1:11" ht="15.75" customHeight="1">
      <c r="A245" s="57" t="s">
        <v>882</v>
      </c>
      <c r="B245" s="209" t="s">
        <v>883</v>
      </c>
      <c r="C245" s="39">
        <v>43752</v>
      </c>
      <c r="D245" s="39">
        <v>43771</v>
      </c>
      <c r="E245" s="47">
        <f>D245-C245</f>
        <v>19</v>
      </c>
      <c r="F245" s="43" t="s">
        <v>884</v>
      </c>
      <c r="G245" s="45"/>
      <c r="H245" s="45"/>
      <c r="I245" s="45"/>
      <c r="J245" s="42"/>
      <c r="K245" s="42"/>
    </row>
    <row r="246" spans="1:11" ht="15.75" customHeight="1">
      <c r="A246" s="57" t="s">
        <v>885</v>
      </c>
      <c r="B246" s="206" t="s">
        <v>886</v>
      </c>
      <c r="C246" s="39">
        <v>43646</v>
      </c>
      <c r="D246" s="39">
        <v>43771</v>
      </c>
      <c r="E246" s="47">
        <f>D246-C246</f>
        <v>125</v>
      </c>
      <c r="F246" s="63" t="s">
        <v>887</v>
      </c>
      <c r="G246" s="45"/>
      <c r="H246" s="45"/>
      <c r="I246" s="45"/>
      <c r="J246" s="42"/>
      <c r="K246" s="42"/>
    </row>
    <row r="247" spans="1:11" ht="15.75" customHeight="1">
      <c r="A247" s="205" t="s">
        <v>888</v>
      </c>
      <c r="B247" s="206" t="s">
        <v>889</v>
      </c>
      <c r="C247" s="39">
        <v>43603</v>
      </c>
      <c r="D247" s="39">
        <v>43771</v>
      </c>
      <c r="E247" s="47">
        <f>D247-C247</f>
        <v>168</v>
      </c>
      <c r="F247" s="43" t="s">
        <v>54</v>
      </c>
      <c r="G247" s="45" t="s">
        <v>43</v>
      </c>
      <c r="H247" s="45"/>
      <c r="I247" s="45" t="s">
        <v>817</v>
      </c>
      <c r="J247" s="42"/>
      <c r="K247" s="42"/>
    </row>
    <row r="248" spans="1:11" ht="15.75" customHeight="1">
      <c r="A248" s="205" t="s">
        <v>877</v>
      </c>
      <c r="B248" s="206" t="s">
        <v>890</v>
      </c>
      <c r="C248" s="39">
        <v>43521</v>
      </c>
      <c r="D248" s="39">
        <v>43772</v>
      </c>
      <c r="E248" s="47">
        <f>D248-C248</f>
        <v>251</v>
      </c>
      <c r="F248" s="208" t="s">
        <v>589</v>
      </c>
      <c r="G248" s="153"/>
      <c r="H248" s="153"/>
      <c r="I248" s="153"/>
    </row>
    <row r="249" spans="1:11" ht="15.75" customHeight="1">
      <c r="A249" s="42" t="s">
        <v>891</v>
      </c>
      <c r="B249" s="206" t="s">
        <v>892</v>
      </c>
      <c r="C249" s="39">
        <v>43758</v>
      </c>
      <c r="D249" s="39">
        <v>43773</v>
      </c>
      <c r="E249" s="47">
        <f>D249-C249</f>
        <v>15</v>
      </c>
      <c r="F249" s="207" t="s">
        <v>893</v>
      </c>
      <c r="G249" s="45" t="s">
        <v>33</v>
      </c>
      <c r="H249" s="45"/>
      <c r="I249" s="153"/>
    </row>
    <row r="250" spans="1:11" ht="15.75" customHeight="1">
      <c r="A250" s="205" t="s">
        <v>710</v>
      </c>
      <c r="B250" s="206" t="s">
        <v>711</v>
      </c>
      <c r="C250" s="39">
        <v>43754</v>
      </c>
      <c r="D250" s="39">
        <v>43775</v>
      </c>
      <c r="E250" s="47">
        <f>D250-C250</f>
        <v>21</v>
      </c>
      <c r="F250" s="43" t="s">
        <v>788</v>
      </c>
      <c r="G250" s="153"/>
      <c r="H250" s="153"/>
      <c r="I250" s="153"/>
    </row>
    <row r="251" spans="1:11" ht="15.75" customHeight="1">
      <c r="A251" s="42" t="s">
        <v>894</v>
      </c>
      <c r="B251" s="206" t="s">
        <v>895</v>
      </c>
      <c r="C251" s="39">
        <v>43702</v>
      </c>
      <c r="D251" s="39">
        <v>43778</v>
      </c>
      <c r="E251" s="47">
        <f>D251-C251</f>
        <v>76</v>
      </c>
      <c r="F251" s="43" t="s">
        <v>54</v>
      </c>
      <c r="G251" s="45" t="s">
        <v>1</v>
      </c>
      <c r="H251" s="45"/>
      <c r="I251" s="45"/>
      <c r="J251" s="42"/>
      <c r="K251" s="42"/>
    </row>
    <row r="252" spans="1:11" ht="15.75" customHeight="1">
      <c r="A252" s="42" t="s">
        <v>668</v>
      </c>
      <c r="B252" s="206" t="s">
        <v>669</v>
      </c>
      <c r="C252" s="39">
        <v>43729</v>
      </c>
      <c r="D252" s="39">
        <v>43780</v>
      </c>
      <c r="E252" s="47">
        <f>D252-C252</f>
        <v>51</v>
      </c>
      <c r="F252" s="43" t="s">
        <v>0</v>
      </c>
      <c r="G252" s="45" t="s">
        <v>33</v>
      </c>
      <c r="H252" s="45"/>
      <c r="I252" s="45"/>
      <c r="J252" s="42"/>
      <c r="K252" s="42"/>
    </row>
    <row r="253" spans="1:11" ht="15.75" customHeight="1">
      <c r="A253" s="57" t="s">
        <v>896</v>
      </c>
      <c r="B253" s="209" t="s">
        <v>897</v>
      </c>
      <c r="C253" s="39">
        <v>43746</v>
      </c>
      <c r="D253" s="39">
        <v>43781</v>
      </c>
      <c r="E253" s="47">
        <f>D253-C253</f>
        <v>35</v>
      </c>
      <c r="F253" s="43" t="s">
        <v>898</v>
      </c>
      <c r="G253" s="45"/>
      <c r="H253" s="45"/>
      <c r="I253" s="45"/>
      <c r="J253" s="42"/>
      <c r="K253" s="42"/>
    </row>
    <row r="254" spans="1:11" ht="15.75" customHeight="1">
      <c r="A254" s="205" t="s">
        <v>899</v>
      </c>
      <c r="B254" s="206" t="s">
        <v>900</v>
      </c>
      <c r="C254" s="39">
        <v>43780</v>
      </c>
      <c r="D254" s="39">
        <v>43785</v>
      </c>
      <c r="E254" s="47">
        <f>D254-C254</f>
        <v>5</v>
      </c>
      <c r="F254" s="43" t="s">
        <v>689</v>
      </c>
      <c r="G254" s="45" t="s">
        <v>436</v>
      </c>
      <c r="H254" s="45"/>
      <c r="I254" s="153"/>
    </row>
    <row r="255" spans="1:11" ht="15.75" customHeight="1">
      <c r="A255" s="42" t="s">
        <v>869</v>
      </c>
      <c r="B255" s="206" t="s">
        <v>869</v>
      </c>
      <c r="C255" s="39">
        <v>43620</v>
      </c>
      <c r="D255" s="39">
        <v>43785</v>
      </c>
      <c r="E255" s="47">
        <f>D255-C255</f>
        <v>165</v>
      </c>
      <c r="F255" s="43" t="s">
        <v>0</v>
      </c>
      <c r="G255" s="45"/>
      <c r="H255" s="45"/>
      <c r="I255" s="45"/>
      <c r="J255" s="42"/>
      <c r="K255" s="42"/>
    </row>
    <row r="256" spans="1:11" ht="15.75" customHeight="1">
      <c r="A256" s="205" t="s">
        <v>901</v>
      </c>
      <c r="B256" s="206" t="s">
        <v>539</v>
      </c>
      <c r="C256" s="39">
        <v>43416</v>
      </c>
      <c r="D256" s="39">
        <v>43787</v>
      </c>
      <c r="E256" s="47">
        <f>D256-C256</f>
        <v>371</v>
      </c>
      <c r="F256" s="208" t="s">
        <v>31</v>
      </c>
      <c r="G256" s="45" t="s">
        <v>43</v>
      </c>
      <c r="H256" s="45"/>
      <c r="I256" s="45"/>
      <c r="J256" s="42"/>
      <c r="K256" s="42"/>
    </row>
    <row r="257" spans="1:11" ht="15.75" customHeight="1">
      <c r="A257" s="205" t="s">
        <v>902</v>
      </c>
      <c r="B257" s="209" t="s">
        <v>903</v>
      </c>
      <c r="C257" s="39">
        <v>43758</v>
      </c>
      <c r="D257" s="39">
        <v>43790</v>
      </c>
      <c r="E257" s="47">
        <f>D257-C257</f>
        <v>32</v>
      </c>
      <c r="F257" s="207" t="s">
        <v>754</v>
      </c>
      <c r="G257" s="45" t="s">
        <v>33</v>
      </c>
      <c r="H257" s="45"/>
      <c r="I257" s="45"/>
      <c r="J257" s="42"/>
      <c r="K257" s="42"/>
    </row>
    <row r="258" spans="1:11" ht="15.75" customHeight="1">
      <c r="A258" s="42" t="s">
        <v>898</v>
      </c>
      <c r="B258" s="206" t="s">
        <v>904</v>
      </c>
      <c r="C258" s="39">
        <v>43690</v>
      </c>
      <c r="D258" s="39">
        <v>43790</v>
      </c>
      <c r="E258" s="47">
        <f>D258-C258</f>
        <v>100</v>
      </c>
      <c r="F258" s="43" t="s">
        <v>0</v>
      </c>
      <c r="G258" s="45" t="s">
        <v>70</v>
      </c>
      <c r="H258" s="45"/>
      <c r="I258" s="45"/>
      <c r="J258" s="42"/>
      <c r="K258" s="42"/>
    </row>
    <row r="259" spans="1:11" ht="15.75" customHeight="1">
      <c r="A259" s="205" t="s">
        <v>702</v>
      </c>
      <c r="B259" s="206" t="s">
        <v>905</v>
      </c>
      <c r="C259" s="39">
        <v>43544</v>
      </c>
      <c r="D259" s="39">
        <v>43790</v>
      </c>
      <c r="E259" s="47">
        <f>D259-C259</f>
        <v>246</v>
      </c>
      <c r="F259" s="43" t="s">
        <v>0</v>
      </c>
      <c r="G259" s="64" t="s">
        <v>33</v>
      </c>
      <c r="H259" s="64"/>
      <c r="I259" s="153"/>
    </row>
    <row r="260" spans="1:11" ht="15.75" customHeight="1">
      <c r="A260" s="42" t="s">
        <v>906</v>
      </c>
      <c r="B260" s="206" t="s">
        <v>907</v>
      </c>
      <c r="C260" s="39">
        <v>43544</v>
      </c>
      <c r="D260" s="39">
        <v>43790</v>
      </c>
      <c r="E260" s="47">
        <f>D260-C260</f>
        <v>246</v>
      </c>
      <c r="F260" s="43" t="s">
        <v>0</v>
      </c>
      <c r="G260" s="45" t="s">
        <v>33</v>
      </c>
      <c r="H260" s="45"/>
      <c r="I260" s="45"/>
      <c r="J260" s="42"/>
      <c r="K260" s="42"/>
    </row>
    <row r="261" spans="1:11" ht="15.75" customHeight="1">
      <c r="A261" s="205" t="s">
        <v>770</v>
      </c>
      <c r="B261" s="206" t="s">
        <v>908</v>
      </c>
      <c r="C261" s="39">
        <v>43627</v>
      </c>
      <c r="D261" s="39">
        <v>43791</v>
      </c>
      <c r="E261" s="47">
        <f>D261-C261</f>
        <v>164</v>
      </c>
      <c r="F261" s="43" t="s">
        <v>54</v>
      </c>
      <c r="G261" s="45" t="s">
        <v>1</v>
      </c>
      <c r="H261" s="45"/>
      <c r="I261" s="153"/>
    </row>
    <row r="262" spans="1:11" ht="15.75" customHeight="1">
      <c r="A262" s="65" t="s">
        <v>909</v>
      </c>
      <c r="B262" s="206" t="s">
        <v>910</v>
      </c>
      <c r="C262" s="39">
        <v>43779</v>
      </c>
      <c r="D262" s="39">
        <v>43792</v>
      </c>
      <c r="E262" s="47">
        <f>D262-C262</f>
        <v>13</v>
      </c>
      <c r="F262" s="43" t="s">
        <v>0</v>
      </c>
      <c r="G262" s="45"/>
      <c r="H262" s="45"/>
      <c r="I262" s="45"/>
      <c r="J262" s="42"/>
      <c r="K262" s="42"/>
    </row>
    <row r="263" spans="1:11" ht="15.75" customHeight="1">
      <c r="A263" s="57" t="s">
        <v>911</v>
      </c>
      <c r="B263" s="206" t="s">
        <v>912</v>
      </c>
      <c r="C263" s="39">
        <v>43677</v>
      </c>
      <c r="D263" s="39">
        <v>43792</v>
      </c>
      <c r="E263" s="47">
        <f>D263-C263</f>
        <v>115</v>
      </c>
      <c r="F263" s="43" t="s">
        <v>0</v>
      </c>
      <c r="G263" s="45"/>
      <c r="H263" s="45"/>
      <c r="I263" s="45"/>
      <c r="J263" s="42"/>
      <c r="K263" s="42"/>
    </row>
    <row r="264" spans="1:11" ht="15.75" customHeight="1">
      <c r="A264" s="42" t="s">
        <v>686</v>
      </c>
      <c r="B264" s="206" t="s">
        <v>913</v>
      </c>
      <c r="C264" s="39">
        <v>43544</v>
      </c>
      <c r="D264" s="39">
        <v>43792</v>
      </c>
      <c r="E264" s="47">
        <f>D264-C264</f>
        <v>248</v>
      </c>
      <c r="F264" s="43" t="s">
        <v>524</v>
      </c>
      <c r="G264" s="45"/>
      <c r="H264" s="45"/>
      <c r="I264" s="45"/>
      <c r="J264" s="42"/>
      <c r="K264" s="42"/>
    </row>
    <row r="265" spans="1:11" ht="15.75" customHeight="1">
      <c r="A265" s="42" t="s">
        <v>689</v>
      </c>
      <c r="B265" s="206" t="s">
        <v>914</v>
      </c>
      <c r="C265" s="39">
        <v>43731</v>
      </c>
      <c r="D265" s="39">
        <v>43799</v>
      </c>
      <c r="E265" s="47">
        <f>D265-C265</f>
        <v>68</v>
      </c>
      <c r="F265" s="43" t="s">
        <v>813</v>
      </c>
      <c r="G265" s="45" t="s">
        <v>1</v>
      </c>
      <c r="H265" s="45"/>
      <c r="I265" s="45" t="s">
        <v>1</v>
      </c>
      <c r="J265" s="42"/>
      <c r="K265" s="42"/>
    </row>
    <row r="266" spans="1:11" ht="15.75" customHeight="1">
      <c r="A266" s="57" t="s">
        <v>915</v>
      </c>
      <c r="B266" s="209" t="s">
        <v>915</v>
      </c>
      <c r="C266" s="39">
        <v>43712</v>
      </c>
      <c r="D266" s="39">
        <v>43799</v>
      </c>
      <c r="E266" s="47">
        <f>D266-C266</f>
        <v>87</v>
      </c>
      <c r="F266" s="43" t="s">
        <v>0</v>
      </c>
      <c r="G266" s="45"/>
      <c r="H266" s="45"/>
      <c r="I266" s="45"/>
      <c r="J266" s="42"/>
      <c r="K266" s="42"/>
    </row>
    <row r="267" spans="1:11" ht="15.75" customHeight="1">
      <c r="A267" s="42" t="s">
        <v>916</v>
      </c>
      <c r="B267" s="206" t="s">
        <v>917</v>
      </c>
      <c r="C267" s="39">
        <v>43548</v>
      </c>
      <c r="D267" s="39">
        <v>43800</v>
      </c>
      <c r="E267" s="47">
        <f>D267-C267</f>
        <v>252</v>
      </c>
      <c r="F267" s="208" t="s">
        <v>918</v>
      </c>
      <c r="G267" s="45" t="s">
        <v>919</v>
      </c>
      <c r="H267" s="45"/>
      <c r="I267" s="45"/>
      <c r="J267" s="42"/>
      <c r="K267" s="42"/>
    </row>
    <row r="268" spans="1:11" ht="15.75" customHeight="1">
      <c r="A268" s="210" t="s">
        <v>920</v>
      </c>
      <c r="B268" s="206" t="s">
        <v>920</v>
      </c>
      <c r="C268" s="39">
        <v>43362</v>
      </c>
      <c r="D268" s="39">
        <v>43802</v>
      </c>
      <c r="E268" s="47">
        <f>D268-C268</f>
        <v>440</v>
      </c>
      <c r="F268" s="43" t="s">
        <v>0</v>
      </c>
      <c r="G268" s="45"/>
      <c r="H268" s="45"/>
      <c r="I268" s="45"/>
      <c r="J268" s="42"/>
      <c r="K268" s="42"/>
    </row>
    <row r="269" spans="1:11" ht="15.75" customHeight="1">
      <c r="A269" s="205" t="s">
        <v>921</v>
      </c>
      <c r="B269" s="209" t="s">
        <v>922</v>
      </c>
      <c r="C269" s="39">
        <v>43626</v>
      </c>
      <c r="D269" s="39">
        <v>43805</v>
      </c>
      <c r="E269" s="47">
        <f>D269-C269</f>
        <v>179</v>
      </c>
      <c r="F269" s="43" t="s">
        <v>54</v>
      </c>
      <c r="G269" s="45" t="s">
        <v>33</v>
      </c>
      <c r="H269" s="45"/>
      <c r="I269" s="45"/>
      <c r="J269" s="42"/>
      <c r="K269" s="42"/>
    </row>
    <row r="270" spans="1:11" ht="15.75" customHeight="1">
      <c r="A270" s="42" t="s">
        <v>665</v>
      </c>
      <c r="B270" s="206" t="s">
        <v>666</v>
      </c>
      <c r="C270" s="39">
        <v>43782</v>
      </c>
      <c r="D270" s="39">
        <v>43806</v>
      </c>
      <c r="E270" s="47">
        <f>D270-C270</f>
        <v>24</v>
      </c>
      <c r="F270" s="43" t="s">
        <v>0</v>
      </c>
      <c r="G270" s="45"/>
      <c r="H270" s="45"/>
      <c r="I270" s="45"/>
      <c r="J270" s="42"/>
      <c r="K270" s="53" t="s">
        <v>667</v>
      </c>
    </row>
    <row r="271" spans="1:11" ht="15.75" customHeight="1">
      <c r="A271" s="42" t="s">
        <v>475</v>
      </c>
      <c r="B271" s="206" t="s">
        <v>476</v>
      </c>
      <c r="C271" s="39">
        <v>43736</v>
      </c>
      <c r="D271" s="39">
        <v>43806</v>
      </c>
      <c r="E271" s="47">
        <f>D271-C271</f>
        <v>70</v>
      </c>
      <c r="F271" s="208" t="s">
        <v>624</v>
      </c>
      <c r="G271" s="45" t="s">
        <v>33</v>
      </c>
      <c r="H271" s="45"/>
      <c r="I271" s="45"/>
      <c r="J271" s="42"/>
      <c r="K271" s="42"/>
    </row>
    <row r="272" spans="1:11" ht="15.75" customHeight="1">
      <c r="A272" s="42" t="s">
        <v>923</v>
      </c>
      <c r="B272" s="206" t="s">
        <v>924</v>
      </c>
      <c r="C272" s="39">
        <v>43702</v>
      </c>
      <c r="D272" s="39">
        <v>43806</v>
      </c>
      <c r="E272" s="47">
        <f>D272-C272</f>
        <v>104</v>
      </c>
      <c r="F272" s="43" t="s">
        <v>0</v>
      </c>
      <c r="G272" s="45" t="s">
        <v>925</v>
      </c>
      <c r="H272" s="45"/>
      <c r="I272" s="45"/>
      <c r="J272" s="42"/>
      <c r="K272" s="42"/>
    </row>
    <row r="273" spans="1:27" ht="15.75" customHeight="1">
      <c r="A273" s="205" t="s">
        <v>926</v>
      </c>
      <c r="B273" s="206" t="s">
        <v>927</v>
      </c>
      <c r="C273" s="39">
        <v>43696</v>
      </c>
      <c r="D273" s="39">
        <v>43806</v>
      </c>
      <c r="E273" s="47">
        <f>D273-C273</f>
        <v>110</v>
      </c>
      <c r="F273" s="208" t="s">
        <v>928</v>
      </c>
      <c r="G273" s="45"/>
      <c r="H273" s="45"/>
      <c r="I273" s="45"/>
      <c r="J273" s="42"/>
      <c r="K273" s="42"/>
    </row>
    <row r="274" spans="1:27" ht="15.75" customHeight="1">
      <c r="A274" s="205" t="s">
        <v>929</v>
      </c>
      <c r="B274" s="206" t="s">
        <v>930</v>
      </c>
      <c r="C274" s="39">
        <v>43690</v>
      </c>
      <c r="D274" s="39">
        <v>43806</v>
      </c>
      <c r="E274" s="47">
        <f>D274-C274</f>
        <v>116</v>
      </c>
      <c r="F274" s="43" t="s">
        <v>48</v>
      </c>
      <c r="G274" s="45" t="s">
        <v>26</v>
      </c>
      <c r="H274" s="45"/>
      <c r="I274" s="153"/>
    </row>
    <row r="275" spans="1:27" ht="15.75" customHeight="1">
      <c r="A275" s="42" t="s">
        <v>506</v>
      </c>
      <c r="B275" s="206" t="s">
        <v>509</v>
      </c>
      <c r="C275" s="39">
        <v>43664</v>
      </c>
      <c r="D275" s="39">
        <v>43806</v>
      </c>
      <c r="E275" s="47">
        <f>D275-C275</f>
        <v>142</v>
      </c>
      <c r="F275" s="43" t="s">
        <v>0</v>
      </c>
      <c r="G275" s="45" t="s">
        <v>26</v>
      </c>
      <c r="H275" s="45"/>
      <c r="I275" s="45"/>
      <c r="J275" s="42"/>
      <c r="K275" s="42"/>
    </row>
    <row r="276" spans="1:27" ht="15.75" customHeight="1">
      <c r="A276" s="205" t="s">
        <v>931</v>
      </c>
      <c r="B276" s="206" t="s">
        <v>932</v>
      </c>
      <c r="C276" s="39">
        <v>43626</v>
      </c>
      <c r="D276" s="39">
        <v>43806</v>
      </c>
      <c r="E276" s="47">
        <f>D276-C276</f>
        <v>180</v>
      </c>
      <c r="F276" s="43" t="s">
        <v>54</v>
      </c>
      <c r="G276" s="45" t="s">
        <v>312</v>
      </c>
      <c r="H276" s="45"/>
      <c r="I276" s="45"/>
      <c r="J276" s="42"/>
      <c r="K276" s="42"/>
    </row>
    <row r="277" spans="1:27" ht="15.75" customHeight="1">
      <c r="A277" s="42" t="s">
        <v>14</v>
      </c>
      <c r="B277" s="206" t="s">
        <v>933</v>
      </c>
      <c r="C277" s="39">
        <v>43345</v>
      </c>
      <c r="D277" s="39">
        <v>43809</v>
      </c>
      <c r="E277" s="47">
        <f>D277-C277</f>
        <v>464</v>
      </c>
      <c r="F277" s="43" t="s">
        <v>0</v>
      </c>
      <c r="G277" s="45" t="s">
        <v>934</v>
      </c>
      <c r="H277" s="45"/>
      <c r="I277" s="45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 spans="1:27" ht="15.75" customHeight="1">
      <c r="A278" s="65" t="s">
        <v>935</v>
      </c>
      <c r="B278" s="206" t="s">
        <v>936</v>
      </c>
      <c r="C278" s="39">
        <v>43796</v>
      </c>
      <c r="D278" s="39">
        <v>43811</v>
      </c>
      <c r="E278" s="47">
        <f>D278-C278</f>
        <v>15</v>
      </c>
      <c r="F278" s="43" t="s">
        <v>734</v>
      </c>
      <c r="G278" s="45"/>
      <c r="H278" s="45"/>
      <c r="I278" s="45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 spans="1:27" ht="15.75" customHeight="1">
      <c r="A279" s="65" t="s">
        <v>937</v>
      </c>
      <c r="B279" s="206" t="s">
        <v>938</v>
      </c>
      <c r="C279" s="39">
        <v>43806</v>
      </c>
      <c r="D279" s="39">
        <v>43813</v>
      </c>
      <c r="E279" s="47">
        <f>D279-C279</f>
        <v>7</v>
      </c>
      <c r="F279" s="43" t="s">
        <v>939</v>
      </c>
      <c r="G279" s="42"/>
      <c r="H279" s="42"/>
      <c r="I279" s="45" t="s">
        <v>940</v>
      </c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 spans="1:27" ht="15.75" customHeight="1">
      <c r="A280" s="42" t="s">
        <v>719</v>
      </c>
      <c r="B280" s="206" t="s">
        <v>719</v>
      </c>
      <c r="C280" s="39">
        <v>43777</v>
      </c>
      <c r="D280" s="39">
        <v>43813</v>
      </c>
      <c r="E280" s="47">
        <f>D280-C280</f>
        <v>36</v>
      </c>
      <c r="F280" s="43" t="s">
        <v>54</v>
      </c>
      <c r="G280" s="45" t="s">
        <v>720</v>
      </c>
      <c r="H280" s="45"/>
      <c r="I280" s="45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 spans="1:27" ht="15.75" customHeight="1">
      <c r="A281" s="42" t="s">
        <v>941</v>
      </c>
      <c r="B281" s="206" t="s">
        <v>941</v>
      </c>
      <c r="C281" s="39">
        <v>43706</v>
      </c>
      <c r="D281" s="39">
        <v>43813</v>
      </c>
      <c r="E281" s="47">
        <f>D281-C281</f>
        <v>107</v>
      </c>
      <c r="F281" s="43" t="s">
        <v>0</v>
      </c>
      <c r="G281" s="45" t="s">
        <v>1</v>
      </c>
      <c r="H281" s="45"/>
      <c r="I281" s="45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 spans="1:27" ht="15.75" customHeight="1">
      <c r="A282" s="42" t="s">
        <v>705</v>
      </c>
      <c r="B282" s="206" t="s">
        <v>706</v>
      </c>
      <c r="C282" s="39">
        <v>43690</v>
      </c>
      <c r="D282" s="39">
        <v>43813</v>
      </c>
      <c r="E282" s="47">
        <f>D282-C282</f>
        <v>123</v>
      </c>
      <c r="F282" s="43" t="s">
        <v>0</v>
      </c>
      <c r="G282" s="45" t="s">
        <v>942</v>
      </c>
      <c r="H282" s="45"/>
      <c r="I282" s="45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 spans="1:27" ht="15.75" customHeight="1">
      <c r="A283" s="205" t="s">
        <v>943</v>
      </c>
      <c r="B283" s="206" t="s">
        <v>944</v>
      </c>
      <c r="C283" s="39">
        <v>43653</v>
      </c>
      <c r="D283" s="39">
        <v>43813</v>
      </c>
      <c r="E283" s="47">
        <f>D283-C283</f>
        <v>160</v>
      </c>
      <c r="F283" s="43" t="s">
        <v>0</v>
      </c>
      <c r="G283" s="45"/>
      <c r="H283" s="45"/>
      <c r="I283" s="45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 spans="1:27" ht="15.75" customHeight="1">
      <c r="A284" s="42" t="s">
        <v>945</v>
      </c>
      <c r="B284" s="206" t="s">
        <v>946</v>
      </c>
      <c r="C284" s="39">
        <v>43620</v>
      </c>
      <c r="D284" s="39">
        <v>43813</v>
      </c>
      <c r="E284" s="47">
        <f>D284-C284</f>
        <v>193</v>
      </c>
      <c r="F284" s="43" t="s">
        <v>0</v>
      </c>
      <c r="G284" s="45" t="s">
        <v>26</v>
      </c>
      <c r="H284" s="45"/>
      <c r="I284" s="45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 spans="1:27" ht="15.75" customHeight="1">
      <c r="A285" s="65" t="s">
        <v>947</v>
      </c>
      <c r="B285" s="206" t="s">
        <v>948</v>
      </c>
      <c r="C285" s="39">
        <v>43784</v>
      </c>
      <c r="D285" s="39">
        <v>43814</v>
      </c>
      <c r="E285" s="47">
        <f>D285-C285</f>
        <v>30</v>
      </c>
      <c r="F285" s="208" t="s">
        <v>949</v>
      </c>
      <c r="G285" s="45"/>
      <c r="H285" s="45"/>
      <c r="I285" s="45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 spans="1:27" ht="15.75" customHeight="1">
      <c r="A286" s="205" t="s">
        <v>949</v>
      </c>
      <c r="B286" s="206" t="s">
        <v>950</v>
      </c>
      <c r="C286" s="39">
        <v>43670</v>
      </c>
      <c r="D286" s="39">
        <v>43814</v>
      </c>
      <c r="E286" s="47">
        <f>D286-C286</f>
        <v>144</v>
      </c>
      <c r="F286" s="43" t="s">
        <v>0</v>
      </c>
      <c r="G286" s="45" t="s">
        <v>1</v>
      </c>
      <c r="H286" s="45"/>
      <c r="I286" s="45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 spans="1:27" ht="15.75" customHeight="1">
      <c r="A287" s="42" t="s">
        <v>825</v>
      </c>
      <c r="B287" s="206" t="s">
        <v>951</v>
      </c>
      <c r="C287" s="39">
        <v>43548</v>
      </c>
      <c r="D287" s="39">
        <v>43814</v>
      </c>
      <c r="E287" s="47">
        <f>D287-C287</f>
        <v>266</v>
      </c>
      <c r="F287" s="208" t="s">
        <v>647</v>
      </c>
      <c r="G287" s="45" t="s">
        <v>1</v>
      </c>
      <c r="H287" s="45"/>
      <c r="I287" s="45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 spans="1:27" ht="15.75" customHeight="1">
      <c r="A288" s="205" t="s">
        <v>893</v>
      </c>
      <c r="B288" s="209" t="s">
        <v>952</v>
      </c>
      <c r="C288" s="39">
        <v>43739</v>
      </c>
      <c r="D288" s="39">
        <v>43818</v>
      </c>
      <c r="E288" s="47">
        <f>D288-C288</f>
        <v>79</v>
      </c>
      <c r="F288" s="43" t="s">
        <v>0</v>
      </c>
      <c r="G288" s="45" t="s">
        <v>33</v>
      </c>
      <c r="H288" s="45"/>
      <c r="I288" s="45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 spans="1:27" ht="15.75" customHeight="1">
      <c r="A289" s="57" t="s">
        <v>734</v>
      </c>
      <c r="B289" s="206" t="s">
        <v>953</v>
      </c>
      <c r="C289" s="39">
        <v>43662</v>
      </c>
      <c r="D289" s="39">
        <v>43820</v>
      </c>
      <c r="E289" s="47">
        <f>D289-C289</f>
        <v>158</v>
      </c>
      <c r="F289" s="43" t="s">
        <v>54</v>
      </c>
      <c r="G289" s="45" t="s">
        <v>33</v>
      </c>
      <c r="H289" s="45"/>
      <c r="I289" s="45" t="s">
        <v>954</v>
      </c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 spans="1:27" ht="15.75" customHeight="1">
      <c r="A290" s="42" t="s">
        <v>881</v>
      </c>
      <c r="B290" s="206" t="s">
        <v>955</v>
      </c>
      <c r="C290" s="39">
        <v>43594</v>
      </c>
      <c r="D290" s="39">
        <v>43820</v>
      </c>
      <c r="E290" s="47">
        <f>D290-C290</f>
        <v>226</v>
      </c>
      <c r="F290" s="208" t="s">
        <v>847</v>
      </c>
      <c r="G290" s="45" t="s">
        <v>956</v>
      </c>
      <c r="H290" s="45"/>
      <c r="I290" s="45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 spans="1:27" ht="15.75" customHeight="1">
      <c r="A291" s="205" t="s">
        <v>957</v>
      </c>
      <c r="B291" s="206" t="s">
        <v>958</v>
      </c>
      <c r="C291" s="39">
        <v>43818</v>
      </c>
      <c r="D291" s="39">
        <v>43821</v>
      </c>
      <c r="E291" s="47">
        <f>D291-C291</f>
        <v>3</v>
      </c>
      <c r="F291" s="207" t="s">
        <v>959</v>
      </c>
      <c r="G291" s="45"/>
      <c r="H291" s="45"/>
      <c r="I291" s="45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 spans="1:27" ht="15.75" customHeight="1">
      <c r="A292" s="42" t="s">
        <v>54</v>
      </c>
      <c r="B292" s="206" t="s">
        <v>771</v>
      </c>
      <c r="C292" s="39">
        <v>43701</v>
      </c>
      <c r="D292" s="39">
        <v>43821</v>
      </c>
      <c r="E292" s="47">
        <f>D292-C292</f>
        <v>120</v>
      </c>
      <c r="F292" s="43" t="s">
        <v>810</v>
      </c>
      <c r="G292" s="45" t="s">
        <v>70</v>
      </c>
      <c r="H292" s="45"/>
      <c r="I292" s="45"/>
      <c r="J292" s="42"/>
      <c r="K292" s="42"/>
      <c r="L292" s="42"/>
      <c r="M292" s="42"/>
    </row>
    <row r="293" spans="1:27" ht="15.75" customHeight="1">
      <c r="A293" s="57" t="s">
        <v>960</v>
      </c>
      <c r="B293" s="206" t="s">
        <v>961</v>
      </c>
      <c r="C293" s="39">
        <v>43684</v>
      </c>
      <c r="D293" s="39">
        <v>43821</v>
      </c>
      <c r="E293" s="47">
        <f>D293-C293</f>
        <v>137</v>
      </c>
      <c r="F293" s="43" t="s">
        <v>715</v>
      </c>
      <c r="G293" s="153"/>
      <c r="H293" s="153"/>
      <c r="I293" s="153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 spans="1:27" ht="15.75" customHeight="1">
      <c r="A294" s="42" t="s">
        <v>668</v>
      </c>
      <c r="B294" s="206" t="s">
        <v>669</v>
      </c>
      <c r="C294" s="39">
        <v>43808</v>
      </c>
      <c r="D294" s="39">
        <v>43823</v>
      </c>
      <c r="E294" s="47">
        <f>D294-C294</f>
        <v>15</v>
      </c>
      <c r="F294" s="43" t="s">
        <v>0</v>
      </c>
      <c r="G294" s="45" t="s">
        <v>33</v>
      </c>
      <c r="H294" s="45"/>
      <c r="I294" s="45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 spans="1:27" ht="15.75" customHeight="1">
      <c r="A295" s="57" t="s">
        <v>789</v>
      </c>
      <c r="B295" s="209" t="s">
        <v>790</v>
      </c>
      <c r="C295" s="39">
        <v>43797</v>
      </c>
      <c r="D295" s="39">
        <v>43823</v>
      </c>
      <c r="E295" s="47">
        <f>D295-C295</f>
        <v>26</v>
      </c>
      <c r="F295" s="43" t="s">
        <v>0</v>
      </c>
      <c r="G295" s="45"/>
      <c r="H295" s="45"/>
      <c r="I295" s="45"/>
      <c r="J295" s="42"/>
      <c r="K295" s="42"/>
      <c r="L295" s="42"/>
      <c r="M295" s="42"/>
    </row>
    <row r="296" spans="1:27" ht="15.75" customHeight="1">
      <c r="A296" s="57" t="s">
        <v>758</v>
      </c>
      <c r="B296" s="209" t="s">
        <v>962</v>
      </c>
      <c r="C296" s="39">
        <v>43752</v>
      </c>
      <c r="D296" s="39">
        <v>43823</v>
      </c>
      <c r="E296" s="47">
        <f>D296-C296</f>
        <v>71</v>
      </c>
      <c r="F296" s="43" t="s">
        <v>54</v>
      </c>
      <c r="G296" s="153"/>
      <c r="H296" s="153"/>
      <c r="I296" s="153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 spans="1:27" ht="15.75" customHeight="1">
      <c r="A297" s="205" t="s">
        <v>624</v>
      </c>
      <c r="B297" s="206" t="s">
        <v>625</v>
      </c>
      <c r="C297" s="39">
        <v>43649</v>
      </c>
      <c r="D297" s="39">
        <v>43827</v>
      </c>
      <c r="E297" s="47">
        <f>D297-C297</f>
        <v>178</v>
      </c>
      <c r="F297" s="43" t="s">
        <v>0</v>
      </c>
      <c r="G297" s="45" t="s">
        <v>33</v>
      </c>
      <c r="H297" s="45"/>
      <c r="I297" s="45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 spans="1:27" ht="15.75" customHeight="1">
      <c r="A298" s="57" t="s">
        <v>963</v>
      </c>
      <c r="B298" s="206" t="s">
        <v>964</v>
      </c>
      <c r="C298" s="39">
        <v>43647</v>
      </c>
      <c r="D298" s="39">
        <v>43827</v>
      </c>
      <c r="E298" s="47">
        <f>D298-C298</f>
        <v>180</v>
      </c>
      <c r="F298" s="43" t="s">
        <v>726</v>
      </c>
      <c r="G298" s="45"/>
      <c r="H298" s="45"/>
      <c r="I298" s="45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 spans="1:27" ht="15.75" customHeight="1">
      <c r="A299" s="42" t="s">
        <v>965</v>
      </c>
      <c r="B299" s="206" t="s">
        <v>966</v>
      </c>
      <c r="C299" s="39">
        <v>43620</v>
      </c>
      <c r="D299" s="39">
        <v>43827</v>
      </c>
      <c r="E299" s="47">
        <f>D299-C299</f>
        <v>207</v>
      </c>
      <c r="F299" s="43" t="s">
        <v>0</v>
      </c>
      <c r="G299" s="45"/>
      <c r="H299" s="45"/>
      <c r="I299" s="45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 spans="1:27" ht="15.75" customHeight="1">
      <c r="A300" s="214" t="s">
        <v>959</v>
      </c>
      <c r="B300" s="215" t="s">
        <v>967</v>
      </c>
      <c r="C300" s="66">
        <v>43813</v>
      </c>
      <c r="D300" s="66">
        <v>43834</v>
      </c>
      <c r="E300" s="47">
        <f>D300-C300</f>
        <v>21</v>
      </c>
      <c r="F300" s="67" t="s">
        <v>825</v>
      </c>
      <c r="G300" s="49"/>
      <c r="H300" s="49"/>
      <c r="I300" s="49"/>
      <c r="J300" s="50"/>
      <c r="K300" s="50"/>
      <c r="L300" s="50"/>
      <c r="M300" s="50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 spans="1:27" ht="15.75" customHeight="1">
      <c r="A301" s="42" t="s">
        <v>968</v>
      </c>
      <c r="B301" s="206" t="s">
        <v>969</v>
      </c>
      <c r="C301" s="39">
        <v>43705</v>
      </c>
      <c r="D301" s="39">
        <v>43834</v>
      </c>
      <c r="E301" s="47">
        <f>D301-C301</f>
        <v>129</v>
      </c>
      <c r="F301" s="43" t="s">
        <v>0</v>
      </c>
      <c r="G301" s="45"/>
      <c r="H301" s="45"/>
      <c r="I301" s="45"/>
      <c r="J301" s="42"/>
      <c r="K301" s="42"/>
      <c r="L301" s="42"/>
      <c r="M301" s="42"/>
    </row>
    <row r="302" spans="1:27" ht="15.75" customHeight="1">
      <c r="A302" s="50" t="s">
        <v>269</v>
      </c>
      <c r="B302" s="215" t="s">
        <v>270</v>
      </c>
      <c r="C302" s="66">
        <v>43555</v>
      </c>
      <c r="D302" s="66">
        <v>43834</v>
      </c>
      <c r="E302" s="47">
        <f>D302-C302</f>
        <v>279</v>
      </c>
      <c r="F302" s="67" t="s">
        <v>0</v>
      </c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 spans="1:27" ht="15.75" customHeight="1">
      <c r="A303" s="42" t="s">
        <v>970</v>
      </c>
      <c r="B303" s="206" t="s">
        <v>971</v>
      </c>
      <c r="C303" s="39">
        <v>43537</v>
      </c>
      <c r="D303" s="66">
        <v>43834</v>
      </c>
      <c r="E303" s="47">
        <f>D303-C303</f>
        <v>297</v>
      </c>
      <c r="F303" s="43" t="s">
        <v>0</v>
      </c>
      <c r="G303" s="45" t="s">
        <v>972</v>
      </c>
      <c r="H303" s="45"/>
      <c r="I303" s="35"/>
    </row>
    <row r="304" spans="1:27" ht="15.75" customHeight="1">
      <c r="A304" s="212" t="s">
        <v>973</v>
      </c>
      <c r="B304" s="216" t="s">
        <v>974</v>
      </c>
      <c r="C304" s="61">
        <v>43717</v>
      </c>
      <c r="D304" s="61">
        <v>43841</v>
      </c>
      <c r="E304" s="47">
        <f>D304-C304</f>
        <v>124</v>
      </c>
      <c r="F304" s="62" t="s">
        <v>975</v>
      </c>
      <c r="G304" s="55" t="s">
        <v>805</v>
      </c>
      <c r="H304" s="55"/>
    </row>
    <row r="305" spans="1:27" ht="15.75" customHeight="1">
      <c r="A305" s="69" t="s">
        <v>975</v>
      </c>
      <c r="B305" s="213" t="s">
        <v>976</v>
      </c>
      <c r="C305" s="61">
        <v>43688</v>
      </c>
      <c r="D305" s="61">
        <v>43841</v>
      </c>
      <c r="E305" s="47">
        <f>D305-C305</f>
        <v>153</v>
      </c>
      <c r="F305" s="62" t="s">
        <v>0</v>
      </c>
      <c r="G305" s="55" t="s">
        <v>336</v>
      </c>
      <c r="H305" s="55"/>
      <c r="I305" s="55" t="s">
        <v>954</v>
      </c>
    </row>
    <row r="306" spans="1:27" ht="15.75" customHeight="1">
      <c r="A306" s="205" t="s">
        <v>639</v>
      </c>
      <c r="B306" s="206" t="s">
        <v>640</v>
      </c>
      <c r="C306" s="39">
        <v>43627</v>
      </c>
      <c r="D306" s="61">
        <v>43841</v>
      </c>
      <c r="E306" s="71">
        <f>D306-C306</f>
        <v>214</v>
      </c>
      <c r="F306" s="43" t="s">
        <v>0</v>
      </c>
      <c r="G306" s="45"/>
      <c r="H306" s="45"/>
      <c r="I306" s="45"/>
      <c r="J306" s="42"/>
      <c r="K306" s="42"/>
      <c r="L306" s="42"/>
      <c r="M306" s="42"/>
    </row>
    <row r="307" spans="1:27" ht="15.75" customHeight="1">
      <c r="A307" s="56" t="s">
        <v>977</v>
      </c>
      <c r="B307" s="213" t="s">
        <v>978</v>
      </c>
      <c r="C307" s="61">
        <v>43488</v>
      </c>
      <c r="D307" s="61">
        <v>43841</v>
      </c>
      <c r="E307" s="47">
        <f>D307-C307</f>
        <v>353</v>
      </c>
      <c r="F307" s="62" t="s">
        <v>0</v>
      </c>
      <c r="G307" s="55" t="s">
        <v>312</v>
      </c>
      <c r="H307" s="55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 spans="1:27" ht="15.75" customHeight="1">
      <c r="A308" s="205" t="s">
        <v>979</v>
      </c>
      <c r="B308" s="209" t="s">
        <v>980</v>
      </c>
      <c r="C308" s="39">
        <v>43737</v>
      </c>
      <c r="D308" s="39">
        <v>43845</v>
      </c>
      <c r="E308" s="71">
        <f>D308-C308</f>
        <v>108</v>
      </c>
      <c r="F308" s="43" t="s">
        <v>981</v>
      </c>
    </row>
    <row r="309" spans="1:27" ht="15.75" customHeight="1">
      <c r="A309" s="56" t="s">
        <v>813</v>
      </c>
      <c r="B309" s="213" t="s">
        <v>982</v>
      </c>
      <c r="C309" s="61">
        <v>43640</v>
      </c>
      <c r="D309" s="61">
        <v>43848</v>
      </c>
      <c r="E309" s="71">
        <f>D309-C309</f>
        <v>208</v>
      </c>
      <c r="F309" s="62" t="s">
        <v>983</v>
      </c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 spans="1:27" ht="15.75" customHeight="1">
      <c r="A310" s="56" t="s">
        <v>637</v>
      </c>
      <c r="B310" s="213" t="s">
        <v>638</v>
      </c>
      <c r="C310" s="61">
        <v>43601</v>
      </c>
      <c r="D310" s="61">
        <v>43848</v>
      </c>
      <c r="E310" s="71">
        <f>D310-C310</f>
        <v>247</v>
      </c>
      <c r="F310" s="62" t="s">
        <v>0</v>
      </c>
      <c r="G310" s="55"/>
      <c r="H310" s="55"/>
      <c r="I310" s="55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spans="1:27" ht="15.75" customHeight="1">
      <c r="A311" s="56" t="s">
        <v>984</v>
      </c>
      <c r="B311" s="213" t="s">
        <v>985</v>
      </c>
      <c r="C311" s="61">
        <v>43388</v>
      </c>
      <c r="D311" s="61">
        <v>43848</v>
      </c>
      <c r="E311" s="71">
        <f>D311-C311</f>
        <v>460</v>
      </c>
      <c r="F311" s="62" t="s">
        <v>0</v>
      </c>
      <c r="G311" s="55" t="s">
        <v>1</v>
      </c>
      <c r="H311" s="55"/>
      <c r="I311" s="55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spans="1:27" ht="15.75" customHeight="1">
      <c r="A312" s="42" t="s">
        <v>986</v>
      </c>
      <c r="B312" s="206" t="s">
        <v>987</v>
      </c>
      <c r="C312" s="39">
        <v>43835</v>
      </c>
      <c r="D312" s="40">
        <v>43853</v>
      </c>
      <c r="E312" s="41">
        <f>D312-C312</f>
        <v>18</v>
      </c>
      <c r="F312" s="208" t="s">
        <v>988</v>
      </c>
      <c r="G312" s="45"/>
      <c r="H312" s="45"/>
      <c r="I312" s="45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 spans="1:27" ht="15.75" customHeight="1">
      <c r="A313" s="205" t="s">
        <v>989</v>
      </c>
      <c r="B313" s="206" t="s">
        <v>990</v>
      </c>
      <c r="C313" s="39">
        <v>43685</v>
      </c>
      <c r="D313" s="39">
        <v>43854</v>
      </c>
      <c r="E313" s="47">
        <f>D313-C313</f>
        <v>169</v>
      </c>
      <c r="F313" s="43" t="s">
        <v>991</v>
      </c>
      <c r="G313" s="45"/>
      <c r="H313" s="45"/>
      <c r="I313" s="45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 spans="1:27" ht="15.75" customHeight="1">
      <c r="A314" s="205" t="s">
        <v>992</v>
      </c>
      <c r="B314" s="206" t="s">
        <v>993</v>
      </c>
      <c r="C314" s="39">
        <v>43822</v>
      </c>
      <c r="D314" s="40">
        <v>43855</v>
      </c>
      <c r="E314" s="47">
        <f>D314-C314</f>
        <v>33</v>
      </c>
      <c r="F314" s="43" t="s">
        <v>994</v>
      </c>
      <c r="G314" s="45" t="s">
        <v>995</v>
      </c>
      <c r="H314" s="45"/>
      <c r="I314" s="45"/>
      <c r="J314" s="42" t="s">
        <v>436</v>
      </c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 spans="1:27" ht="15.75" customHeight="1">
      <c r="A315" s="42" t="s">
        <v>996</v>
      </c>
      <c r="B315" s="206" t="s">
        <v>997</v>
      </c>
      <c r="C315" s="39">
        <v>43834</v>
      </c>
      <c r="D315" s="39">
        <v>43856</v>
      </c>
      <c r="E315" s="47">
        <f>D315-C315</f>
        <v>22</v>
      </c>
      <c r="F315" s="208" t="s">
        <v>641</v>
      </c>
      <c r="G315" s="45" t="s">
        <v>995</v>
      </c>
      <c r="H315" s="45"/>
      <c r="I315" s="45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 spans="1:27" ht="15.75" customHeight="1">
      <c r="A316" s="42" t="s">
        <v>730</v>
      </c>
      <c r="B316" s="206" t="s">
        <v>731</v>
      </c>
      <c r="C316" s="39">
        <v>43784</v>
      </c>
      <c r="D316" s="39">
        <v>43856</v>
      </c>
      <c r="E316" s="47">
        <f>D316-C316</f>
        <v>72</v>
      </c>
      <c r="F316" s="43" t="s">
        <v>0</v>
      </c>
      <c r="G316" s="45" t="s">
        <v>33</v>
      </c>
      <c r="H316" s="45"/>
      <c r="I316" s="45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 spans="1:27" ht="15.75" customHeight="1">
      <c r="A317" s="205" t="s">
        <v>702</v>
      </c>
      <c r="B317" s="206" t="s">
        <v>905</v>
      </c>
      <c r="C317" s="39">
        <v>43839</v>
      </c>
      <c r="D317" s="39">
        <v>43857</v>
      </c>
      <c r="E317" s="47">
        <f>D317-C317</f>
        <v>18</v>
      </c>
      <c r="F317" s="43" t="s">
        <v>0</v>
      </c>
      <c r="G317" s="45" t="s">
        <v>33</v>
      </c>
      <c r="H317" s="45"/>
      <c r="I317" s="45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 spans="1:27" ht="15.75" customHeight="1">
      <c r="A318" s="42" t="s">
        <v>998</v>
      </c>
      <c r="B318" s="206" t="s">
        <v>999</v>
      </c>
      <c r="C318" s="39">
        <v>43595</v>
      </c>
      <c r="D318" s="39">
        <v>43859</v>
      </c>
      <c r="E318" s="47">
        <f>D318-C318</f>
        <v>264</v>
      </c>
      <c r="F318" s="208" t="s">
        <v>928</v>
      </c>
      <c r="G318" s="45" t="s">
        <v>1</v>
      </c>
      <c r="H318" s="45"/>
      <c r="I318" s="45"/>
      <c r="J318" s="42"/>
      <c r="K318" s="53" t="s">
        <v>1000</v>
      </c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 spans="1:27" ht="15.75" customHeight="1">
      <c r="A319" s="52" t="s">
        <v>1001</v>
      </c>
      <c r="B319" s="209" t="s">
        <v>1002</v>
      </c>
      <c r="C319" s="39">
        <v>43720</v>
      </c>
      <c r="D319" s="39">
        <v>43861</v>
      </c>
      <c r="E319" s="47">
        <f>D319-C319</f>
        <v>141</v>
      </c>
      <c r="F319" s="208" t="s">
        <v>641</v>
      </c>
      <c r="G319" s="45" t="s">
        <v>942</v>
      </c>
      <c r="H319" s="45"/>
      <c r="I319" s="45"/>
      <c r="J319" s="42"/>
      <c r="K319" s="53" t="s">
        <v>1003</v>
      </c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 spans="1:27" ht="15.75" customHeight="1">
      <c r="A320" s="205" t="s">
        <v>1004</v>
      </c>
      <c r="B320" s="206" t="s">
        <v>1005</v>
      </c>
      <c r="C320" s="39">
        <v>43836</v>
      </c>
      <c r="D320" s="40">
        <v>43862</v>
      </c>
      <c r="E320" s="41">
        <f>D320-C320</f>
        <v>26</v>
      </c>
      <c r="F320" s="43" t="s">
        <v>1006</v>
      </c>
      <c r="G320" s="45"/>
      <c r="H320" s="45"/>
      <c r="I320" s="45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 spans="1:27" ht="15.75" customHeight="1">
      <c r="A321" s="205" t="s">
        <v>754</v>
      </c>
      <c r="B321" s="206" t="s">
        <v>755</v>
      </c>
      <c r="C321" s="39">
        <v>43753</v>
      </c>
      <c r="D321" s="39">
        <v>43862</v>
      </c>
      <c r="E321" s="47">
        <f>D321-C321</f>
        <v>109</v>
      </c>
      <c r="F321" s="43" t="s">
        <v>0</v>
      </c>
      <c r="G321" s="45"/>
      <c r="H321" s="45"/>
      <c r="I321" s="45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 spans="1:27" ht="15.75" customHeight="1">
      <c r="A322" s="205" t="s">
        <v>1007</v>
      </c>
      <c r="B322" s="206" t="s">
        <v>1008</v>
      </c>
      <c r="C322" s="39">
        <v>43862</v>
      </c>
      <c r="D322" s="39">
        <v>43863</v>
      </c>
      <c r="E322" s="41">
        <v>1</v>
      </c>
      <c r="F322" s="43" t="s">
        <v>0</v>
      </c>
      <c r="G322" s="45"/>
      <c r="H322" s="45"/>
      <c r="I322" s="45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 spans="1:27" ht="15.75" customHeight="1">
      <c r="A323" s="42" t="s">
        <v>467</v>
      </c>
      <c r="B323" s="206" t="s">
        <v>468</v>
      </c>
      <c r="C323" s="39">
        <v>43813</v>
      </c>
      <c r="D323" s="39">
        <v>43863</v>
      </c>
      <c r="E323" s="41">
        <f>D323-C323</f>
        <v>50</v>
      </c>
      <c r="F323" s="43" t="s">
        <v>0</v>
      </c>
      <c r="G323" s="45"/>
      <c r="H323" s="45"/>
      <c r="I323" s="45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 spans="1:27" ht="15.75" customHeight="1">
      <c r="A324" s="42" t="s">
        <v>994</v>
      </c>
      <c r="B324" s="206" t="s">
        <v>994</v>
      </c>
      <c r="C324" s="39">
        <v>43813</v>
      </c>
      <c r="D324" s="39">
        <v>43864</v>
      </c>
      <c r="E324" s="47">
        <f>D324-C324</f>
        <v>51</v>
      </c>
      <c r="F324" s="43" t="s">
        <v>1009</v>
      </c>
      <c r="G324" s="45"/>
      <c r="H324" s="45"/>
      <c r="I324" s="45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 spans="1:27" ht="15.75" customHeight="1">
      <c r="A325" s="205" t="s">
        <v>1010</v>
      </c>
      <c r="B325" s="206" t="s">
        <v>1011</v>
      </c>
      <c r="C325" s="39">
        <v>43801</v>
      </c>
      <c r="D325" s="39">
        <v>43869</v>
      </c>
      <c r="E325" s="47">
        <f>D325-C325</f>
        <v>68</v>
      </c>
      <c r="F325" s="43" t="s">
        <v>0</v>
      </c>
      <c r="G325" s="45" t="s">
        <v>26</v>
      </c>
      <c r="H325" s="45"/>
      <c r="I325" s="45" t="s">
        <v>954</v>
      </c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 spans="1:27" ht="15.75" customHeight="1">
      <c r="A326" s="65" t="s">
        <v>1012</v>
      </c>
      <c r="B326" s="217" t="s">
        <v>1012</v>
      </c>
      <c r="C326" s="39">
        <v>43786</v>
      </c>
      <c r="D326" s="39">
        <v>43869</v>
      </c>
      <c r="E326" s="47">
        <f>D326-C326</f>
        <v>83</v>
      </c>
      <c r="F326" s="43" t="s">
        <v>54</v>
      </c>
      <c r="G326" s="45"/>
      <c r="H326" s="45"/>
      <c r="I326" s="45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 spans="1:27" ht="15.75" customHeight="1">
      <c r="A327" s="205" t="s">
        <v>1013</v>
      </c>
      <c r="B327" s="206" t="s">
        <v>1014</v>
      </c>
      <c r="C327" s="39">
        <v>43801</v>
      </c>
      <c r="D327" s="39">
        <v>43875</v>
      </c>
      <c r="E327" s="47">
        <f>D327-C327</f>
        <v>74</v>
      </c>
      <c r="F327" s="43" t="s">
        <v>0</v>
      </c>
      <c r="G327" s="153"/>
      <c r="H327" s="153"/>
      <c r="I327" s="153"/>
    </row>
    <row r="328" spans="1:27" ht="15.75" customHeight="1">
      <c r="A328" s="42" t="s">
        <v>1015</v>
      </c>
      <c r="B328" s="206" t="s">
        <v>1016</v>
      </c>
      <c r="C328" s="39">
        <v>43863</v>
      </c>
      <c r="D328" s="40">
        <v>43876</v>
      </c>
      <c r="E328" s="41">
        <f>D328-C328</f>
        <v>13</v>
      </c>
      <c r="F328" s="43" t="s">
        <v>1017</v>
      </c>
      <c r="G328" s="153"/>
      <c r="H328" s="153"/>
      <c r="I328" s="153"/>
    </row>
    <row r="329" spans="1:27" ht="15.75" customHeight="1">
      <c r="A329" s="57" t="s">
        <v>1018</v>
      </c>
      <c r="B329" s="206" t="s">
        <v>1018</v>
      </c>
      <c r="C329" s="39">
        <v>43653</v>
      </c>
      <c r="D329" s="40">
        <v>43876</v>
      </c>
      <c r="E329" s="41">
        <f>D329-C329</f>
        <v>223</v>
      </c>
      <c r="F329" s="43" t="s">
        <v>686</v>
      </c>
      <c r="G329" s="153"/>
      <c r="H329" s="153"/>
      <c r="I329" s="153"/>
    </row>
    <row r="330" spans="1:27" ht="15.75" customHeight="1">
      <c r="A330" s="205" t="s">
        <v>1019</v>
      </c>
      <c r="B330" s="206" t="s">
        <v>1020</v>
      </c>
      <c r="C330" s="39">
        <v>43835</v>
      </c>
      <c r="D330" s="39">
        <v>43878</v>
      </c>
      <c r="E330" s="47">
        <f>D330-C330</f>
        <v>43</v>
      </c>
      <c r="F330" s="43" t="s">
        <v>68</v>
      </c>
      <c r="G330" s="45"/>
      <c r="H330" s="45"/>
      <c r="I330" s="45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 spans="1:27" ht="15.75" customHeight="1">
      <c r="A331" s="205" t="s">
        <v>641</v>
      </c>
      <c r="B331" s="206" t="s">
        <v>1021</v>
      </c>
      <c r="C331" s="39">
        <v>43398</v>
      </c>
      <c r="D331" s="39">
        <v>43878</v>
      </c>
      <c r="E331" s="47">
        <f>D331-C331</f>
        <v>480</v>
      </c>
      <c r="F331" s="43" t="s">
        <v>464</v>
      </c>
      <c r="G331" s="45" t="s">
        <v>26</v>
      </c>
      <c r="H331" s="45"/>
      <c r="I331" s="45"/>
      <c r="J331" s="42"/>
      <c r="K331" s="53" t="s">
        <v>1022</v>
      </c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 spans="1:27" ht="15.75" customHeight="1">
      <c r="A332" s="42" t="s">
        <v>1023</v>
      </c>
      <c r="B332" s="206" t="s">
        <v>1024</v>
      </c>
      <c r="C332" s="39">
        <v>43863</v>
      </c>
      <c r="D332" s="40">
        <v>43879</v>
      </c>
      <c r="E332" s="41">
        <f>D332-C332</f>
        <v>16</v>
      </c>
      <c r="F332" s="43" t="s">
        <v>1017</v>
      </c>
      <c r="G332" s="45"/>
      <c r="H332" s="45"/>
      <c r="I332" s="45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 spans="1:27" ht="15.75" customHeight="1">
      <c r="A333" s="42" t="s">
        <v>878</v>
      </c>
      <c r="B333" s="206" t="s">
        <v>878</v>
      </c>
      <c r="C333" s="39">
        <v>43806</v>
      </c>
      <c r="D333" s="40">
        <v>43879</v>
      </c>
      <c r="E333" s="41">
        <f>D333-C333</f>
        <v>73</v>
      </c>
      <c r="F333" s="43" t="s">
        <v>0</v>
      </c>
      <c r="G333" s="45"/>
      <c r="H333" s="45"/>
      <c r="I333" s="45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 spans="1:27" ht="15.75" customHeight="1">
      <c r="A334" s="205" t="s">
        <v>1025</v>
      </c>
      <c r="B334" s="206" t="s">
        <v>1026</v>
      </c>
      <c r="C334" s="39">
        <v>43870</v>
      </c>
      <c r="D334" s="40">
        <v>43883</v>
      </c>
      <c r="E334" s="41">
        <f>D334-C334</f>
        <v>13</v>
      </c>
      <c r="F334" s="208" t="s">
        <v>1027</v>
      </c>
      <c r="G334" s="45"/>
      <c r="H334" s="45"/>
      <c r="I334" s="45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 spans="1:27" ht="15.75" customHeight="1">
      <c r="A335" s="205" t="s">
        <v>1028</v>
      </c>
      <c r="B335" s="206" t="s">
        <v>1029</v>
      </c>
      <c r="C335" s="39">
        <v>43863</v>
      </c>
      <c r="D335" s="40">
        <v>43883</v>
      </c>
      <c r="E335" s="41">
        <f>D335-C335</f>
        <v>20</v>
      </c>
      <c r="F335" s="43" t="s">
        <v>0</v>
      </c>
      <c r="G335" s="45" t="s">
        <v>1030</v>
      </c>
      <c r="H335" s="45"/>
      <c r="I335" s="45"/>
      <c r="J335" s="42"/>
      <c r="K335" s="53" t="s">
        <v>1031</v>
      </c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 spans="1:27" ht="15.75" customHeight="1">
      <c r="A336" s="42" t="s">
        <v>1032</v>
      </c>
      <c r="B336" s="206" t="s">
        <v>1033</v>
      </c>
      <c r="C336" s="39">
        <v>43843</v>
      </c>
      <c r="D336" s="40">
        <v>43883</v>
      </c>
      <c r="E336" s="41">
        <f>D336-C336</f>
        <v>40</v>
      </c>
      <c r="F336" s="43" t="s">
        <v>19</v>
      </c>
      <c r="G336" s="45"/>
      <c r="H336" s="45"/>
      <c r="I336" s="45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 spans="1:27" ht="15.75" customHeight="1">
      <c r="A337" s="205" t="s">
        <v>1034</v>
      </c>
      <c r="B337" s="206" t="s">
        <v>1035</v>
      </c>
      <c r="C337" s="39">
        <v>43732</v>
      </c>
      <c r="D337" s="40">
        <v>43883</v>
      </c>
      <c r="E337" s="47">
        <f>D337-C337</f>
        <v>151</v>
      </c>
      <c r="F337" s="208" t="s">
        <v>854</v>
      </c>
      <c r="G337" s="45"/>
      <c r="H337" s="45"/>
      <c r="I337" s="45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 spans="1:27" ht="15.75" customHeight="1">
      <c r="A338" s="57" t="s">
        <v>1009</v>
      </c>
      <c r="B338" s="206" t="s">
        <v>1036</v>
      </c>
      <c r="C338" s="39">
        <v>43660</v>
      </c>
      <c r="D338" s="40">
        <v>43883</v>
      </c>
      <c r="E338" s="47">
        <f>D338-C338</f>
        <v>223</v>
      </c>
      <c r="F338" s="45" t="s">
        <v>1037</v>
      </c>
      <c r="G338" s="45" t="s">
        <v>1</v>
      </c>
      <c r="H338" s="45"/>
      <c r="I338" s="45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 spans="1:27" ht="15.75" customHeight="1">
      <c r="A339" s="205" t="s">
        <v>1038</v>
      </c>
      <c r="B339" s="206" t="s">
        <v>1039</v>
      </c>
      <c r="C339" s="39">
        <v>43871</v>
      </c>
      <c r="D339" s="40">
        <v>43885</v>
      </c>
      <c r="E339" s="47">
        <f>D339-C339</f>
        <v>14</v>
      </c>
      <c r="F339" s="43" t="s">
        <v>1017</v>
      </c>
      <c r="G339" s="45"/>
      <c r="H339" s="45"/>
      <c r="I339" s="45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 spans="1:27" ht="15.75" customHeight="1">
      <c r="A340" s="205" t="s">
        <v>1040</v>
      </c>
      <c r="B340" s="206" t="s">
        <v>1041</v>
      </c>
      <c r="C340" s="39">
        <v>43870</v>
      </c>
      <c r="D340" s="40">
        <v>43890</v>
      </c>
      <c r="E340" s="41">
        <f>D340-C340</f>
        <v>20</v>
      </c>
      <c r="F340" s="43" t="s">
        <v>0</v>
      </c>
      <c r="G340" s="45" t="s">
        <v>70</v>
      </c>
      <c r="H340" s="45"/>
      <c r="I340" s="45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 spans="1:27" ht="15.75" customHeight="1">
      <c r="A341" s="42" t="s">
        <v>1042</v>
      </c>
      <c r="B341" s="206" t="s">
        <v>1043</v>
      </c>
      <c r="C341" s="39">
        <v>43849</v>
      </c>
      <c r="D341" s="40">
        <v>43890</v>
      </c>
      <c r="E341" s="47">
        <f>D341-C341</f>
        <v>41</v>
      </c>
      <c r="F341" s="43" t="s">
        <v>0</v>
      </c>
      <c r="G341" s="45"/>
      <c r="H341" s="45"/>
      <c r="I341" s="45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 spans="1:27" ht="15.75" customHeight="1">
      <c r="A342" s="42" t="s">
        <v>1044</v>
      </c>
      <c r="B342" s="206" t="s">
        <v>1045</v>
      </c>
      <c r="C342" s="39">
        <v>43839</v>
      </c>
      <c r="D342" s="40">
        <v>43890</v>
      </c>
      <c r="E342" s="47">
        <f>D342-C342</f>
        <v>51</v>
      </c>
      <c r="F342" s="43" t="s">
        <v>0</v>
      </c>
      <c r="G342" s="45" t="s">
        <v>33</v>
      </c>
      <c r="H342" s="45"/>
      <c r="I342" s="45"/>
      <c r="J342" s="42"/>
      <c r="K342" s="53" t="s">
        <v>1046</v>
      </c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 spans="1:27" ht="15.75" customHeight="1">
      <c r="A343" s="205" t="s">
        <v>1047</v>
      </c>
      <c r="B343" s="206" t="s">
        <v>1048</v>
      </c>
      <c r="C343" s="39">
        <v>43829</v>
      </c>
      <c r="D343" s="40">
        <v>43890</v>
      </c>
      <c r="E343" s="41">
        <f>D343-C343</f>
        <v>61</v>
      </c>
      <c r="F343" s="43" t="s">
        <v>0</v>
      </c>
      <c r="G343" s="45"/>
      <c r="H343" s="45"/>
      <c r="I343" s="45"/>
      <c r="J343" s="42"/>
      <c r="K343" s="53" t="s">
        <v>1049</v>
      </c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 spans="1:27" ht="15.75" customHeight="1">
      <c r="A344" s="42" t="s">
        <v>1050</v>
      </c>
      <c r="B344" s="206" t="s">
        <v>1051</v>
      </c>
      <c r="C344" s="39">
        <v>43544</v>
      </c>
      <c r="D344" s="40">
        <v>43890</v>
      </c>
      <c r="E344" s="47">
        <f>D344-C344</f>
        <v>346</v>
      </c>
      <c r="F344" s="43" t="s">
        <v>0</v>
      </c>
      <c r="G344" s="45" t="s">
        <v>628</v>
      </c>
      <c r="H344" s="45"/>
      <c r="I344" s="45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 spans="1:27" ht="15.75" customHeight="1">
      <c r="A345" s="42" t="s">
        <v>1052</v>
      </c>
      <c r="B345" s="206" t="s">
        <v>1053</v>
      </c>
      <c r="C345" s="39">
        <v>43886</v>
      </c>
      <c r="D345" s="40">
        <v>43891</v>
      </c>
      <c r="E345" s="41">
        <f>D345-C345</f>
        <v>5</v>
      </c>
      <c r="F345" s="43" t="s">
        <v>0</v>
      </c>
      <c r="G345" s="45"/>
      <c r="H345" s="45"/>
      <c r="I345" s="45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 spans="1:27" ht="15.75" customHeight="1">
      <c r="A346" s="42" t="s">
        <v>1054</v>
      </c>
      <c r="B346" s="206" t="s">
        <v>1055</v>
      </c>
      <c r="C346" s="39">
        <v>43865</v>
      </c>
      <c r="D346" s="40">
        <v>43895</v>
      </c>
      <c r="E346" s="41">
        <f>D346-C346</f>
        <v>30</v>
      </c>
      <c r="F346" s="43" t="s">
        <v>25</v>
      </c>
      <c r="G346" s="45" t="s">
        <v>33</v>
      </c>
      <c r="H346" s="45"/>
      <c r="I346" s="45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 spans="1:27" ht="15.75" customHeight="1">
      <c r="A347" s="205" t="s">
        <v>1056</v>
      </c>
      <c r="B347" s="206" t="s">
        <v>1057</v>
      </c>
      <c r="C347" s="39">
        <v>43766</v>
      </c>
      <c r="D347" s="39">
        <v>43897</v>
      </c>
      <c r="E347" s="47">
        <f>D347-C347</f>
        <v>131</v>
      </c>
      <c r="F347" s="208" t="s">
        <v>641</v>
      </c>
      <c r="G347" s="45" t="s">
        <v>1058</v>
      </c>
      <c r="H347" s="45"/>
      <c r="I347" s="45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 spans="1:27" ht="15.75" customHeight="1">
      <c r="A348" s="42" t="s">
        <v>1059</v>
      </c>
      <c r="B348" s="206" t="s">
        <v>1060</v>
      </c>
      <c r="C348" s="39">
        <v>43857</v>
      </c>
      <c r="D348" s="40">
        <v>43898</v>
      </c>
      <c r="E348" s="41">
        <f>D348-C348</f>
        <v>41</v>
      </c>
      <c r="F348" s="43" t="s">
        <v>0</v>
      </c>
      <c r="G348" s="45"/>
      <c r="H348" s="45"/>
      <c r="I348" s="45"/>
      <c r="J348" s="42"/>
      <c r="K348" s="42" t="s">
        <v>1061</v>
      </c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 spans="1:27" ht="15.75" customHeight="1">
      <c r="A349" s="57" t="s">
        <v>882</v>
      </c>
      <c r="B349" s="209" t="s">
        <v>883</v>
      </c>
      <c r="C349" s="39">
        <v>43845</v>
      </c>
      <c r="D349" s="40">
        <v>43898</v>
      </c>
      <c r="E349" s="41">
        <f>D349-C349</f>
        <v>53</v>
      </c>
      <c r="F349" s="43" t="s">
        <v>1062</v>
      </c>
      <c r="G349" s="45" t="s">
        <v>43</v>
      </c>
      <c r="H349" s="45"/>
      <c r="I349" s="45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 spans="1:27" ht="15.75" customHeight="1">
      <c r="A350" s="205" t="s">
        <v>1063</v>
      </c>
      <c r="B350" s="206" t="s">
        <v>1064</v>
      </c>
      <c r="C350" s="39">
        <v>43872</v>
      </c>
      <c r="D350" s="40">
        <v>43899</v>
      </c>
      <c r="E350" s="47">
        <f>D350-C350</f>
        <v>27</v>
      </c>
      <c r="F350" s="43" t="s">
        <v>0</v>
      </c>
      <c r="G350" s="45"/>
      <c r="H350" s="45"/>
      <c r="I350" s="45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 spans="1:27" ht="15.75" customHeight="1">
      <c r="A351" s="205" t="s">
        <v>1065</v>
      </c>
      <c r="B351" s="206" t="s">
        <v>1066</v>
      </c>
      <c r="C351" s="39">
        <v>43839</v>
      </c>
      <c r="D351" s="39">
        <v>43904</v>
      </c>
      <c r="E351" s="41">
        <f>D351-C351</f>
        <v>65</v>
      </c>
      <c r="F351" s="43" t="s">
        <v>0</v>
      </c>
      <c r="G351" s="45" t="s">
        <v>33</v>
      </c>
      <c r="H351" s="45"/>
      <c r="I351" s="45"/>
      <c r="J351" s="42"/>
      <c r="K351" s="53" t="s">
        <v>1067</v>
      </c>
      <c r="L351" s="42"/>
      <c r="M351" s="42"/>
    </row>
    <row r="352" spans="1:27" ht="15.75" customHeight="1">
      <c r="A352" s="65" t="s">
        <v>1006</v>
      </c>
      <c r="B352" s="206" t="s">
        <v>1068</v>
      </c>
      <c r="C352" s="39">
        <v>43807</v>
      </c>
      <c r="D352" s="39">
        <v>43904</v>
      </c>
      <c r="E352" s="41">
        <f>D352-C352</f>
        <v>97</v>
      </c>
      <c r="F352" s="43" t="s">
        <v>0</v>
      </c>
      <c r="G352" s="45" t="s">
        <v>33</v>
      </c>
      <c r="H352" s="45"/>
      <c r="I352" s="45"/>
      <c r="J352" s="42"/>
      <c r="K352" s="53" t="s">
        <v>1069</v>
      </c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 spans="1:27" ht="15.75" customHeight="1">
      <c r="A353" s="205" t="s">
        <v>1070</v>
      </c>
      <c r="B353" s="206" t="s">
        <v>1071</v>
      </c>
      <c r="C353" s="39">
        <v>43374</v>
      </c>
      <c r="D353" s="39">
        <v>43904</v>
      </c>
      <c r="E353" s="47">
        <f>D353-C353</f>
        <v>530</v>
      </c>
      <c r="F353" s="45" t="s">
        <v>445</v>
      </c>
      <c r="G353" s="45" t="s">
        <v>33</v>
      </c>
      <c r="H353" s="45"/>
      <c r="I353" s="63"/>
      <c r="J353" s="42"/>
      <c r="K353" s="53" t="s">
        <v>1072</v>
      </c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 spans="1:27" ht="15.75" customHeight="1">
      <c r="A354" s="42" t="s">
        <v>75</v>
      </c>
      <c r="B354" s="206" t="s">
        <v>1073</v>
      </c>
      <c r="C354" s="39">
        <v>43842</v>
      </c>
      <c r="D354" s="40">
        <v>43905</v>
      </c>
      <c r="E354" s="41">
        <f>D354-C354</f>
        <v>63</v>
      </c>
      <c r="F354" s="43" t="s">
        <v>0</v>
      </c>
      <c r="G354" s="45" t="s">
        <v>70</v>
      </c>
      <c r="H354" s="45"/>
      <c r="I354" s="45"/>
      <c r="J354" s="42"/>
      <c r="K354" s="53" t="s">
        <v>1074</v>
      </c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 spans="1:27" ht="15.75" customHeight="1">
      <c r="A355" s="205" t="s">
        <v>1075</v>
      </c>
      <c r="B355" s="209" t="s">
        <v>1076</v>
      </c>
      <c r="C355" s="39">
        <v>43712</v>
      </c>
      <c r="D355" s="39">
        <v>43905</v>
      </c>
      <c r="E355" s="47">
        <f>D355-C355</f>
        <v>193</v>
      </c>
      <c r="F355" s="43" t="s">
        <v>19</v>
      </c>
      <c r="G355" s="45" t="s">
        <v>1077</v>
      </c>
      <c r="H355" s="45"/>
      <c r="I355" s="45"/>
      <c r="J355" s="42"/>
      <c r="K355" s="53" t="s">
        <v>1078</v>
      </c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 spans="1:27" ht="15.75" customHeight="1">
      <c r="A356" s="42" t="s">
        <v>668</v>
      </c>
      <c r="B356" s="206" t="s">
        <v>669</v>
      </c>
      <c r="C356" s="39">
        <v>43845</v>
      </c>
      <c r="D356" s="39">
        <v>43908</v>
      </c>
      <c r="E356" s="47">
        <f>D356-C356</f>
        <v>63</v>
      </c>
      <c r="F356" s="43" t="s">
        <v>0</v>
      </c>
      <c r="G356" s="45" t="s">
        <v>33</v>
      </c>
      <c r="H356" s="45"/>
      <c r="I356" s="45"/>
      <c r="J356" s="42"/>
      <c r="K356" s="53" t="s">
        <v>1079</v>
      </c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 spans="1:27" ht="15.75" customHeight="1">
      <c r="A357" s="42" t="s">
        <v>1080</v>
      </c>
      <c r="B357" s="206" t="s">
        <v>1081</v>
      </c>
      <c r="C357" s="39">
        <v>43837</v>
      </c>
      <c r="D357" s="40">
        <v>43911</v>
      </c>
      <c r="E357" s="41">
        <f>D357-C357</f>
        <v>74</v>
      </c>
      <c r="F357" s="43" t="s">
        <v>0</v>
      </c>
      <c r="G357" s="45"/>
      <c r="H357" s="45"/>
      <c r="I357" s="45"/>
      <c r="J357" s="53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 spans="1:27" ht="15.75" customHeight="1">
      <c r="A358" s="42" t="s">
        <v>1082</v>
      </c>
      <c r="B358" s="206" t="s">
        <v>1083</v>
      </c>
      <c r="C358" s="39">
        <v>43833</v>
      </c>
      <c r="D358" s="40">
        <v>43911</v>
      </c>
      <c r="E358" s="41">
        <f>D358-C358</f>
        <v>78</v>
      </c>
      <c r="F358" s="43" t="s">
        <v>1084</v>
      </c>
      <c r="G358" s="45"/>
      <c r="H358" s="45"/>
      <c r="I358" s="45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 spans="1:27" ht="15.75" customHeight="1">
      <c r="A359" s="205" t="s">
        <v>988</v>
      </c>
      <c r="B359" s="206" t="s">
        <v>1085</v>
      </c>
      <c r="C359" s="39">
        <v>43780</v>
      </c>
      <c r="D359" s="40">
        <v>43911</v>
      </c>
      <c r="E359" s="41">
        <f>D359-C359</f>
        <v>131</v>
      </c>
      <c r="F359" s="43" t="s">
        <v>0</v>
      </c>
      <c r="G359" s="45"/>
      <c r="H359" s="45"/>
      <c r="I359" s="45"/>
      <c r="J359" s="42"/>
      <c r="K359" s="53" t="s">
        <v>1086</v>
      </c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 spans="1:27" ht="15.75" customHeight="1">
      <c r="A360" s="42" t="s">
        <v>1087</v>
      </c>
      <c r="B360" s="206" t="s">
        <v>1088</v>
      </c>
      <c r="C360" s="39">
        <v>43833</v>
      </c>
      <c r="D360" s="40">
        <v>43912</v>
      </c>
      <c r="E360" s="41">
        <f>D360-C360</f>
        <v>79</v>
      </c>
      <c r="F360" s="43" t="s">
        <v>0</v>
      </c>
      <c r="G360" s="45" t="s">
        <v>1089</v>
      </c>
      <c r="H360" s="45"/>
      <c r="I360" s="45"/>
      <c r="J360" s="42"/>
      <c r="K360" s="53" t="s">
        <v>1090</v>
      </c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 spans="1:27" ht="15.75" customHeight="1">
      <c r="A361" s="205" t="s">
        <v>1091</v>
      </c>
      <c r="B361" s="206" t="s">
        <v>1092</v>
      </c>
      <c r="C361" s="39">
        <v>43889</v>
      </c>
      <c r="D361" s="40">
        <v>43913</v>
      </c>
      <c r="E361" s="41">
        <f>D361-C361</f>
        <v>24</v>
      </c>
      <c r="F361" s="208" t="s">
        <v>1093</v>
      </c>
      <c r="G361" s="45"/>
      <c r="H361" s="45"/>
      <c r="I361" s="45"/>
      <c r="J361" s="42"/>
      <c r="K361" s="53" t="s">
        <v>1094</v>
      </c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 spans="1:27" ht="15.75" customHeight="1">
      <c r="A362" s="205" t="s">
        <v>363</v>
      </c>
      <c r="B362" s="206" t="s">
        <v>364</v>
      </c>
      <c r="C362" s="39">
        <v>43870</v>
      </c>
      <c r="D362" s="40">
        <v>43916</v>
      </c>
      <c r="E362" s="41">
        <f>D362-C362</f>
        <v>46</v>
      </c>
      <c r="F362" s="208" t="s">
        <v>1027</v>
      </c>
      <c r="G362" s="45"/>
      <c r="H362" s="45"/>
      <c r="I362" s="45"/>
      <c r="J362" s="42"/>
      <c r="K362" s="53" t="s">
        <v>366</v>
      </c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 spans="1:27" ht="15.75" customHeight="1">
      <c r="A363" s="42" t="s">
        <v>1095</v>
      </c>
      <c r="B363" s="206" t="s">
        <v>1095</v>
      </c>
      <c r="C363" s="39">
        <v>43346</v>
      </c>
      <c r="D363" s="39">
        <v>43916</v>
      </c>
      <c r="E363" s="47">
        <f>D363-C363</f>
        <v>570</v>
      </c>
      <c r="F363" s="43" t="s">
        <v>0</v>
      </c>
      <c r="G363" s="45" t="s">
        <v>33</v>
      </c>
      <c r="H363" s="45"/>
      <c r="J363" s="42"/>
      <c r="K363" s="53" t="s">
        <v>1096</v>
      </c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 spans="1:27" ht="15.75" customHeight="1">
      <c r="A364" s="42" t="s">
        <v>556</v>
      </c>
      <c r="B364" s="206" t="s">
        <v>1097</v>
      </c>
      <c r="C364" s="39">
        <v>43513</v>
      </c>
      <c r="D364" s="39">
        <v>43917</v>
      </c>
      <c r="E364" s="47">
        <f>D364-C364</f>
        <v>404</v>
      </c>
      <c r="F364" s="43" t="s">
        <v>0</v>
      </c>
      <c r="G364" s="45"/>
      <c r="H364" s="45"/>
      <c r="I364" s="45"/>
      <c r="J364" s="42"/>
      <c r="K364" s="53" t="s">
        <v>1098</v>
      </c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 spans="1:27" ht="15.75" customHeight="1">
      <c r="A365" s="205" t="s">
        <v>1099</v>
      </c>
      <c r="B365" s="206" t="s">
        <v>1100</v>
      </c>
      <c r="C365" s="39">
        <v>43911</v>
      </c>
      <c r="D365" s="40">
        <v>43920</v>
      </c>
      <c r="E365" s="41">
        <f>D365-C365</f>
        <v>9</v>
      </c>
      <c r="F365" s="43" t="s">
        <v>810</v>
      </c>
      <c r="G365" s="45"/>
      <c r="H365" s="45"/>
      <c r="I365" s="4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</row>
    <row r="366" spans="1:27" ht="15.75" customHeight="1">
      <c r="A366" s="205" t="s">
        <v>1101</v>
      </c>
      <c r="B366" s="209" t="s">
        <v>1102</v>
      </c>
      <c r="C366" s="39">
        <v>43741</v>
      </c>
      <c r="D366" s="39">
        <v>43922</v>
      </c>
      <c r="E366" s="47">
        <f>D366-C366</f>
        <v>181</v>
      </c>
      <c r="F366" s="43" t="s">
        <v>0</v>
      </c>
      <c r="G366" s="45" t="s">
        <v>1103</v>
      </c>
      <c r="H366" s="45"/>
      <c r="I366" s="45"/>
      <c r="J366" s="205"/>
      <c r="K366" s="53" t="s">
        <v>1104</v>
      </c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</row>
    <row r="367" spans="1:27" ht="15.75" customHeight="1">
      <c r="A367" s="205" t="s">
        <v>1105</v>
      </c>
      <c r="B367" s="206" t="s">
        <v>1106</v>
      </c>
      <c r="C367" s="39">
        <v>43843</v>
      </c>
      <c r="D367" s="40">
        <v>43924</v>
      </c>
      <c r="E367" s="41">
        <f>D367-C367</f>
        <v>81</v>
      </c>
      <c r="F367" s="43" t="s">
        <v>595</v>
      </c>
      <c r="G367" s="45"/>
      <c r="H367" s="45"/>
      <c r="I367" s="45"/>
      <c r="J367" s="205"/>
      <c r="K367" s="53" t="s">
        <v>1107</v>
      </c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</row>
    <row r="368" spans="1:27" ht="15.75" customHeight="1">
      <c r="A368" s="42" t="s">
        <v>1108</v>
      </c>
      <c r="B368" s="206" t="s">
        <v>1109</v>
      </c>
      <c r="C368" s="39">
        <v>43923</v>
      </c>
      <c r="D368" s="39">
        <v>43925</v>
      </c>
      <c r="E368" s="47">
        <f>D368-C368</f>
        <v>2</v>
      </c>
      <c r="F368" s="43" t="s">
        <v>0</v>
      </c>
      <c r="G368" s="45" t="s">
        <v>312</v>
      </c>
      <c r="H368" s="45"/>
      <c r="I368" s="4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</row>
    <row r="369" spans="1:27" ht="15.75" customHeight="1">
      <c r="A369" s="42" t="s">
        <v>1110</v>
      </c>
      <c r="B369" s="206" t="s">
        <v>1111</v>
      </c>
      <c r="C369" s="39">
        <v>43915</v>
      </c>
      <c r="D369" s="39">
        <v>43925</v>
      </c>
      <c r="E369" s="47">
        <f>D369-C369</f>
        <v>10</v>
      </c>
      <c r="F369" s="43" t="s">
        <v>0</v>
      </c>
      <c r="G369" s="45" t="s">
        <v>33</v>
      </c>
      <c r="H369" s="153"/>
      <c r="I369" s="153"/>
      <c r="K369" s="3" t="s">
        <v>1112</v>
      </c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</row>
    <row r="370" spans="1:27" ht="15.75" customHeight="1">
      <c r="A370" s="42" t="s">
        <v>1017</v>
      </c>
      <c r="B370" s="206" t="s">
        <v>1113</v>
      </c>
      <c r="C370" s="39">
        <v>43827</v>
      </c>
      <c r="D370" s="39">
        <v>43925</v>
      </c>
      <c r="E370" s="47">
        <f>D370-C370</f>
        <v>98</v>
      </c>
      <c r="F370" s="43" t="s">
        <v>810</v>
      </c>
      <c r="G370" s="45" t="s">
        <v>1</v>
      </c>
      <c r="H370" s="45"/>
      <c r="I370" s="4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</row>
    <row r="371" spans="1:27" ht="15.75" customHeight="1">
      <c r="A371" s="42" t="s">
        <v>1114</v>
      </c>
      <c r="B371" s="206" t="s">
        <v>1115</v>
      </c>
      <c r="C371" s="39">
        <v>43702</v>
      </c>
      <c r="D371" s="39">
        <v>43925</v>
      </c>
      <c r="E371" s="47">
        <f>D371-C371</f>
        <v>223</v>
      </c>
      <c r="F371" s="43" t="s">
        <v>1018</v>
      </c>
      <c r="G371" s="45"/>
      <c r="H371" s="45"/>
      <c r="I371" s="45"/>
      <c r="J371" s="205"/>
      <c r="K371" s="53" t="s">
        <v>1116</v>
      </c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</row>
    <row r="372" spans="1:27" ht="15.75" customHeight="1">
      <c r="A372" s="42" t="s">
        <v>1117</v>
      </c>
      <c r="B372" s="206" t="s">
        <v>1118</v>
      </c>
      <c r="C372" s="39">
        <v>43523</v>
      </c>
      <c r="D372" s="39">
        <v>43925</v>
      </c>
      <c r="E372" s="47">
        <f>D372-C372</f>
        <v>402</v>
      </c>
      <c r="F372" s="43" t="s">
        <v>0</v>
      </c>
      <c r="G372" s="45" t="s">
        <v>1119</v>
      </c>
      <c r="H372" s="45"/>
      <c r="I372" s="45"/>
      <c r="J372" s="205"/>
      <c r="K372" s="53" t="s">
        <v>1120</v>
      </c>
      <c r="L372" s="205"/>
      <c r="M372" s="205"/>
    </row>
    <row r="373" spans="1:27" ht="15.75" customHeight="1">
      <c r="A373" s="205" t="s">
        <v>568</v>
      </c>
      <c r="B373" s="206" t="s">
        <v>1121</v>
      </c>
      <c r="C373" s="39">
        <v>43375</v>
      </c>
      <c r="D373" s="39">
        <v>43925</v>
      </c>
      <c r="E373" s="47">
        <f>D373-C373</f>
        <v>550</v>
      </c>
      <c r="F373" s="208" t="s">
        <v>422</v>
      </c>
      <c r="G373" s="45"/>
      <c r="H373" s="45"/>
      <c r="I373" s="4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</row>
    <row r="374" spans="1:27" ht="15.75" customHeight="1">
      <c r="A374" s="205" t="s">
        <v>1122</v>
      </c>
      <c r="B374" s="206" t="s">
        <v>1123</v>
      </c>
      <c r="C374" s="39">
        <v>43918</v>
      </c>
      <c r="D374" s="40">
        <v>43926</v>
      </c>
      <c r="E374" s="41">
        <f>D374-C374</f>
        <v>8</v>
      </c>
      <c r="F374" s="43" t="s">
        <v>923</v>
      </c>
      <c r="G374" s="45" t="s">
        <v>1</v>
      </c>
      <c r="H374" s="45"/>
      <c r="I374" s="4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</row>
    <row r="375" spans="1:27" ht="15.75" customHeight="1">
      <c r="A375" s="42" t="s">
        <v>1124</v>
      </c>
      <c r="B375" s="206" t="s">
        <v>1125</v>
      </c>
      <c r="C375" s="39">
        <v>43906</v>
      </c>
      <c r="D375" s="40">
        <v>43927</v>
      </c>
      <c r="E375" s="41">
        <f>D375-C375</f>
        <v>21</v>
      </c>
      <c r="F375" s="207" t="s">
        <v>619</v>
      </c>
      <c r="G375" s="45" t="s">
        <v>26</v>
      </c>
      <c r="H375" s="45"/>
      <c r="I375" s="45"/>
      <c r="J375" s="205"/>
      <c r="K375" s="53" t="s">
        <v>1126</v>
      </c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</row>
    <row r="376" spans="1:27" ht="15.75" customHeight="1">
      <c r="A376" s="205" t="s">
        <v>1127</v>
      </c>
      <c r="B376" s="206" t="s">
        <v>1128</v>
      </c>
      <c r="C376" s="39">
        <v>43827</v>
      </c>
      <c r="D376" s="39">
        <v>43928</v>
      </c>
      <c r="E376" s="47">
        <f>D376-C376</f>
        <v>101</v>
      </c>
      <c r="F376" s="45" t="s">
        <v>1129</v>
      </c>
      <c r="G376" s="45" t="s">
        <v>33</v>
      </c>
      <c r="H376" s="45"/>
      <c r="I376" s="4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</row>
    <row r="377" spans="1:27" ht="15.75" customHeight="1">
      <c r="A377" s="42" t="s">
        <v>1059</v>
      </c>
      <c r="B377" s="206" t="s">
        <v>1060</v>
      </c>
      <c r="C377" s="39">
        <v>43906</v>
      </c>
      <c r="D377" s="39">
        <v>43932</v>
      </c>
      <c r="E377" s="47">
        <f>D377-C377</f>
        <v>26</v>
      </c>
      <c r="F377" s="43" t="s">
        <v>0</v>
      </c>
      <c r="G377" s="45"/>
      <c r="H377" s="45"/>
      <c r="I377" s="45"/>
      <c r="J377" s="205"/>
      <c r="K377" s="42" t="s">
        <v>1061</v>
      </c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</row>
    <row r="378" spans="1:27" ht="15.75" customHeight="1">
      <c r="A378" s="42" t="s">
        <v>1130</v>
      </c>
      <c r="B378" s="206" t="s">
        <v>1131</v>
      </c>
      <c r="C378" s="39">
        <v>43906</v>
      </c>
      <c r="D378" s="39">
        <v>43932</v>
      </c>
      <c r="E378" s="47">
        <f>D378-C378</f>
        <v>26</v>
      </c>
      <c r="F378" s="43" t="s">
        <v>0</v>
      </c>
      <c r="G378" s="45" t="s">
        <v>628</v>
      </c>
      <c r="H378" s="45"/>
      <c r="I378" s="45"/>
      <c r="J378" s="205"/>
      <c r="K378" s="53" t="s">
        <v>1132</v>
      </c>
      <c r="L378" s="42" t="s">
        <v>1133</v>
      </c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</row>
    <row r="379" spans="1:27" ht="15.75" customHeight="1">
      <c r="A379" s="65" t="s">
        <v>1012</v>
      </c>
      <c r="B379" s="217" t="s">
        <v>1012</v>
      </c>
      <c r="C379" s="39">
        <v>43884</v>
      </c>
      <c r="D379" s="39">
        <v>43932</v>
      </c>
      <c r="E379" s="47">
        <f>D379-C379</f>
        <v>48</v>
      </c>
      <c r="F379" s="208" t="s">
        <v>1134</v>
      </c>
      <c r="G379" s="45"/>
      <c r="H379" s="45"/>
      <c r="I379" s="4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</row>
    <row r="380" spans="1:27" ht="15.75" customHeight="1">
      <c r="A380" s="65" t="s">
        <v>1135</v>
      </c>
      <c r="B380" s="206" t="s">
        <v>1136</v>
      </c>
      <c r="C380" s="39">
        <v>43883</v>
      </c>
      <c r="D380" s="39">
        <v>43932</v>
      </c>
      <c r="E380" s="47">
        <f>D380-C380</f>
        <v>49</v>
      </c>
      <c r="F380" s="208" t="s">
        <v>1137</v>
      </c>
      <c r="G380" s="45"/>
      <c r="H380" s="45"/>
      <c r="I380" s="45"/>
      <c r="J380" s="205"/>
      <c r="K380" s="53" t="s">
        <v>1138</v>
      </c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</row>
    <row r="381" spans="1:27" ht="15.75" customHeight="1">
      <c r="A381" s="57" t="s">
        <v>789</v>
      </c>
      <c r="B381" s="209" t="s">
        <v>790</v>
      </c>
      <c r="C381" s="39">
        <v>43846</v>
      </c>
      <c r="D381" s="39">
        <v>43932</v>
      </c>
      <c r="E381" s="47">
        <f>D381-C381</f>
        <v>86</v>
      </c>
      <c r="F381" s="43" t="s">
        <v>0</v>
      </c>
      <c r="G381" s="45"/>
      <c r="H381" s="45"/>
      <c r="I381" s="4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</row>
    <row r="382" spans="1:27" ht="15.75" customHeight="1">
      <c r="A382" s="42" t="s">
        <v>25</v>
      </c>
      <c r="B382" s="206" t="s">
        <v>504</v>
      </c>
      <c r="C382" s="39">
        <v>43840</v>
      </c>
      <c r="D382" s="39">
        <v>43932</v>
      </c>
      <c r="E382" s="47">
        <f>D382-C382</f>
        <v>92</v>
      </c>
      <c r="F382" s="43" t="s">
        <v>0</v>
      </c>
      <c r="G382" s="45" t="s">
        <v>33</v>
      </c>
      <c r="H382" s="45"/>
      <c r="I382" s="4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</row>
    <row r="383" spans="1:27" ht="15.75" customHeight="1">
      <c r="A383" s="205" t="s">
        <v>926</v>
      </c>
      <c r="B383" s="206" t="s">
        <v>927</v>
      </c>
      <c r="C383" s="39">
        <v>43839</v>
      </c>
      <c r="D383" s="39">
        <v>43932</v>
      </c>
      <c r="E383" s="47">
        <f>D383-C383</f>
        <v>93</v>
      </c>
      <c r="F383" s="43" t="s">
        <v>0</v>
      </c>
      <c r="G383" s="45" t="s">
        <v>1</v>
      </c>
      <c r="H383" s="45"/>
      <c r="I383" s="45"/>
      <c r="J383" s="205"/>
      <c r="K383" s="53" t="s">
        <v>1139</v>
      </c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</row>
    <row r="384" spans="1:27" ht="15.75" customHeight="1">
      <c r="A384" s="42" t="s">
        <v>970</v>
      </c>
      <c r="B384" s="206" t="s">
        <v>971</v>
      </c>
      <c r="C384" s="39">
        <v>43834</v>
      </c>
      <c r="D384" s="39">
        <v>43933</v>
      </c>
      <c r="E384" s="47">
        <f>D384-C384</f>
        <v>99</v>
      </c>
      <c r="F384" s="45" t="s">
        <v>998</v>
      </c>
      <c r="G384" s="45" t="s">
        <v>972</v>
      </c>
      <c r="H384" s="45"/>
      <c r="I384" s="45"/>
      <c r="J384" s="205"/>
      <c r="K384" s="53" t="s">
        <v>1140</v>
      </c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</row>
    <row r="385" spans="1:27" ht="15.75" customHeight="1">
      <c r="A385" s="42" t="s">
        <v>923</v>
      </c>
      <c r="B385" s="206" t="s">
        <v>924</v>
      </c>
      <c r="C385" s="39">
        <v>43830</v>
      </c>
      <c r="D385" s="39">
        <v>43933</v>
      </c>
      <c r="E385" s="47">
        <f>D385-C385</f>
        <v>103</v>
      </c>
      <c r="F385" s="43" t="s">
        <v>0</v>
      </c>
      <c r="G385" s="45" t="s">
        <v>33</v>
      </c>
      <c r="H385" s="45"/>
      <c r="I385" s="4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</row>
    <row r="386" spans="1:27" ht="15.75" customHeight="1">
      <c r="A386" s="57" t="s">
        <v>1141</v>
      </c>
      <c r="B386" s="206" t="s">
        <v>884</v>
      </c>
      <c r="C386" s="39">
        <v>43669</v>
      </c>
      <c r="D386" s="39">
        <v>43933</v>
      </c>
      <c r="E386" s="47">
        <f>D386-C386</f>
        <v>264</v>
      </c>
      <c r="F386" s="43" t="s">
        <v>859</v>
      </c>
      <c r="G386" s="45"/>
      <c r="H386" s="45"/>
      <c r="I386" s="45"/>
      <c r="J386" s="205"/>
      <c r="K386" s="53" t="s">
        <v>1142</v>
      </c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</row>
    <row r="387" spans="1:27" ht="15.75" customHeight="1">
      <c r="A387" s="205" t="s">
        <v>1143</v>
      </c>
      <c r="B387" s="206" t="s">
        <v>1144</v>
      </c>
      <c r="C387" s="39">
        <v>43906</v>
      </c>
      <c r="D387" s="40">
        <v>43934</v>
      </c>
      <c r="E387" s="41">
        <f>D387-C387</f>
        <v>28</v>
      </c>
      <c r="F387" s="45" t="s">
        <v>1130</v>
      </c>
      <c r="G387" s="45" t="s">
        <v>628</v>
      </c>
      <c r="H387" s="45"/>
      <c r="I387" s="4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</row>
    <row r="388" spans="1:27" ht="15.75" customHeight="1">
      <c r="A388" s="210" t="s">
        <v>920</v>
      </c>
      <c r="B388" s="206" t="s">
        <v>920</v>
      </c>
      <c r="C388" s="39">
        <v>43921</v>
      </c>
      <c r="D388" s="40">
        <v>43936</v>
      </c>
      <c r="E388" s="41">
        <f>D388-C388</f>
        <v>15</v>
      </c>
      <c r="F388" s="43" t="s">
        <v>0</v>
      </c>
      <c r="G388" s="45"/>
      <c r="H388" s="45"/>
      <c r="I388" s="4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</row>
    <row r="389" spans="1:27" ht="15.75" customHeight="1">
      <c r="A389" s="52" t="s">
        <v>1145</v>
      </c>
      <c r="B389" s="209" t="s">
        <v>1145</v>
      </c>
      <c r="C389" s="39">
        <v>43711</v>
      </c>
      <c r="D389" s="39">
        <v>43936</v>
      </c>
      <c r="E389" s="47">
        <f>D389-C389</f>
        <v>225</v>
      </c>
      <c r="F389" s="43" t="s">
        <v>723</v>
      </c>
      <c r="G389" s="45"/>
      <c r="H389" s="45"/>
      <c r="I389" s="4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</row>
    <row r="390" spans="1:27" ht="15.75" customHeight="1">
      <c r="A390" s="205" t="s">
        <v>1146</v>
      </c>
      <c r="B390" s="211" t="s">
        <v>1147</v>
      </c>
      <c r="C390" s="39">
        <v>43646</v>
      </c>
      <c r="D390" s="39">
        <v>43936</v>
      </c>
      <c r="E390" s="47">
        <f>D390-C390</f>
        <v>290</v>
      </c>
      <c r="F390" s="43" t="s">
        <v>0</v>
      </c>
      <c r="G390" s="45" t="s">
        <v>1148</v>
      </c>
      <c r="H390" s="45"/>
      <c r="I390" s="45"/>
      <c r="J390" s="205"/>
      <c r="K390" s="53" t="s">
        <v>1149</v>
      </c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</row>
    <row r="391" spans="1:27" ht="15.75" customHeight="1">
      <c r="A391" s="42" t="s">
        <v>1150</v>
      </c>
      <c r="B391" s="206" t="s">
        <v>1151</v>
      </c>
      <c r="C391" s="39">
        <v>43841</v>
      </c>
      <c r="D391" s="40">
        <v>43937</v>
      </c>
      <c r="E391" s="41">
        <f>D391-C391</f>
        <v>96</v>
      </c>
      <c r="F391" s="43" t="s">
        <v>0</v>
      </c>
      <c r="G391" s="45" t="s">
        <v>43</v>
      </c>
      <c r="H391" s="45"/>
      <c r="I391" s="45"/>
      <c r="J391" s="205"/>
      <c r="K391" s="53" t="s">
        <v>1152</v>
      </c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</row>
    <row r="392" spans="1:27" ht="15.75" customHeight="1">
      <c r="A392" s="42" t="s">
        <v>1153</v>
      </c>
      <c r="B392" s="206" t="s">
        <v>1154</v>
      </c>
      <c r="C392" s="39">
        <v>43527</v>
      </c>
      <c r="D392" s="40">
        <v>43937</v>
      </c>
      <c r="E392" s="41">
        <f>D392-C392</f>
        <v>410</v>
      </c>
      <c r="F392" s="43" t="s">
        <v>0</v>
      </c>
      <c r="G392" s="45" t="s">
        <v>942</v>
      </c>
      <c r="H392" s="45"/>
      <c r="I392" s="4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</row>
    <row r="393" spans="1:27" ht="15.75" customHeight="1">
      <c r="A393" s="205" t="s">
        <v>1155</v>
      </c>
      <c r="B393" s="206" t="s">
        <v>1156</v>
      </c>
      <c r="C393" s="39">
        <v>43924</v>
      </c>
      <c r="D393" s="40">
        <v>43939</v>
      </c>
      <c r="E393" s="41">
        <f>D393-C393</f>
        <v>15</v>
      </c>
      <c r="F393" s="43" t="s">
        <v>25</v>
      </c>
      <c r="G393" s="45"/>
      <c r="H393" s="45"/>
      <c r="I393" s="4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</row>
    <row r="394" spans="1:27" ht="15.75" customHeight="1">
      <c r="A394" s="205" t="s">
        <v>1157</v>
      </c>
      <c r="B394" s="206" t="s">
        <v>1158</v>
      </c>
      <c r="C394" s="39">
        <v>43913</v>
      </c>
      <c r="D394" s="40">
        <v>43939</v>
      </c>
      <c r="E394" s="41">
        <f>D394-C394</f>
        <v>26</v>
      </c>
      <c r="F394" s="43" t="s">
        <v>0</v>
      </c>
      <c r="G394" s="45"/>
      <c r="H394" s="45"/>
      <c r="I394" s="4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</row>
    <row r="395" spans="1:27" ht="15.75" customHeight="1">
      <c r="A395" s="42" t="s">
        <v>1159</v>
      </c>
      <c r="B395" s="206" t="s">
        <v>1160</v>
      </c>
      <c r="C395" s="39">
        <v>43878</v>
      </c>
      <c r="D395" s="40">
        <v>43939</v>
      </c>
      <c r="E395" s="47">
        <f>D395-C395</f>
        <v>61</v>
      </c>
      <c r="F395" s="43" t="s">
        <v>0</v>
      </c>
      <c r="G395" s="45" t="s">
        <v>995</v>
      </c>
      <c r="H395" s="45"/>
      <c r="I395" s="45"/>
      <c r="J395" s="205"/>
      <c r="K395" s="53" t="s">
        <v>1161</v>
      </c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</row>
    <row r="396" spans="1:27" ht="15.75" customHeight="1">
      <c r="A396" s="42" t="s">
        <v>1162</v>
      </c>
      <c r="B396" s="206" t="s">
        <v>1163</v>
      </c>
      <c r="C396" s="39">
        <v>43834</v>
      </c>
      <c r="D396" s="40">
        <v>43939</v>
      </c>
      <c r="E396" s="41">
        <f>D396-C396</f>
        <v>105</v>
      </c>
      <c r="F396" s="43" t="s">
        <v>0</v>
      </c>
      <c r="G396" s="45"/>
      <c r="H396" s="45"/>
      <c r="I396" s="45"/>
      <c r="J396" s="205"/>
      <c r="K396" s="53" t="s">
        <v>1164</v>
      </c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</row>
    <row r="397" spans="1:27" ht="15.75" customHeight="1">
      <c r="A397" s="42" t="s">
        <v>1165</v>
      </c>
      <c r="B397" s="206" t="s">
        <v>1166</v>
      </c>
      <c r="C397" s="39">
        <v>43938</v>
      </c>
      <c r="D397" s="40">
        <v>43940</v>
      </c>
      <c r="E397" s="41">
        <f>D397-C397</f>
        <v>2</v>
      </c>
      <c r="F397" s="208" t="s">
        <v>1027</v>
      </c>
      <c r="G397" s="45"/>
      <c r="H397" s="45"/>
      <c r="I397" s="4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</row>
    <row r="398" spans="1:27" ht="15.75" customHeight="1">
      <c r="A398" s="205" t="s">
        <v>1167</v>
      </c>
      <c r="B398" s="206" t="s">
        <v>1168</v>
      </c>
      <c r="C398" s="39">
        <v>43859</v>
      </c>
      <c r="D398" s="40">
        <v>43943</v>
      </c>
      <c r="E398" s="41">
        <f>D398-C398</f>
        <v>84</v>
      </c>
      <c r="F398" s="43" t="s">
        <v>853</v>
      </c>
      <c r="G398" s="45" t="s">
        <v>1</v>
      </c>
      <c r="H398" s="45"/>
      <c r="I398" s="4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</row>
    <row r="399" spans="1:27" ht="15.75" customHeight="1">
      <c r="A399" s="205" t="s">
        <v>1169</v>
      </c>
      <c r="B399" s="206" t="s">
        <v>1170</v>
      </c>
      <c r="C399" s="39">
        <v>43345</v>
      </c>
      <c r="D399" s="40">
        <v>43943</v>
      </c>
      <c r="E399" s="47">
        <f>D399-C399</f>
        <v>598</v>
      </c>
      <c r="F399" s="43" t="s">
        <v>0</v>
      </c>
      <c r="G399" s="45"/>
      <c r="H399" s="45"/>
      <c r="I399" s="4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</row>
    <row r="400" spans="1:27" ht="15.75" customHeight="1">
      <c r="A400" s="205" t="s">
        <v>988</v>
      </c>
      <c r="B400" s="206" t="s">
        <v>1085</v>
      </c>
      <c r="C400" s="39">
        <v>43918</v>
      </c>
      <c r="D400" s="40">
        <v>43945</v>
      </c>
      <c r="E400" s="41">
        <f>D400-C400</f>
        <v>27</v>
      </c>
      <c r="F400" s="43" t="s">
        <v>0</v>
      </c>
      <c r="G400" s="45"/>
      <c r="H400" s="45"/>
      <c r="I400" s="45"/>
      <c r="J400" s="205"/>
      <c r="K400" s="53" t="s">
        <v>1086</v>
      </c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</row>
    <row r="401" spans="1:27" ht="15.75" customHeight="1">
      <c r="A401" s="42" t="s">
        <v>1171</v>
      </c>
      <c r="B401" s="206" t="s">
        <v>1172</v>
      </c>
      <c r="C401" s="39">
        <v>43887</v>
      </c>
      <c r="D401" s="40">
        <v>43946</v>
      </c>
      <c r="E401" s="41">
        <f>D401-C401</f>
        <v>59</v>
      </c>
      <c r="F401" s="43" t="s">
        <v>0</v>
      </c>
      <c r="G401" s="45" t="s">
        <v>1</v>
      </c>
      <c r="H401" s="45"/>
      <c r="I401" s="45" t="s">
        <v>954</v>
      </c>
      <c r="J401" s="205"/>
      <c r="K401" s="53" t="s">
        <v>1173</v>
      </c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</row>
    <row r="402" spans="1:27" ht="15.75" customHeight="1">
      <c r="A402" s="42" t="s">
        <v>1174</v>
      </c>
      <c r="B402" s="206" t="s">
        <v>1175</v>
      </c>
      <c r="C402" s="39">
        <v>43876</v>
      </c>
      <c r="D402" s="40">
        <v>43946</v>
      </c>
      <c r="E402" s="41">
        <f>D402-C402</f>
        <v>70</v>
      </c>
      <c r="F402" s="43" t="s">
        <v>0</v>
      </c>
      <c r="G402" s="45"/>
      <c r="H402" s="45"/>
      <c r="I402" s="45"/>
      <c r="J402" s="205"/>
      <c r="K402" s="53" t="s">
        <v>1176</v>
      </c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</row>
    <row r="403" spans="1:27" ht="15.75" customHeight="1">
      <c r="A403" s="205" t="s">
        <v>943</v>
      </c>
      <c r="B403" s="206" t="s">
        <v>944</v>
      </c>
      <c r="C403" s="39">
        <v>43865</v>
      </c>
      <c r="D403" s="40">
        <v>43946</v>
      </c>
      <c r="E403" s="47">
        <f>D403-C403</f>
        <v>81</v>
      </c>
      <c r="F403" s="43" t="s">
        <v>0</v>
      </c>
      <c r="G403" s="45"/>
      <c r="H403" s="45"/>
      <c r="I403" s="45"/>
      <c r="J403" s="205"/>
      <c r="K403" s="53" t="s">
        <v>1177</v>
      </c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</row>
    <row r="404" spans="1:27" ht="15.75" customHeight="1">
      <c r="A404" s="42" t="s">
        <v>1178</v>
      </c>
      <c r="B404" s="206" t="s">
        <v>1179</v>
      </c>
      <c r="C404" s="39">
        <v>43824</v>
      </c>
      <c r="D404" s="40">
        <v>43946</v>
      </c>
      <c r="E404" s="41">
        <f>D404-C404</f>
        <v>122</v>
      </c>
      <c r="F404" s="43" t="s">
        <v>0</v>
      </c>
      <c r="G404" s="45"/>
      <c r="H404" s="45"/>
      <c r="I404" s="4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</row>
    <row r="405" spans="1:27" ht="15.75" customHeight="1">
      <c r="A405" s="57" t="s">
        <v>595</v>
      </c>
      <c r="B405" s="206" t="s">
        <v>1180</v>
      </c>
      <c r="C405" s="39">
        <v>43646</v>
      </c>
      <c r="D405" s="40">
        <v>43946</v>
      </c>
      <c r="E405" s="41">
        <f>D405-C405</f>
        <v>300</v>
      </c>
      <c r="F405" s="43" t="s">
        <v>0</v>
      </c>
      <c r="G405" s="205"/>
      <c r="H405" s="205"/>
      <c r="I405" s="45"/>
      <c r="J405" s="205"/>
      <c r="K405" s="53" t="s">
        <v>1181</v>
      </c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</row>
    <row r="406" spans="1:27" ht="15.75" customHeight="1">
      <c r="A406" s="205" t="s">
        <v>1182</v>
      </c>
      <c r="B406" s="206" t="s">
        <v>1183</v>
      </c>
      <c r="C406" s="39">
        <v>43930</v>
      </c>
      <c r="D406" s="40">
        <v>43949</v>
      </c>
      <c r="E406" s="41">
        <f>D406-C406</f>
        <v>19</v>
      </c>
      <c r="F406" s="208" t="s">
        <v>174</v>
      </c>
      <c r="G406" s="45"/>
      <c r="H406" s="45"/>
      <c r="I406" s="4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</row>
    <row r="407" spans="1:27" ht="15.75" customHeight="1">
      <c r="A407" s="205" t="s">
        <v>1184</v>
      </c>
      <c r="B407" s="206" t="s">
        <v>1185</v>
      </c>
      <c r="C407" s="39">
        <v>43870</v>
      </c>
      <c r="D407" s="40">
        <v>43949</v>
      </c>
      <c r="E407" s="41">
        <f>D407-C407</f>
        <v>79</v>
      </c>
      <c r="F407" s="43" t="s">
        <v>0</v>
      </c>
      <c r="G407" s="45" t="s">
        <v>43</v>
      </c>
      <c r="H407" s="45"/>
      <c r="I407" s="45"/>
      <c r="J407" s="205"/>
      <c r="K407" s="53" t="s">
        <v>1186</v>
      </c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</row>
    <row r="408" spans="1:27" ht="15.75" customHeight="1">
      <c r="A408" s="205" t="s">
        <v>1187</v>
      </c>
      <c r="B408" s="206" t="s">
        <v>1188</v>
      </c>
      <c r="C408" s="39">
        <v>43855</v>
      </c>
      <c r="D408" s="40">
        <v>43949</v>
      </c>
      <c r="E408" s="41">
        <f>D408-C408</f>
        <v>94</v>
      </c>
      <c r="F408" s="208" t="s">
        <v>174</v>
      </c>
      <c r="G408" s="45"/>
      <c r="H408" s="45"/>
      <c r="I408" s="4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</row>
    <row r="409" spans="1:27" ht="15.75" customHeight="1">
      <c r="A409" s="57" t="s">
        <v>1189</v>
      </c>
      <c r="B409" s="206" t="s">
        <v>1190</v>
      </c>
      <c r="C409" s="39">
        <v>43678</v>
      </c>
      <c r="D409" s="40">
        <v>43949</v>
      </c>
      <c r="E409" s="47">
        <f>D409-C409</f>
        <v>271</v>
      </c>
      <c r="F409" s="43" t="s">
        <v>0</v>
      </c>
      <c r="G409" s="45"/>
      <c r="H409" s="45"/>
      <c r="I409" s="45"/>
      <c r="J409" s="205"/>
      <c r="K409" s="53" t="s">
        <v>1191</v>
      </c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</row>
    <row r="410" spans="1:27" ht="15.75" customHeight="1">
      <c r="A410" s="42" t="s">
        <v>1192</v>
      </c>
      <c r="B410" s="206" t="s">
        <v>510</v>
      </c>
      <c r="C410" s="39">
        <v>43606</v>
      </c>
      <c r="D410" s="39">
        <v>43950</v>
      </c>
      <c r="E410" s="47">
        <f>D410-C410</f>
        <v>344</v>
      </c>
      <c r="F410" s="43" t="s">
        <v>0</v>
      </c>
      <c r="G410" s="45" t="s">
        <v>512</v>
      </c>
      <c r="H410" s="45"/>
      <c r="I410" s="45"/>
      <c r="J410" s="205"/>
      <c r="K410" s="53" t="s">
        <v>513</v>
      </c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</row>
    <row r="411" spans="1:27" ht="15.75" customHeight="1">
      <c r="A411" s="205" t="s">
        <v>816</v>
      </c>
      <c r="B411" s="206" t="s">
        <v>699</v>
      </c>
      <c r="C411" s="39">
        <v>43629</v>
      </c>
      <c r="D411" s="39">
        <v>43951</v>
      </c>
      <c r="E411" s="41">
        <f>D411-C411</f>
        <v>322</v>
      </c>
      <c r="F411" s="207" t="s">
        <v>794</v>
      </c>
      <c r="G411" s="45"/>
      <c r="H411" s="45"/>
      <c r="I411" s="45"/>
      <c r="J411" s="205"/>
      <c r="K411" s="53" t="s">
        <v>1193</v>
      </c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</row>
    <row r="412" spans="1:27" ht="15.75" customHeight="1">
      <c r="A412" s="205" t="s">
        <v>1194</v>
      </c>
      <c r="B412" s="206" t="s">
        <v>1195</v>
      </c>
      <c r="C412" s="39">
        <v>43921</v>
      </c>
      <c r="D412" s="39">
        <v>43952</v>
      </c>
      <c r="E412" s="47">
        <f>D412-C412</f>
        <v>31</v>
      </c>
      <c r="F412" s="43" t="s">
        <v>0</v>
      </c>
      <c r="G412" s="45"/>
      <c r="H412" s="45"/>
      <c r="I412" s="4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</row>
    <row r="413" spans="1:27" ht="15.75" customHeight="1">
      <c r="A413" s="205" t="s">
        <v>1196</v>
      </c>
      <c r="B413" s="206" t="s">
        <v>1197</v>
      </c>
      <c r="C413" s="39">
        <v>43678</v>
      </c>
      <c r="D413" s="39">
        <v>43952</v>
      </c>
      <c r="E413" s="47">
        <f>D413-C413</f>
        <v>274</v>
      </c>
      <c r="F413" s="43" t="s">
        <v>0</v>
      </c>
      <c r="G413" s="45"/>
      <c r="H413" s="45"/>
      <c r="I413" s="45"/>
      <c r="J413" s="205"/>
      <c r="K413" s="53" t="s">
        <v>1198</v>
      </c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</row>
    <row r="414" spans="1:27" ht="15.75" customHeight="1">
      <c r="A414" s="42" t="s">
        <v>1199</v>
      </c>
      <c r="B414" s="206" t="s">
        <v>1200</v>
      </c>
      <c r="C414" s="39">
        <v>43944</v>
      </c>
      <c r="D414" s="40">
        <v>43953</v>
      </c>
      <c r="E414" s="41">
        <f>D414-C414</f>
        <v>9</v>
      </c>
      <c r="F414" s="208" t="s">
        <v>174</v>
      </c>
      <c r="G414" s="45"/>
      <c r="H414" s="45"/>
      <c r="I414" s="4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</row>
    <row r="415" spans="1:27" ht="15.75" customHeight="1">
      <c r="A415" s="42" t="s">
        <v>500</v>
      </c>
      <c r="B415" s="206" t="s">
        <v>500</v>
      </c>
      <c r="C415" s="39">
        <v>43817</v>
      </c>
      <c r="D415" s="40">
        <v>43953</v>
      </c>
      <c r="E415" s="41">
        <f>D415-C415</f>
        <v>136</v>
      </c>
      <c r="F415" s="43" t="s">
        <v>0</v>
      </c>
      <c r="G415" s="45" t="s">
        <v>501</v>
      </c>
      <c r="H415" s="45"/>
      <c r="I415" s="45"/>
      <c r="J415" s="205"/>
      <c r="K415" s="53" t="s">
        <v>502</v>
      </c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</row>
    <row r="416" spans="1:27" ht="15.75" customHeight="1">
      <c r="A416" s="205" t="s">
        <v>1201</v>
      </c>
      <c r="B416" s="206" t="s">
        <v>1202</v>
      </c>
      <c r="C416" s="39">
        <v>43878</v>
      </c>
      <c r="D416" s="40">
        <v>43956</v>
      </c>
      <c r="E416" s="41">
        <f>D416-C416</f>
        <v>78</v>
      </c>
      <c r="F416" s="208" t="s">
        <v>1101</v>
      </c>
      <c r="G416" s="45"/>
      <c r="H416" s="45"/>
      <c r="I416" s="4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</row>
    <row r="417" spans="1:27" ht="15.75" customHeight="1">
      <c r="A417" s="205" t="s">
        <v>928</v>
      </c>
      <c r="B417" s="206" t="s">
        <v>1203</v>
      </c>
      <c r="C417" s="39">
        <v>43586</v>
      </c>
      <c r="D417" s="39">
        <v>43957</v>
      </c>
      <c r="E417" s="47">
        <f>D417-C417</f>
        <v>371</v>
      </c>
      <c r="F417" s="43" t="s">
        <v>54</v>
      </c>
      <c r="G417" s="45" t="s">
        <v>1</v>
      </c>
      <c r="H417" s="45"/>
      <c r="I417" s="45"/>
      <c r="J417" s="205"/>
      <c r="K417" s="53" t="s">
        <v>1204</v>
      </c>
      <c r="L417" s="42" t="s">
        <v>1205</v>
      </c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</row>
    <row r="418" spans="1:27" ht="15.75" customHeight="1">
      <c r="A418" s="52" t="s">
        <v>681</v>
      </c>
      <c r="B418" s="209" t="s">
        <v>1206</v>
      </c>
      <c r="C418" s="39">
        <v>43453</v>
      </c>
      <c r="D418" s="39">
        <v>43958</v>
      </c>
      <c r="E418" s="47">
        <f>D418-C418</f>
        <v>505</v>
      </c>
      <c r="F418" s="43" t="s">
        <v>0</v>
      </c>
      <c r="G418" s="45" t="s">
        <v>720</v>
      </c>
      <c r="H418" s="45"/>
      <c r="I418" s="45"/>
      <c r="J418" s="205"/>
      <c r="K418" s="53" t="s">
        <v>1207</v>
      </c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</row>
    <row r="419" spans="1:27" ht="15.75" customHeight="1">
      <c r="A419" s="42" t="s">
        <v>1208</v>
      </c>
      <c r="B419" s="206" t="s">
        <v>1208</v>
      </c>
      <c r="C419" s="39">
        <v>43941</v>
      </c>
      <c r="D419" s="39">
        <v>43959</v>
      </c>
      <c r="E419" s="41">
        <f>D419-C419</f>
        <v>18</v>
      </c>
      <c r="F419" s="208" t="s">
        <v>174</v>
      </c>
      <c r="G419" s="45"/>
      <c r="H419" s="45"/>
      <c r="I419" s="4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</row>
    <row r="420" spans="1:27" ht="15.75" customHeight="1">
      <c r="A420" s="205" t="s">
        <v>1209</v>
      </c>
      <c r="B420" s="206" t="s">
        <v>1210</v>
      </c>
      <c r="C420" s="39">
        <v>43913</v>
      </c>
      <c r="D420" s="39">
        <v>43959</v>
      </c>
      <c r="E420" s="47">
        <f>D420-C420</f>
        <v>46</v>
      </c>
      <c r="F420" s="208" t="s">
        <v>1211</v>
      </c>
      <c r="G420" s="45"/>
      <c r="H420" s="45"/>
      <c r="I420" s="4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</row>
    <row r="421" spans="1:27" ht="15.75" customHeight="1">
      <c r="A421" s="205" t="s">
        <v>104</v>
      </c>
      <c r="B421" s="206" t="s">
        <v>105</v>
      </c>
      <c r="C421" s="39">
        <v>43867</v>
      </c>
      <c r="D421" s="39">
        <v>43959</v>
      </c>
      <c r="E421" s="41">
        <f>D421-C421</f>
        <v>92</v>
      </c>
      <c r="F421" s="208" t="s">
        <v>1212</v>
      </c>
      <c r="G421" s="45"/>
      <c r="H421" s="45"/>
      <c r="I421" s="45"/>
      <c r="J421" s="205"/>
      <c r="K421" s="53" t="s">
        <v>107</v>
      </c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</row>
    <row r="422" spans="1:27" ht="15.75" customHeight="1">
      <c r="A422" s="205" t="s">
        <v>641</v>
      </c>
      <c r="B422" s="206" t="s">
        <v>1021</v>
      </c>
      <c r="C422" s="39">
        <v>43910</v>
      </c>
      <c r="D422" s="39">
        <v>43960</v>
      </c>
      <c r="E422" s="41">
        <f>D422-C422</f>
        <v>50</v>
      </c>
      <c r="F422" s="43" t="s">
        <v>524</v>
      </c>
      <c r="G422" s="45" t="s">
        <v>1</v>
      </c>
      <c r="H422" s="45"/>
      <c r="I422" s="45"/>
      <c r="J422" s="205"/>
      <c r="K422" s="53" t="s">
        <v>1022</v>
      </c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</row>
    <row r="423" spans="1:27" ht="15.75" customHeight="1">
      <c r="A423" s="42" t="s">
        <v>1213</v>
      </c>
      <c r="B423" s="206" t="s">
        <v>1214</v>
      </c>
      <c r="C423" s="39">
        <v>43904</v>
      </c>
      <c r="D423" s="39">
        <v>43960</v>
      </c>
      <c r="E423" s="41">
        <f>D423-C423</f>
        <v>56</v>
      </c>
      <c r="F423" s="45" t="s">
        <v>0</v>
      </c>
      <c r="G423" s="45"/>
      <c r="H423" s="45"/>
      <c r="I423" s="45"/>
      <c r="J423" s="205"/>
      <c r="K423" s="53" t="s">
        <v>1215</v>
      </c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</row>
    <row r="424" spans="1:27" ht="15.75" customHeight="1">
      <c r="A424" s="42" t="s">
        <v>1216</v>
      </c>
      <c r="B424" s="206" t="s">
        <v>1217</v>
      </c>
      <c r="C424" s="39">
        <v>43896</v>
      </c>
      <c r="D424" s="39">
        <v>43960</v>
      </c>
      <c r="E424" s="41">
        <f>D424-C424</f>
        <v>64</v>
      </c>
      <c r="F424" s="45" t="s">
        <v>0</v>
      </c>
      <c r="G424" s="45"/>
      <c r="H424" s="45"/>
      <c r="I424" s="45"/>
      <c r="J424" s="205"/>
      <c r="K424" s="53" t="s">
        <v>1218</v>
      </c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</row>
    <row r="425" spans="1:27" ht="15.75" customHeight="1">
      <c r="A425" s="42" t="s">
        <v>998</v>
      </c>
      <c r="B425" s="206" t="s">
        <v>999</v>
      </c>
      <c r="C425" s="39">
        <v>43876</v>
      </c>
      <c r="D425" s="39">
        <v>43960</v>
      </c>
      <c r="E425" s="47">
        <f>D425-C425</f>
        <v>84</v>
      </c>
      <c r="F425" s="72" t="s">
        <v>884</v>
      </c>
      <c r="G425" s="45" t="s">
        <v>1</v>
      </c>
      <c r="H425" s="45"/>
      <c r="I425" s="45"/>
      <c r="J425" s="205"/>
      <c r="K425" s="53" t="s">
        <v>1000</v>
      </c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</row>
    <row r="426" spans="1:27" ht="15.75" customHeight="1">
      <c r="A426" s="42" t="s">
        <v>1219</v>
      </c>
      <c r="B426" s="206" t="s">
        <v>1220</v>
      </c>
      <c r="C426" s="39">
        <v>43840</v>
      </c>
      <c r="D426" s="39">
        <v>43960</v>
      </c>
      <c r="E426" s="47">
        <f>D426-C426</f>
        <v>120</v>
      </c>
      <c r="F426" s="43" t="s">
        <v>0</v>
      </c>
      <c r="G426" s="45" t="s">
        <v>312</v>
      </c>
      <c r="H426" s="45"/>
      <c r="I426" s="45" t="s">
        <v>954</v>
      </c>
      <c r="J426" s="205"/>
      <c r="K426" s="53" t="s">
        <v>1221</v>
      </c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</row>
    <row r="427" spans="1:27" ht="15.75" customHeight="1">
      <c r="A427" s="205" t="s">
        <v>1222</v>
      </c>
      <c r="B427" s="206" t="s">
        <v>1223</v>
      </c>
      <c r="C427" s="39">
        <v>43780</v>
      </c>
      <c r="D427" s="39">
        <v>43960</v>
      </c>
      <c r="E427" s="47">
        <f>D427-C427</f>
        <v>180</v>
      </c>
      <c r="F427" s="43" t="s">
        <v>1224</v>
      </c>
      <c r="G427" s="45" t="s">
        <v>33</v>
      </c>
      <c r="H427" s="45"/>
      <c r="I427" s="45"/>
      <c r="J427" s="205"/>
      <c r="K427" s="53" t="s">
        <v>1225</v>
      </c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</row>
    <row r="428" spans="1:27" ht="15.75" customHeight="1">
      <c r="A428" s="205" t="s">
        <v>1226</v>
      </c>
      <c r="B428" s="206" t="s">
        <v>1227</v>
      </c>
      <c r="C428" s="39">
        <v>43565</v>
      </c>
      <c r="D428" s="39">
        <v>43960</v>
      </c>
      <c r="E428" s="47">
        <f>D428-C428</f>
        <v>395</v>
      </c>
      <c r="F428" s="43" t="s">
        <v>0</v>
      </c>
      <c r="G428" s="45"/>
      <c r="H428" s="45"/>
      <c r="I428" s="4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</row>
    <row r="429" spans="1:27" ht="15.75" customHeight="1">
      <c r="A429" s="42" t="s">
        <v>1228</v>
      </c>
      <c r="B429" s="206" t="s">
        <v>1229</v>
      </c>
      <c r="C429" s="39">
        <v>43951</v>
      </c>
      <c r="D429" s="40">
        <v>43965</v>
      </c>
      <c r="E429" s="41">
        <f>D429-C429</f>
        <v>14</v>
      </c>
      <c r="F429" s="208" t="s">
        <v>174</v>
      </c>
      <c r="G429" s="45" t="s">
        <v>33</v>
      </c>
      <c r="H429" s="45"/>
      <c r="I429" s="4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</row>
    <row r="430" spans="1:27" ht="15.75" customHeight="1">
      <c r="A430" s="205" t="s">
        <v>1230</v>
      </c>
      <c r="B430" s="206" t="s">
        <v>1231</v>
      </c>
      <c r="C430" s="39">
        <v>43578</v>
      </c>
      <c r="D430" s="39">
        <v>43967</v>
      </c>
      <c r="E430" s="47">
        <f>D430-C430</f>
        <v>389</v>
      </c>
      <c r="F430" s="43" t="s">
        <v>0</v>
      </c>
      <c r="G430" s="45" t="s">
        <v>1232</v>
      </c>
      <c r="H430" s="45"/>
      <c r="I430" s="45"/>
      <c r="J430" s="205"/>
      <c r="K430" s="53" t="s">
        <v>1233</v>
      </c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</row>
    <row r="431" spans="1:27" ht="15.75" customHeight="1">
      <c r="A431" s="42" t="s">
        <v>1044</v>
      </c>
      <c r="B431" s="206" t="s">
        <v>1045</v>
      </c>
      <c r="C431" s="39">
        <v>43927</v>
      </c>
      <c r="D431" s="39">
        <v>43968</v>
      </c>
      <c r="E431" s="47">
        <f>D431-C431</f>
        <v>41</v>
      </c>
      <c r="F431" s="43" t="s">
        <v>0</v>
      </c>
      <c r="G431" s="45" t="s">
        <v>33</v>
      </c>
      <c r="H431" s="45"/>
      <c r="I431" s="45"/>
      <c r="J431" s="205"/>
      <c r="K431" s="53" t="s">
        <v>1046</v>
      </c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</row>
    <row r="432" spans="1:27" ht="15.75" customHeight="1">
      <c r="A432" s="57" t="s">
        <v>758</v>
      </c>
      <c r="B432" s="209" t="s">
        <v>962</v>
      </c>
      <c r="C432" s="39">
        <v>43962</v>
      </c>
      <c r="D432" s="40">
        <v>43969</v>
      </c>
      <c r="E432" s="47">
        <f>D432-C432</f>
        <v>7</v>
      </c>
      <c r="F432" s="43" t="s">
        <v>0</v>
      </c>
      <c r="G432" s="45"/>
      <c r="H432" s="45"/>
      <c r="I432" s="4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</row>
    <row r="433" spans="1:27" ht="15.75" customHeight="1">
      <c r="A433" s="52" t="s">
        <v>1001</v>
      </c>
      <c r="B433" s="209" t="s">
        <v>1002</v>
      </c>
      <c r="C433" s="39">
        <v>43866</v>
      </c>
      <c r="D433" s="40">
        <v>43969</v>
      </c>
      <c r="E433" s="41">
        <f>D433-C433</f>
        <v>103</v>
      </c>
      <c r="F433" s="43" t="s">
        <v>0</v>
      </c>
      <c r="G433" s="45"/>
      <c r="H433" s="45"/>
      <c r="I433" s="45"/>
      <c r="J433" s="205"/>
      <c r="K433" s="53" t="s">
        <v>1003</v>
      </c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</row>
    <row r="434" spans="1:27" ht="15.75" customHeight="1">
      <c r="A434" s="57" t="s">
        <v>1234</v>
      </c>
      <c r="B434" s="209" t="s">
        <v>1234</v>
      </c>
      <c r="C434" s="39">
        <v>43722</v>
      </c>
      <c r="D434" s="40">
        <v>43969</v>
      </c>
      <c r="E434" s="47">
        <f>D434-C434</f>
        <v>247</v>
      </c>
      <c r="F434" s="43" t="s">
        <v>0</v>
      </c>
      <c r="G434" s="45" t="s">
        <v>942</v>
      </c>
      <c r="H434" s="45"/>
      <c r="I434" s="4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</row>
    <row r="435" spans="1:27" ht="15.75" customHeight="1">
      <c r="A435" s="42" t="s">
        <v>601</v>
      </c>
      <c r="B435" s="206" t="s">
        <v>602</v>
      </c>
      <c r="C435" s="39">
        <v>43889</v>
      </c>
      <c r="D435" s="39">
        <v>43971</v>
      </c>
      <c r="E435" s="47">
        <f>D435-C435</f>
        <v>82</v>
      </c>
      <c r="F435" s="45" t="s">
        <v>0</v>
      </c>
      <c r="G435" s="45" t="s">
        <v>33</v>
      </c>
      <c r="H435" s="45"/>
      <c r="I435" s="45"/>
      <c r="J435" s="205"/>
      <c r="K435" s="53" t="s">
        <v>1235</v>
      </c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</row>
    <row r="436" spans="1:27" ht="15.75" customHeight="1">
      <c r="A436" s="42" t="s">
        <v>1236</v>
      </c>
      <c r="B436" s="206" t="s">
        <v>1237</v>
      </c>
      <c r="C436" s="39">
        <v>43953</v>
      </c>
      <c r="D436" s="40">
        <v>43974</v>
      </c>
      <c r="E436" s="41">
        <f>D436-C436</f>
        <v>21</v>
      </c>
      <c r="F436" s="208" t="s">
        <v>641</v>
      </c>
      <c r="G436" s="45" t="s">
        <v>33</v>
      </c>
      <c r="H436" s="45"/>
      <c r="I436" s="4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</row>
    <row r="437" spans="1:27" ht="15.75" customHeight="1">
      <c r="A437" s="205" t="s">
        <v>1238</v>
      </c>
      <c r="B437" s="206" t="s">
        <v>1239</v>
      </c>
      <c r="C437" s="39">
        <v>43967</v>
      </c>
      <c r="D437" s="40">
        <v>43975</v>
      </c>
      <c r="E437" s="41">
        <f>D437-C437</f>
        <v>8</v>
      </c>
      <c r="F437" s="43" t="s">
        <v>0</v>
      </c>
      <c r="G437" s="45"/>
      <c r="H437" s="45"/>
      <c r="I437" s="4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</row>
    <row r="438" spans="1:27" ht="15.75" customHeight="1">
      <c r="A438" s="205" t="s">
        <v>1075</v>
      </c>
      <c r="B438" s="209" t="s">
        <v>1076</v>
      </c>
      <c r="C438" s="39">
        <v>43918</v>
      </c>
      <c r="D438" s="39">
        <v>43981</v>
      </c>
      <c r="E438" s="47">
        <f>D438-C438</f>
        <v>63</v>
      </c>
      <c r="F438" s="43" t="s">
        <v>0</v>
      </c>
      <c r="G438" s="45" t="s">
        <v>43</v>
      </c>
      <c r="H438" s="45"/>
      <c r="I438" s="45"/>
      <c r="J438" s="205"/>
      <c r="K438" s="53" t="s">
        <v>1078</v>
      </c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</row>
    <row r="439" spans="1:27" ht="15.75" customHeight="1">
      <c r="A439" s="205" t="s">
        <v>1240</v>
      </c>
      <c r="B439" s="206" t="s">
        <v>1241</v>
      </c>
      <c r="C439" s="39">
        <v>43899</v>
      </c>
      <c r="D439" s="39">
        <v>43981</v>
      </c>
      <c r="E439" s="41">
        <f>D439-C439</f>
        <v>82</v>
      </c>
      <c r="F439" s="45" t="s">
        <v>0</v>
      </c>
      <c r="G439" s="45"/>
      <c r="H439" s="45"/>
      <c r="I439" s="45"/>
      <c r="J439" s="205"/>
      <c r="K439" s="53" t="s">
        <v>1242</v>
      </c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</row>
    <row r="440" spans="1:27" ht="15.75" customHeight="1">
      <c r="A440" s="57" t="s">
        <v>983</v>
      </c>
      <c r="B440" s="206" t="s">
        <v>1243</v>
      </c>
      <c r="C440" s="39">
        <v>43634</v>
      </c>
      <c r="D440" s="39">
        <v>43981</v>
      </c>
      <c r="E440" s="41">
        <f>D440-C440</f>
        <v>347</v>
      </c>
      <c r="F440" s="43" t="s">
        <v>0</v>
      </c>
      <c r="G440" s="45" t="s">
        <v>1244</v>
      </c>
      <c r="H440" s="45"/>
      <c r="I440" s="45" t="s">
        <v>817</v>
      </c>
      <c r="J440" s="205"/>
      <c r="K440" s="53" t="s">
        <v>1245</v>
      </c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</row>
    <row r="441" spans="1:27" ht="15.75" customHeight="1">
      <c r="A441" s="42" t="s">
        <v>1246</v>
      </c>
      <c r="B441" s="206" t="s">
        <v>1247</v>
      </c>
      <c r="C441" s="39">
        <v>43614</v>
      </c>
      <c r="D441" s="39">
        <v>43981</v>
      </c>
      <c r="E441" s="41">
        <f>D441-C441</f>
        <v>367</v>
      </c>
      <c r="F441" s="43" t="s">
        <v>0</v>
      </c>
      <c r="G441" s="45" t="s">
        <v>43</v>
      </c>
      <c r="H441" s="45"/>
      <c r="I441" s="45"/>
      <c r="J441" s="205"/>
      <c r="K441" s="53" t="s">
        <v>1248</v>
      </c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</row>
    <row r="442" spans="1:27" ht="15.75" customHeight="1">
      <c r="A442" s="205" t="s">
        <v>368</v>
      </c>
      <c r="B442" s="206" t="s">
        <v>1249</v>
      </c>
      <c r="C442" s="39">
        <v>43842</v>
      </c>
      <c r="D442" s="40">
        <v>43982</v>
      </c>
      <c r="E442" s="41">
        <f>D442-C442</f>
        <v>140</v>
      </c>
      <c r="F442" s="43" t="s">
        <v>0</v>
      </c>
      <c r="G442" s="45"/>
      <c r="H442" s="45"/>
      <c r="I442" s="4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</row>
    <row r="443" spans="1:27" ht="15.75" customHeight="1">
      <c r="A443" s="42" t="s">
        <v>668</v>
      </c>
      <c r="B443" s="206" t="s">
        <v>669</v>
      </c>
      <c r="C443" s="39">
        <v>43970</v>
      </c>
      <c r="D443" s="40">
        <v>43987</v>
      </c>
      <c r="E443" s="41">
        <f>D443-C443</f>
        <v>17</v>
      </c>
      <c r="F443" s="43" t="s">
        <v>0</v>
      </c>
      <c r="G443" s="45"/>
      <c r="H443" s="45"/>
      <c r="I443" s="4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</row>
    <row r="444" spans="1:27" ht="15.75" customHeight="1">
      <c r="A444" s="205" t="s">
        <v>1250</v>
      </c>
      <c r="B444" s="206" t="s">
        <v>1251</v>
      </c>
      <c r="C444" s="39">
        <v>43940</v>
      </c>
      <c r="D444" s="39">
        <v>43987</v>
      </c>
      <c r="E444" s="41">
        <f>D444-C444</f>
        <v>47</v>
      </c>
      <c r="F444" s="43" t="s">
        <v>0</v>
      </c>
      <c r="G444" s="45"/>
      <c r="H444" s="45"/>
      <c r="I444" s="4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</row>
    <row r="445" spans="1:27" ht="15.75" customHeight="1">
      <c r="A445" s="57" t="s">
        <v>752</v>
      </c>
      <c r="B445" s="209" t="s">
        <v>753</v>
      </c>
      <c r="C445" s="39">
        <v>43922</v>
      </c>
      <c r="D445" s="39">
        <v>43987</v>
      </c>
      <c r="E445" s="47">
        <f>D445-C445</f>
        <v>65</v>
      </c>
      <c r="F445" s="43" t="s">
        <v>0</v>
      </c>
      <c r="G445" s="45" t="s">
        <v>1</v>
      </c>
      <c r="H445" s="45"/>
      <c r="I445" s="4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</row>
    <row r="446" spans="1:27" ht="15.75" customHeight="1">
      <c r="A446" s="42" t="s">
        <v>1252</v>
      </c>
      <c r="B446" s="206" t="s">
        <v>1253</v>
      </c>
      <c r="C446" s="39">
        <v>43944</v>
      </c>
      <c r="D446" s="40">
        <v>43988</v>
      </c>
      <c r="E446" s="41">
        <f>D446-C446</f>
        <v>44</v>
      </c>
      <c r="F446" s="208" t="s">
        <v>1093</v>
      </c>
      <c r="G446" s="45" t="s">
        <v>33</v>
      </c>
      <c r="H446" s="45"/>
      <c r="I446" s="4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</row>
    <row r="447" spans="1:27" ht="15.75" customHeight="1">
      <c r="A447" s="205" t="s">
        <v>1254</v>
      </c>
      <c r="B447" s="206" t="s">
        <v>1255</v>
      </c>
      <c r="C447" s="39">
        <v>43843</v>
      </c>
      <c r="D447" s="40">
        <v>43988</v>
      </c>
      <c r="E447" s="41">
        <f>D447-C447</f>
        <v>145</v>
      </c>
      <c r="F447" s="43" t="s">
        <v>0</v>
      </c>
      <c r="G447" s="45"/>
      <c r="H447" s="45"/>
      <c r="I447" s="45"/>
      <c r="J447" s="205"/>
      <c r="K447" s="53" t="s">
        <v>1256</v>
      </c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</row>
    <row r="448" spans="1:27" ht="15.75" customHeight="1">
      <c r="A448" s="42" t="s">
        <v>810</v>
      </c>
      <c r="B448" s="206" t="s">
        <v>839</v>
      </c>
      <c r="C448" s="39">
        <v>43770</v>
      </c>
      <c r="D448" s="40">
        <v>43988</v>
      </c>
      <c r="E448" s="41">
        <f>D448-C448</f>
        <v>218</v>
      </c>
      <c r="F448" s="43" t="s">
        <v>0</v>
      </c>
      <c r="G448" s="45" t="s">
        <v>33</v>
      </c>
      <c r="H448" s="45"/>
      <c r="I448" s="45"/>
      <c r="J448" s="205"/>
      <c r="K448" s="53" t="s">
        <v>1257</v>
      </c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</row>
    <row r="449" spans="1:27" ht="15.75" customHeight="1">
      <c r="A449" s="205" t="s">
        <v>1258</v>
      </c>
      <c r="B449" s="209" t="s">
        <v>1259</v>
      </c>
      <c r="C449" s="39">
        <v>43743</v>
      </c>
      <c r="D449" s="39">
        <v>43988</v>
      </c>
      <c r="E449" s="47">
        <f>D449-C449</f>
        <v>245</v>
      </c>
      <c r="F449" s="43" t="s">
        <v>0</v>
      </c>
      <c r="G449" s="45"/>
      <c r="H449" s="45"/>
      <c r="I449" s="45"/>
      <c r="J449" s="205"/>
      <c r="K449" s="53" t="s">
        <v>1260</v>
      </c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</row>
    <row r="450" spans="1:27" ht="15.75" customHeight="1">
      <c r="A450" s="205" t="s">
        <v>1013</v>
      </c>
      <c r="B450" s="206" t="s">
        <v>1014</v>
      </c>
      <c r="C450" s="39">
        <v>43903</v>
      </c>
      <c r="D450" s="39">
        <v>43989</v>
      </c>
      <c r="E450" s="47">
        <f>D450-C450</f>
        <v>86</v>
      </c>
      <c r="F450" s="45" t="s">
        <v>0</v>
      </c>
      <c r="G450" s="45"/>
      <c r="H450" s="45"/>
      <c r="I450" s="4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</row>
    <row r="451" spans="1:27" ht="15.75" customHeight="1">
      <c r="A451" s="205" t="s">
        <v>639</v>
      </c>
      <c r="B451" s="206" t="s">
        <v>640</v>
      </c>
      <c r="C451" s="39">
        <v>43966</v>
      </c>
      <c r="D451" s="40">
        <v>43992</v>
      </c>
      <c r="E451" s="41">
        <f>D451-C451</f>
        <v>26</v>
      </c>
      <c r="F451" s="43" t="s">
        <v>0</v>
      </c>
      <c r="G451" s="45" t="s">
        <v>487</v>
      </c>
      <c r="H451" s="45"/>
      <c r="I451" s="4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</row>
    <row r="452" spans="1:27" ht="15.75" customHeight="1">
      <c r="A452" s="42" t="s">
        <v>1261</v>
      </c>
      <c r="B452" s="206" t="s">
        <v>1262</v>
      </c>
      <c r="C452" s="39">
        <v>43933</v>
      </c>
      <c r="D452" s="40">
        <v>43994</v>
      </c>
      <c r="E452" s="41">
        <f>D452-C452</f>
        <v>61</v>
      </c>
      <c r="F452" s="208" t="s">
        <v>174</v>
      </c>
      <c r="G452" s="45"/>
      <c r="H452" s="45"/>
      <c r="I452" s="45"/>
      <c r="J452" s="205"/>
      <c r="K452" s="205"/>
      <c r="L452" s="42" t="s">
        <v>1263</v>
      </c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</row>
    <row r="453" spans="1:27" ht="15.75" customHeight="1">
      <c r="A453" s="42" t="s">
        <v>1264</v>
      </c>
      <c r="B453" s="206" t="s">
        <v>1264</v>
      </c>
      <c r="C453" s="39">
        <v>43918</v>
      </c>
      <c r="D453" s="40">
        <v>43995</v>
      </c>
      <c r="E453" s="41">
        <f>D453-C453</f>
        <v>77</v>
      </c>
      <c r="F453" s="43" t="s">
        <v>0</v>
      </c>
      <c r="G453" s="45"/>
      <c r="H453" s="45"/>
      <c r="I453" s="45"/>
      <c r="J453" s="205"/>
      <c r="K453" s="53" t="s">
        <v>1265</v>
      </c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</row>
    <row r="454" spans="1:27" ht="15.75" customHeight="1">
      <c r="A454" s="205" t="s">
        <v>1266</v>
      </c>
      <c r="B454" s="206" t="s">
        <v>1267</v>
      </c>
      <c r="C454" s="39">
        <v>43852</v>
      </c>
      <c r="D454" s="40">
        <v>43995</v>
      </c>
      <c r="E454" s="41">
        <f>D454-C454</f>
        <v>143</v>
      </c>
      <c r="F454" s="208" t="s">
        <v>1027</v>
      </c>
      <c r="G454" s="45"/>
      <c r="H454" s="45"/>
      <c r="I454" s="45"/>
      <c r="J454" s="205"/>
      <c r="K454" s="53" t="s">
        <v>1268</v>
      </c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</row>
    <row r="455" spans="1:27" ht="15.75" customHeight="1">
      <c r="A455" s="205" t="s">
        <v>1093</v>
      </c>
      <c r="B455" s="206" t="s">
        <v>1269</v>
      </c>
      <c r="C455" s="39">
        <v>43838</v>
      </c>
      <c r="D455" s="40">
        <v>43995</v>
      </c>
      <c r="E455" s="41">
        <f>D455-C455</f>
        <v>157</v>
      </c>
      <c r="F455" s="43" t="s">
        <v>0</v>
      </c>
      <c r="G455" s="45"/>
      <c r="H455" s="45"/>
      <c r="I455" s="45"/>
      <c r="J455" s="205"/>
      <c r="K455" s="53" t="s">
        <v>1270</v>
      </c>
      <c r="L455" s="42" t="s">
        <v>1271</v>
      </c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</row>
    <row r="456" spans="1:27" ht="15.75" customHeight="1">
      <c r="A456" s="205" t="s">
        <v>1272</v>
      </c>
      <c r="B456" s="209" t="s">
        <v>1273</v>
      </c>
      <c r="C456" s="39">
        <v>43716</v>
      </c>
      <c r="D456" s="40">
        <v>43995</v>
      </c>
      <c r="E456" s="41">
        <f>D456-C456</f>
        <v>279</v>
      </c>
      <c r="F456" s="43" t="s">
        <v>853</v>
      </c>
      <c r="G456" s="45" t="s">
        <v>995</v>
      </c>
      <c r="H456" s="45"/>
      <c r="I456" s="45"/>
      <c r="J456" s="205"/>
      <c r="K456" s="53" t="s">
        <v>1274</v>
      </c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</row>
    <row r="457" spans="1:27" ht="15.75" customHeight="1">
      <c r="A457" s="205" t="s">
        <v>589</v>
      </c>
      <c r="B457" s="206" t="s">
        <v>603</v>
      </c>
      <c r="C457" s="39">
        <v>43596</v>
      </c>
      <c r="D457" s="40">
        <v>43995</v>
      </c>
      <c r="E457" s="47">
        <f>D457-C457</f>
        <v>399</v>
      </c>
      <c r="F457" s="43" t="s">
        <v>820</v>
      </c>
      <c r="G457" s="45" t="s">
        <v>604</v>
      </c>
      <c r="H457" s="45"/>
      <c r="I457" s="4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</row>
    <row r="458" spans="1:27" ht="15.75" customHeight="1">
      <c r="A458" s="42" t="s">
        <v>1275</v>
      </c>
      <c r="B458" s="206" t="s">
        <v>1276</v>
      </c>
      <c r="C458" s="39">
        <v>43912</v>
      </c>
      <c r="D458" s="40">
        <v>43997</v>
      </c>
      <c r="E458" s="41">
        <f>D458-C458</f>
        <v>85</v>
      </c>
      <c r="F458" s="208" t="s">
        <v>1212</v>
      </c>
      <c r="G458" s="45" t="s">
        <v>33</v>
      </c>
      <c r="H458" s="45"/>
      <c r="I458" s="45" t="s">
        <v>817</v>
      </c>
      <c r="J458" s="205"/>
      <c r="K458" s="53" t="s">
        <v>1277</v>
      </c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</row>
    <row r="459" spans="1:27" ht="15.75" customHeight="1">
      <c r="A459" s="42" t="s">
        <v>1278</v>
      </c>
      <c r="B459" s="206" t="s">
        <v>1279</v>
      </c>
      <c r="C459" s="39">
        <v>43969</v>
      </c>
      <c r="D459" s="40">
        <v>44001</v>
      </c>
      <c r="E459" s="41">
        <f>D459-C459</f>
        <v>32</v>
      </c>
      <c r="F459" s="43" t="s">
        <v>0</v>
      </c>
      <c r="G459" s="45" t="s">
        <v>942</v>
      </c>
      <c r="H459" s="45"/>
      <c r="I459" s="4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</row>
    <row r="460" spans="1:27" ht="15.75" customHeight="1">
      <c r="A460" s="205" t="s">
        <v>100</v>
      </c>
      <c r="B460" s="209" t="s">
        <v>1280</v>
      </c>
      <c r="C460" s="39">
        <v>43752</v>
      </c>
      <c r="D460" s="39">
        <v>44002</v>
      </c>
      <c r="E460" s="47">
        <f>D460-C460</f>
        <v>250</v>
      </c>
      <c r="F460" s="43" t="s">
        <v>884</v>
      </c>
      <c r="G460" s="45" t="s">
        <v>995</v>
      </c>
      <c r="H460" s="45"/>
      <c r="I460" s="45"/>
      <c r="J460" s="205"/>
      <c r="K460" s="53" t="s">
        <v>115</v>
      </c>
      <c r="L460" s="52" t="s">
        <v>1281</v>
      </c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</row>
    <row r="461" spans="1:27" ht="15.75" customHeight="1">
      <c r="A461" s="42" t="s">
        <v>1282</v>
      </c>
      <c r="B461" s="206" t="s">
        <v>1283</v>
      </c>
      <c r="C461" s="39">
        <v>43906</v>
      </c>
      <c r="D461" s="40">
        <v>44003</v>
      </c>
      <c r="E461" s="41">
        <f>D461-C461</f>
        <v>97</v>
      </c>
      <c r="F461" s="207" t="s">
        <v>1284</v>
      </c>
      <c r="G461" s="45" t="s">
        <v>33</v>
      </c>
      <c r="H461" s="207"/>
      <c r="I461" s="207"/>
      <c r="J461" s="205"/>
      <c r="K461" s="53" t="s">
        <v>1285</v>
      </c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</row>
    <row r="462" spans="1:27" ht="15.75" customHeight="1">
      <c r="A462" s="205" t="s">
        <v>949</v>
      </c>
      <c r="B462" s="206" t="s">
        <v>950</v>
      </c>
      <c r="C462" s="39">
        <v>43879</v>
      </c>
      <c r="D462" s="39">
        <v>44004</v>
      </c>
      <c r="E462" s="47">
        <f>D462-C462</f>
        <v>125</v>
      </c>
      <c r="F462" s="43" t="s">
        <v>0</v>
      </c>
      <c r="G462" s="45" t="s">
        <v>1</v>
      </c>
      <c r="H462" s="207"/>
      <c r="I462" s="207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</row>
    <row r="463" spans="1:27" ht="15.75" customHeight="1">
      <c r="A463" s="205" t="s">
        <v>1286</v>
      </c>
      <c r="B463" s="206" t="s">
        <v>1287</v>
      </c>
      <c r="C463" s="39">
        <v>43817</v>
      </c>
      <c r="D463" s="39">
        <v>44004</v>
      </c>
      <c r="E463" s="41">
        <f>D463-C463</f>
        <v>187</v>
      </c>
      <c r="F463" s="208" t="s">
        <v>1212</v>
      </c>
      <c r="G463" s="207"/>
      <c r="H463" s="207"/>
      <c r="I463" s="207"/>
      <c r="J463" s="205"/>
      <c r="K463" s="53" t="s">
        <v>1288</v>
      </c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</row>
    <row r="464" spans="1:27" ht="15.75" customHeight="1">
      <c r="A464" s="42" t="s">
        <v>1289</v>
      </c>
      <c r="B464" s="206" t="s">
        <v>1290</v>
      </c>
      <c r="C464" s="39">
        <v>43362</v>
      </c>
      <c r="D464" s="39">
        <v>44007</v>
      </c>
      <c r="E464" s="47">
        <f>D464-C464</f>
        <v>645</v>
      </c>
      <c r="F464" s="43" t="s">
        <v>0</v>
      </c>
      <c r="G464" s="207"/>
      <c r="H464" s="207"/>
      <c r="I464" s="207"/>
      <c r="J464" s="205"/>
      <c r="K464" s="53" t="s">
        <v>1291</v>
      </c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</row>
    <row r="465" spans="1:27" ht="15.75" customHeight="1">
      <c r="A465" s="205" t="s">
        <v>1292</v>
      </c>
      <c r="B465" s="206" t="s">
        <v>1293</v>
      </c>
      <c r="C465" s="39">
        <v>43913</v>
      </c>
      <c r="D465" s="40">
        <v>44008</v>
      </c>
      <c r="E465" s="41">
        <f>D465-C465</f>
        <v>95</v>
      </c>
      <c r="F465" s="207" t="s">
        <v>1294</v>
      </c>
      <c r="G465" s="207"/>
      <c r="H465" s="207"/>
      <c r="I465" s="207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</row>
    <row r="466" spans="1:27" ht="15.75" customHeight="1">
      <c r="A466" s="205" t="s">
        <v>1295</v>
      </c>
      <c r="B466" s="206" t="s">
        <v>1296</v>
      </c>
      <c r="C466" s="39">
        <v>43982</v>
      </c>
      <c r="D466" s="40">
        <v>44009</v>
      </c>
      <c r="E466" s="41">
        <f>D466-C466</f>
        <v>27</v>
      </c>
      <c r="F466" s="43" t="s">
        <v>0</v>
      </c>
      <c r="G466" s="45" t="s">
        <v>1297</v>
      </c>
      <c r="H466" s="207"/>
      <c r="I466" s="207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</row>
    <row r="467" spans="1:27" ht="15.75" customHeight="1">
      <c r="A467" s="42" t="s">
        <v>1298</v>
      </c>
      <c r="B467" s="206" t="s">
        <v>1299</v>
      </c>
      <c r="C467" s="39">
        <v>43883</v>
      </c>
      <c r="D467" s="40">
        <v>44009</v>
      </c>
      <c r="E467" s="47">
        <f>D467-C467</f>
        <v>126</v>
      </c>
      <c r="F467" s="207" t="s">
        <v>100</v>
      </c>
      <c r="G467" s="207"/>
      <c r="H467" s="207"/>
      <c r="I467" s="207"/>
      <c r="J467" s="205"/>
      <c r="K467" s="53" t="s">
        <v>1300</v>
      </c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</row>
    <row r="468" spans="1:27" ht="15.75" customHeight="1">
      <c r="A468" s="205" t="s">
        <v>1301</v>
      </c>
      <c r="B468" s="206" t="s">
        <v>1302</v>
      </c>
      <c r="C468" s="39">
        <v>43971</v>
      </c>
      <c r="D468" s="40">
        <v>44016</v>
      </c>
      <c r="E468" s="41">
        <f>D468-C468</f>
        <v>45</v>
      </c>
      <c r="F468" s="208" t="s">
        <v>1212</v>
      </c>
      <c r="G468" s="207"/>
      <c r="H468" s="207"/>
      <c r="I468" s="207"/>
      <c r="J468" s="205"/>
      <c r="K468" s="53" t="s">
        <v>1303</v>
      </c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</row>
    <row r="469" spans="1:27" ht="15.75" customHeight="1">
      <c r="A469" s="57" t="s">
        <v>789</v>
      </c>
      <c r="B469" s="209" t="s">
        <v>790</v>
      </c>
      <c r="C469" s="39">
        <v>43956</v>
      </c>
      <c r="D469" s="40">
        <v>44016</v>
      </c>
      <c r="E469" s="41">
        <f>D469-C469</f>
        <v>60</v>
      </c>
      <c r="F469" s="43" t="s">
        <v>0</v>
      </c>
      <c r="G469" s="207"/>
      <c r="H469" s="207"/>
      <c r="I469" s="207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</row>
    <row r="470" spans="1:27" ht="15.75" customHeight="1">
      <c r="A470" s="42" t="s">
        <v>1304</v>
      </c>
      <c r="B470" s="206" t="s">
        <v>1305</v>
      </c>
      <c r="C470" s="39">
        <v>43954</v>
      </c>
      <c r="D470" s="40">
        <v>44016</v>
      </c>
      <c r="E470" s="41">
        <f>D470-C470</f>
        <v>62</v>
      </c>
      <c r="F470" s="208" t="s">
        <v>1222</v>
      </c>
      <c r="G470" s="207"/>
      <c r="H470" s="207"/>
      <c r="I470" s="207"/>
      <c r="J470" s="205"/>
      <c r="K470" s="53" t="s">
        <v>1306</v>
      </c>
      <c r="L470" s="42" t="s">
        <v>1307</v>
      </c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</row>
    <row r="471" spans="1:27" ht="15.75" customHeight="1">
      <c r="A471" s="42" t="s">
        <v>595</v>
      </c>
      <c r="B471" s="206" t="s">
        <v>1308</v>
      </c>
      <c r="C471" s="39">
        <v>43934</v>
      </c>
      <c r="D471" s="40">
        <v>44016</v>
      </c>
      <c r="E471" s="41">
        <f>D471-C471</f>
        <v>82</v>
      </c>
      <c r="F471" s="43" t="s">
        <v>0</v>
      </c>
      <c r="G471" s="207"/>
      <c r="H471" s="207"/>
      <c r="I471" s="207"/>
      <c r="J471" s="205"/>
      <c r="K471" s="53" t="s">
        <v>1309</v>
      </c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</row>
    <row r="472" spans="1:27" ht="15.75" customHeight="1">
      <c r="A472" s="42" t="s">
        <v>1310</v>
      </c>
      <c r="B472" s="206" t="s">
        <v>1310</v>
      </c>
      <c r="C472" s="39">
        <v>43702</v>
      </c>
      <c r="D472" s="40">
        <v>44016</v>
      </c>
      <c r="E472" s="41">
        <f>D472-C472</f>
        <v>314</v>
      </c>
      <c r="F472" s="43" t="s">
        <v>54</v>
      </c>
      <c r="G472" s="45" t="s">
        <v>1</v>
      </c>
      <c r="H472" s="207"/>
      <c r="I472" s="207"/>
      <c r="J472" s="205"/>
      <c r="K472" s="53" t="s">
        <v>1311</v>
      </c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</row>
    <row r="473" spans="1:27" ht="15.75" customHeight="1">
      <c r="A473" s="205" t="s">
        <v>1312</v>
      </c>
      <c r="B473" s="206" t="s">
        <v>1313</v>
      </c>
      <c r="C473" s="39">
        <v>43920</v>
      </c>
      <c r="D473" s="40">
        <v>44017</v>
      </c>
      <c r="E473" s="47">
        <f>D473-C473</f>
        <v>97</v>
      </c>
      <c r="F473" s="207" t="s">
        <v>104</v>
      </c>
      <c r="G473" s="45" t="s">
        <v>1314</v>
      </c>
      <c r="H473" s="207"/>
      <c r="I473" s="207"/>
      <c r="J473" s="205"/>
      <c r="K473" s="53" t="s">
        <v>1315</v>
      </c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</row>
    <row r="474" spans="1:27" ht="15.75" customHeight="1">
      <c r="A474" s="65" t="s">
        <v>1316</v>
      </c>
      <c r="B474" s="206" t="s">
        <v>1317</v>
      </c>
      <c r="C474" s="39">
        <v>43825</v>
      </c>
      <c r="D474" s="40">
        <v>44017</v>
      </c>
      <c r="E474" s="41">
        <f>D474-C474</f>
        <v>192</v>
      </c>
      <c r="F474" s="43" t="s">
        <v>0</v>
      </c>
      <c r="G474" s="45" t="s">
        <v>33</v>
      </c>
      <c r="H474" s="207"/>
      <c r="I474" s="207"/>
      <c r="J474" s="205"/>
      <c r="K474" s="53" t="s">
        <v>1318</v>
      </c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</row>
    <row r="475" spans="1:27" ht="15.75" customHeight="1">
      <c r="A475" s="42" t="s">
        <v>970</v>
      </c>
      <c r="B475" s="206" t="s">
        <v>971</v>
      </c>
      <c r="C475" s="39">
        <v>43986</v>
      </c>
      <c r="D475" s="39">
        <v>44022</v>
      </c>
      <c r="E475" s="47">
        <f>D475-C475</f>
        <v>36</v>
      </c>
      <c r="F475" s="207" t="s">
        <v>31</v>
      </c>
      <c r="G475" s="45" t="s">
        <v>972</v>
      </c>
      <c r="H475" s="207"/>
      <c r="I475" s="207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</row>
    <row r="476" spans="1:27" ht="15.75" customHeight="1">
      <c r="A476" s="205" t="s">
        <v>1319</v>
      </c>
      <c r="B476" s="206" t="s">
        <v>1320</v>
      </c>
      <c r="C476" s="39">
        <v>43865</v>
      </c>
      <c r="D476" s="39">
        <v>44023</v>
      </c>
      <c r="E476" s="41">
        <f>D476-C476</f>
        <v>158</v>
      </c>
      <c r="F476" s="43" t="s">
        <v>0</v>
      </c>
      <c r="G476" s="45" t="s">
        <v>70</v>
      </c>
      <c r="H476" s="207"/>
      <c r="I476" s="207"/>
      <c r="J476" s="205"/>
      <c r="K476" s="53" t="s">
        <v>1321</v>
      </c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</row>
    <row r="477" spans="1:27" ht="15.75" customHeight="1">
      <c r="A477" s="205" t="s">
        <v>1322</v>
      </c>
      <c r="B477" s="206" t="s">
        <v>1323</v>
      </c>
      <c r="C477" s="39">
        <v>43767</v>
      </c>
      <c r="D477" s="39">
        <v>44023</v>
      </c>
      <c r="E477" s="47">
        <f>D477-C477</f>
        <v>256</v>
      </c>
      <c r="F477" s="43" t="s">
        <v>0</v>
      </c>
      <c r="G477" s="207"/>
      <c r="H477" s="207"/>
      <c r="I477" s="207"/>
      <c r="J477" s="205"/>
      <c r="K477" s="53" t="s">
        <v>1324</v>
      </c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</row>
    <row r="478" spans="1:27" ht="15.75" customHeight="1">
      <c r="A478" s="205" t="s">
        <v>573</v>
      </c>
      <c r="B478" s="206" t="s">
        <v>629</v>
      </c>
      <c r="C478" s="39">
        <v>44006</v>
      </c>
      <c r="D478" s="39">
        <v>44024</v>
      </c>
      <c r="E478" s="47">
        <f>D478-C478</f>
        <v>18</v>
      </c>
      <c r="F478" s="43" t="s">
        <v>0</v>
      </c>
      <c r="G478" s="45" t="s">
        <v>26</v>
      </c>
      <c r="H478" s="207"/>
      <c r="I478" s="207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</row>
    <row r="479" spans="1:27" ht="15.75" customHeight="1">
      <c r="A479" s="205" t="s">
        <v>1325</v>
      </c>
      <c r="B479" s="206" t="s">
        <v>1326</v>
      </c>
      <c r="C479" s="39">
        <v>43929</v>
      </c>
      <c r="D479" s="40">
        <v>44030</v>
      </c>
      <c r="E479" s="41">
        <f>D479-C479</f>
        <v>101</v>
      </c>
      <c r="F479" s="43" t="s">
        <v>1327</v>
      </c>
      <c r="G479" s="45" t="s">
        <v>995</v>
      </c>
      <c r="H479" s="207"/>
      <c r="I479" s="207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</row>
    <row r="480" spans="1:27" ht="15.75" customHeight="1">
      <c r="A480" s="57" t="s">
        <v>1189</v>
      </c>
      <c r="B480" s="206" t="s">
        <v>1190</v>
      </c>
      <c r="C480" s="39">
        <v>43979</v>
      </c>
      <c r="D480" s="39">
        <v>44033</v>
      </c>
      <c r="E480" s="41">
        <f>D480-C480</f>
        <v>54</v>
      </c>
      <c r="F480" s="43" t="s">
        <v>0</v>
      </c>
      <c r="G480" s="207"/>
      <c r="H480" s="207"/>
      <c r="I480" s="207"/>
      <c r="J480" s="205"/>
      <c r="K480" s="53" t="s">
        <v>1191</v>
      </c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</row>
    <row r="481" spans="1:27" ht="15.75" customHeight="1">
      <c r="A481" s="205" t="s">
        <v>1328</v>
      </c>
      <c r="B481" s="206" t="s">
        <v>1329</v>
      </c>
      <c r="C481" s="39">
        <v>43862</v>
      </c>
      <c r="D481" s="39">
        <v>44033</v>
      </c>
      <c r="E481" s="41">
        <f>D481-C481</f>
        <v>171</v>
      </c>
      <c r="F481" s="43" t="s">
        <v>0</v>
      </c>
      <c r="G481" s="45" t="s">
        <v>33</v>
      </c>
      <c r="H481" s="207"/>
      <c r="I481" s="207"/>
      <c r="J481" s="205"/>
      <c r="K481" s="53" t="s">
        <v>1330</v>
      </c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</row>
    <row r="482" spans="1:27" ht="15.75" customHeight="1">
      <c r="A482" s="42" t="s">
        <v>1327</v>
      </c>
      <c r="B482" s="206" t="s">
        <v>1331</v>
      </c>
      <c r="C482" s="39">
        <v>43703</v>
      </c>
      <c r="D482" s="39">
        <v>44033</v>
      </c>
      <c r="E482" s="47">
        <f>D482-C482</f>
        <v>330</v>
      </c>
      <c r="F482" s="43" t="s">
        <v>54</v>
      </c>
      <c r="G482" s="45" t="s">
        <v>1</v>
      </c>
      <c r="H482" s="207"/>
      <c r="I482" s="207"/>
      <c r="J482" s="205"/>
      <c r="K482" s="53" t="s">
        <v>1332</v>
      </c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</row>
    <row r="483" spans="1:27" ht="15.75" customHeight="1">
      <c r="A483" s="205" t="s">
        <v>363</v>
      </c>
      <c r="B483" s="206" t="s">
        <v>364</v>
      </c>
      <c r="C483" s="39">
        <v>43971</v>
      </c>
      <c r="D483" s="40">
        <v>44036</v>
      </c>
      <c r="E483" s="41">
        <f>D483-C483</f>
        <v>65</v>
      </c>
      <c r="F483" s="43" t="s">
        <v>0</v>
      </c>
      <c r="G483" s="207"/>
      <c r="H483" s="207"/>
      <c r="I483" s="207"/>
      <c r="J483" s="205"/>
      <c r="K483" s="53" t="s">
        <v>366</v>
      </c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</row>
    <row r="484" spans="1:27" ht="15.75" customHeight="1">
      <c r="A484" s="42" t="s">
        <v>1333</v>
      </c>
      <c r="B484" s="206" t="s">
        <v>1333</v>
      </c>
      <c r="C484" s="39">
        <v>43841</v>
      </c>
      <c r="D484" s="39">
        <v>44038</v>
      </c>
      <c r="E484" s="41">
        <f>D484-C484</f>
        <v>197</v>
      </c>
      <c r="F484" s="208" t="s">
        <v>1137</v>
      </c>
      <c r="G484" s="207"/>
      <c r="H484" s="207"/>
      <c r="I484" s="207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</row>
    <row r="485" spans="1:27" ht="15.75" customHeight="1">
      <c r="A485" s="57" t="s">
        <v>1334</v>
      </c>
      <c r="B485" s="206" t="s">
        <v>1335</v>
      </c>
      <c r="C485" s="39">
        <v>43675</v>
      </c>
      <c r="D485" s="39">
        <v>44038</v>
      </c>
      <c r="E485" s="47">
        <f>D485-C485</f>
        <v>363</v>
      </c>
      <c r="F485" s="208" t="s">
        <v>728</v>
      </c>
      <c r="G485" s="207"/>
      <c r="H485" s="207"/>
      <c r="I485" s="207"/>
      <c r="J485" s="205"/>
      <c r="K485" s="53" t="s">
        <v>1336</v>
      </c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</row>
    <row r="486" spans="1:27" ht="15.75" customHeight="1">
      <c r="A486" s="205" t="s">
        <v>728</v>
      </c>
      <c r="B486" s="206" t="s">
        <v>1337</v>
      </c>
      <c r="C486" s="39">
        <v>43534</v>
      </c>
      <c r="D486" s="39">
        <v>44042</v>
      </c>
      <c r="E486" s="47">
        <f>D486-C486</f>
        <v>508</v>
      </c>
      <c r="F486" s="43" t="s">
        <v>0</v>
      </c>
      <c r="G486" s="45" t="s">
        <v>925</v>
      </c>
      <c r="H486" s="207"/>
      <c r="I486" s="207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</row>
    <row r="487" spans="1:27" ht="15.75" customHeight="1">
      <c r="A487" s="205" t="s">
        <v>877</v>
      </c>
      <c r="B487" s="206" t="s">
        <v>890</v>
      </c>
      <c r="C487" s="39">
        <v>43964</v>
      </c>
      <c r="D487" s="40">
        <v>44044</v>
      </c>
      <c r="E487" s="41">
        <f>D487-C487</f>
        <v>80</v>
      </c>
      <c r="F487" s="43" t="s">
        <v>0</v>
      </c>
      <c r="G487" s="207"/>
      <c r="H487" s="207"/>
      <c r="I487" s="207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</row>
    <row r="488" spans="1:27" ht="15.75" customHeight="1">
      <c r="A488" s="57" t="s">
        <v>939</v>
      </c>
      <c r="B488" s="209" t="s">
        <v>1338</v>
      </c>
      <c r="C488" s="39">
        <v>43749</v>
      </c>
      <c r="D488" s="40">
        <v>44044</v>
      </c>
      <c r="E488" s="41">
        <f>D488-C488</f>
        <v>295</v>
      </c>
      <c r="F488" s="208" t="s">
        <v>1137</v>
      </c>
      <c r="G488" s="205"/>
      <c r="H488" s="205"/>
      <c r="I488" s="207"/>
      <c r="J488" s="205"/>
      <c r="K488" s="53" t="s">
        <v>1339</v>
      </c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</row>
    <row r="489" spans="1:27" ht="15.75" customHeight="1">
      <c r="A489" s="42" t="s">
        <v>723</v>
      </c>
      <c r="B489" s="206" t="s">
        <v>1340</v>
      </c>
      <c r="C489" s="39">
        <v>43618</v>
      </c>
      <c r="D489" s="40">
        <v>44044</v>
      </c>
      <c r="E489" s="47">
        <f>D489-C489</f>
        <v>426</v>
      </c>
      <c r="F489" s="43" t="s">
        <v>0</v>
      </c>
      <c r="G489" s="45" t="s">
        <v>26</v>
      </c>
      <c r="H489" s="207"/>
      <c r="I489" s="207"/>
      <c r="J489" s="205"/>
      <c r="K489" s="53" t="s">
        <v>1341</v>
      </c>
      <c r="L489" s="42" t="s">
        <v>1342</v>
      </c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</row>
    <row r="490" spans="1:27" ht="15.75" customHeight="1">
      <c r="A490" s="42" t="s">
        <v>1343</v>
      </c>
      <c r="B490" s="206" t="s">
        <v>1344</v>
      </c>
      <c r="C490" s="39">
        <v>44014</v>
      </c>
      <c r="D490" s="40">
        <v>44051</v>
      </c>
      <c r="E490" s="47">
        <f>D490-C490</f>
        <v>37</v>
      </c>
      <c r="F490" s="43" t="s">
        <v>0</v>
      </c>
      <c r="G490" s="207"/>
      <c r="H490" s="207"/>
      <c r="I490" s="207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</row>
    <row r="491" spans="1:27" ht="14.25" customHeight="1">
      <c r="A491" s="42" t="s">
        <v>1345</v>
      </c>
      <c r="B491" s="209" t="s">
        <v>1346</v>
      </c>
      <c r="C491" s="39">
        <v>43971</v>
      </c>
      <c r="D491" s="40">
        <v>44051</v>
      </c>
      <c r="E491" s="47">
        <f>D491-C491</f>
        <v>80</v>
      </c>
      <c r="F491" s="208" t="s">
        <v>1212</v>
      </c>
      <c r="G491" s="45" t="s">
        <v>26</v>
      </c>
      <c r="H491" s="207"/>
      <c r="I491" s="207"/>
      <c r="J491" s="205"/>
      <c r="K491" s="53" t="s">
        <v>1347</v>
      </c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</row>
    <row r="492" spans="1:27" ht="15.75" customHeight="1">
      <c r="A492" s="42" t="s">
        <v>637</v>
      </c>
      <c r="B492" s="206" t="s">
        <v>1348</v>
      </c>
      <c r="C492" s="39">
        <v>43929</v>
      </c>
      <c r="D492" s="40">
        <v>44051</v>
      </c>
      <c r="E492" s="47">
        <f>D492-C492</f>
        <v>122</v>
      </c>
      <c r="F492" s="43" t="s">
        <v>0</v>
      </c>
      <c r="G492" s="45" t="s">
        <v>1</v>
      </c>
      <c r="H492" s="207"/>
      <c r="I492" s="207"/>
      <c r="J492" s="205"/>
      <c r="K492" s="53" t="s">
        <v>1349</v>
      </c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</row>
    <row r="493" spans="1:27" ht="15.75" customHeight="1">
      <c r="A493" s="65" t="s">
        <v>1350</v>
      </c>
      <c r="B493" s="206" t="s">
        <v>1351</v>
      </c>
      <c r="C493" s="39">
        <v>43784</v>
      </c>
      <c r="D493" s="39">
        <v>44052</v>
      </c>
      <c r="E493" s="47">
        <f>D493-C493</f>
        <v>268</v>
      </c>
      <c r="F493" s="43" t="s">
        <v>54</v>
      </c>
      <c r="G493" s="45" t="s">
        <v>33</v>
      </c>
      <c r="H493" s="207"/>
      <c r="I493" s="207"/>
      <c r="J493" s="205"/>
      <c r="K493" s="205"/>
      <c r="L493" s="42" t="s">
        <v>1352</v>
      </c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</row>
    <row r="494" spans="1:27" ht="15.75" customHeight="1">
      <c r="A494" s="205" t="s">
        <v>1353</v>
      </c>
      <c r="B494" s="206" t="s">
        <v>1354</v>
      </c>
      <c r="C494" s="39">
        <v>43829</v>
      </c>
      <c r="D494" s="40">
        <v>44058</v>
      </c>
      <c r="E494" s="41">
        <f>D494-C494</f>
        <v>229</v>
      </c>
      <c r="F494" s="43" t="s">
        <v>0</v>
      </c>
      <c r="G494" s="45" t="s">
        <v>26</v>
      </c>
      <c r="H494" s="207"/>
      <c r="I494" s="207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</row>
    <row r="495" spans="1:27" ht="15.75" customHeight="1">
      <c r="A495" s="42" t="s">
        <v>1355</v>
      </c>
      <c r="B495" s="206" t="s">
        <v>1356</v>
      </c>
      <c r="C495" s="39">
        <v>44046</v>
      </c>
      <c r="D495" s="40">
        <v>44065</v>
      </c>
      <c r="E495" s="41">
        <f>D495-C495</f>
        <v>19</v>
      </c>
      <c r="F495" s="43" t="s">
        <v>0</v>
      </c>
      <c r="G495" s="207"/>
      <c r="H495" s="207"/>
      <c r="I495" s="207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</row>
    <row r="496" spans="1:27" ht="15.75" customHeight="1">
      <c r="A496" s="42" t="s">
        <v>923</v>
      </c>
      <c r="B496" s="206" t="s">
        <v>924</v>
      </c>
      <c r="C496" s="39">
        <v>44031</v>
      </c>
      <c r="D496" s="40">
        <v>44065</v>
      </c>
      <c r="E496" s="47">
        <f>D496-C496</f>
        <v>34</v>
      </c>
      <c r="F496" s="43" t="s">
        <v>0</v>
      </c>
      <c r="G496" s="45" t="s">
        <v>1357</v>
      </c>
      <c r="H496" s="207"/>
      <c r="I496" s="207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</row>
    <row r="497" spans="1:27" ht="15.75" customHeight="1">
      <c r="A497" s="42" t="s">
        <v>1358</v>
      </c>
      <c r="B497" s="206" t="s">
        <v>1359</v>
      </c>
      <c r="C497" s="39">
        <v>43544</v>
      </c>
      <c r="D497" s="40">
        <v>44065</v>
      </c>
      <c r="E497" s="47">
        <f>D497-C497</f>
        <v>521</v>
      </c>
      <c r="F497" s="43" t="s">
        <v>524</v>
      </c>
      <c r="G497" s="45" t="s">
        <v>1</v>
      </c>
      <c r="H497" s="207"/>
      <c r="I497" s="207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</row>
    <row r="498" spans="1:27" ht="15.75" customHeight="1">
      <c r="A498" s="205" t="s">
        <v>1360</v>
      </c>
      <c r="B498" s="206" t="s">
        <v>1361</v>
      </c>
      <c r="C498" s="39">
        <v>44053</v>
      </c>
      <c r="D498" s="40">
        <v>44072</v>
      </c>
      <c r="E498" s="41">
        <f>D498-C498</f>
        <v>19</v>
      </c>
      <c r="F498" s="43" t="s">
        <v>0</v>
      </c>
      <c r="G498" s="207"/>
      <c r="H498" s="207"/>
      <c r="I498" s="207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</row>
    <row r="499" spans="1:27" ht="15.75" customHeight="1">
      <c r="A499" s="205" t="s">
        <v>1362</v>
      </c>
      <c r="B499" s="206" t="s">
        <v>1363</v>
      </c>
      <c r="C499" s="39">
        <v>44016</v>
      </c>
      <c r="D499" s="40">
        <v>44073</v>
      </c>
      <c r="E499" s="41">
        <f>D499-C499</f>
        <v>57</v>
      </c>
      <c r="F499" s="43" t="s">
        <v>0</v>
      </c>
      <c r="G499" s="207"/>
      <c r="H499" s="207"/>
      <c r="I499" s="207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</row>
    <row r="500" spans="1:27" ht="15.75" customHeight="1">
      <c r="A500" s="205" t="s">
        <v>1364</v>
      </c>
      <c r="B500" s="206" t="s">
        <v>1365</v>
      </c>
      <c r="C500" s="39">
        <v>43870</v>
      </c>
      <c r="D500" s="40">
        <v>44076</v>
      </c>
      <c r="E500" s="41">
        <f>D500-C500</f>
        <v>206</v>
      </c>
      <c r="F500" s="43" t="s">
        <v>0</v>
      </c>
      <c r="G500" s="45" t="s">
        <v>312</v>
      </c>
      <c r="H500" s="207"/>
      <c r="I500" s="207"/>
      <c r="J500" s="205"/>
      <c r="K500" s="53" t="s">
        <v>1366</v>
      </c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</row>
    <row r="501" spans="1:27" ht="15.75" customHeight="1">
      <c r="A501" s="42" t="s">
        <v>1367</v>
      </c>
      <c r="B501" s="206" t="s">
        <v>1368</v>
      </c>
      <c r="C501" s="39">
        <v>43870</v>
      </c>
      <c r="D501" s="40">
        <v>44077</v>
      </c>
      <c r="E501" s="41">
        <f>D501-C501</f>
        <v>207</v>
      </c>
      <c r="F501" s="43" t="s">
        <v>0</v>
      </c>
      <c r="G501" s="45" t="s">
        <v>70</v>
      </c>
      <c r="H501" s="207"/>
      <c r="I501" s="207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</row>
    <row r="502" spans="1:27" ht="15.75" customHeight="1">
      <c r="A502" s="205" t="s">
        <v>619</v>
      </c>
      <c r="B502" s="206" t="s">
        <v>620</v>
      </c>
      <c r="C502" s="39">
        <v>43857</v>
      </c>
      <c r="D502" s="39">
        <v>44079</v>
      </c>
      <c r="E502" s="47">
        <f>D502-C502</f>
        <v>222</v>
      </c>
      <c r="F502" s="43" t="s">
        <v>0</v>
      </c>
      <c r="G502" s="45" t="s">
        <v>1369</v>
      </c>
      <c r="H502" s="207"/>
      <c r="I502" s="207"/>
      <c r="J502" s="205"/>
      <c r="K502" s="53" t="s">
        <v>1370</v>
      </c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</row>
    <row r="503" spans="1:27" ht="15.75" customHeight="1">
      <c r="A503" s="57" t="s">
        <v>1371</v>
      </c>
      <c r="B503" s="209" t="s">
        <v>1372</v>
      </c>
      <c r="C503" s="39">
        <v>43726</v>
      </c>
      <c r="D503" s="39">
        <v>44079</v>
      </c>
      <c r="E503" s="41">
        <f>D503-C503</f>
        <v>353</v>
      </c>
      <c r="F503" s="43" t="s">
        <v>0</v>
      </c>
      <c r="G503" s="207"/>
      <c r="H503" s="207"/>
      <c r="I503" s="207"/>
      <c r="J503" s="205"/>
      <c r="K503" s="53" t="s">
        <v>1373</v>
      </c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</row>
    <row r="504" spans="1:27" ht="15.75" customHeight="1">
      <c r="A504" s="205" t="s">
        <v>1374</v>
      </c>
      <c r="B504" s="206" t="s">
        <v>1375</v>
      </c>
      <c r="C504" s="39">
        <v>44024</v>
      </c>
      <c r="D504" s="40">
        <v>44080</v>
      </c>
      <c r="E504" s="41">
        <f>D504-C504</f>
        <v>56</v>
      </c>
      <c r="F504" s="43" t="s">
        <v>1376</v>
      </c>
      <c r="G504" s="207"/>
      <c r="H504" s="207"/>
      <c r="I504" s="207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</row>
    <row r="505" spans="1:27" ht="15.75" customHeight="1">
      <c r="A505" s="205" t="s">
        <v>1294</v>
      </c>
      <c r="B505" s="206" t="s">
        <v>1377</v>
      </c>
      <c r="C505" s="39">
        <v>43910</v>
      </c>
      <c r="D505" s="40">
        <v>44080</v>
      </c>
      <c r="E505" s="47">
        <f>D505-C505</f>
        <v>170</v>
      </c>
      <c r="F505" s="208" t="s">
        <v>1105</v>
      </c>
      <c r="G505" s="45" t="s">
        <v>33</v>
      </c>
      <c r="H505" s="207"/>
      <c r="I505" s="207"/>
      <c r="J505" s="205"/>
      <c r="K505" s="53" t="s">
        <v>1378</v>
      </c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</row>
    <row r="506" spans="1:27" ht="15.75" customHeight="1">
      <c r="A506" s="205" t="s">
        <v>1379</v>
      </c>
      <c r="B506" s="206" t="s">
        <v>1380</v>
      </c>
      <c r="C506" s="39">
        <v>43870</v>
      </c>
      <c r="D506" s="40">
        <v>44080</v>
      </c>
      <c r="E506" s="41">
        <f>D506-C506</f>
        <v>210</v>
      </c>
      <c r="F506" s="43" t="s">
        <v>0</v>
      </c>
      <c r="G506" s="45" t="s">
        <v>70</v>
      </c>
      <c r="H506" s="207"/>
      <c r="I506" s="207"/>
      <c r="J506" s="205"/>
      <c r="K506" s="53" t="s">
        <v>1381</v>
      </c>
      <c r="L506" s="42" t="s">
        <v>1382</v>
      </c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</row>
    <row r="507" spans="1:27" ht="15.75" customHeight="1">
      <c r="A507" s="205" t="s">
        <v>1383</v>
      </c>
      <c r="B507" s="206" t="s">
        <v>1384</v>
      </c>
      <c r="C507" s="39">
        <v>43986</v>
      </c>
      <c r="D507" s="40">
        <v>44086</v>
      </c>
      <c r="E507" s="41">
        <f>D507-C507</f>
        <v>100</v>
      </c>
      <c r="F507" s="208" t="s">
        <v>174</v>
      </c>
      <c r="G507" s="207"/>
      <c r="H507" s="207"/>
      <c r="I507" s="207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</row>
    <row r="508" spans="1:27" ht="15.75" customHeight="1">
      <c r="A508" s="42" t="s">
        <v>1385</v>
      </c>
      <c r="B508" s="206" t="s">
        <v>1386</v>
      </c>
      <c r="C508" s="39">
        <v>44078</v>
      </c>
      <c r="D508" s="40">
        <v>44091</v>
      </c>
      <c r="E508" s="41">
        <f>D508-C508</f>
        <v>13</v>
      </c>
      <c r="F508" s="43" t="s">
        <v>0</v>
      </c>
      <c r="G508" s="45" t="s">
        <v>182</v>
      </c>
      <c r="H508" s="207"/>
      <c r="I508" s="207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</row>
    <row r="509" spans="1:27" ht="15.75" customHeight="1">
      <c r="A509" s="205" t="s">
        <v>1387</v>
      </c>
      <c r="B509" s="206" t="s">
        <v>1388</v>
      </c>
      <c r="C509" s="39">
        <v>44026</v>
      </c>
      <c r="D509" s="39">
        <v>44093</v>
      </c>
      <c r="E509" s="41">
        <f>D509-C509</f>
        <v>67</v>
      </c>
      <c r="F509" s="208" t="s">
        <v>31</v>
      </c>
      <c r="G509" s="207"/>
      <c r="H509" s="207"/>
      <c r="I509" s="207"/>
      <c r="J509" s="205"/>
      <c r="K509" s="205"/>
      <c r="L509" s="42" t="s">
        <v>1389</v>
      </c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</row>
    <row r="510" spans="1:27" ht="15.75" customHeight="1">
      <c r="A510" s="42" t="s">
        <v>968</v>
      </c>
      <c r="B510" s="206" t="s">
        <v>969</v>
      </c>
      <c r="C510" s="39">
        <v>43980</v>
      </c>
      <c r="D510" s="39">
        <v>44093</v>
      </c>
      <c r="E510" s="47">
        <f>D510-C510</f>
        <v>113</v>
      </c>
      <c r="F510" s="43" t="s">
        <v>0</v>
      </c>
      <c r="G510" s="207"/>
      <c r="H510" s="207"/>
      <c r="I510" s="207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</row>
    <row r="511" spans="1:27" ht="15.75" customHeight="1">
      <c r="A511" s="205" t="s">
        <v>1390</v>
      </c>
      <c r="B511" s="206" t="s">
        <v>1391</v>
      </c>
      <c r="C511" s="39">
        <v>43638</v>
      </c>
      <c r="D511" s="39">
        <v>44093</v>
      </c>
      <c r="E511" s="41">
        <f>D511-C511</f>
        <v>455</v>
      </c>
      <c r="F511" s="43" t="s">
        <v>0</v>
      </c>
      <c r="G511" s="45" t="s">
        <v>1</v>
      </c>
      <c r="H511" s="207"/>
      <c r="I511" s="207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</row>
    <row r="512" spans="1:27" ht="15.75" customHeight="1">
      <c r="A512" s="42" t="s">
        <v>1275</v>
      </c>
      <c r="B512" s="206" t="s">
        <v>1276</v>
      </c>
      <c r="C512" s="39">
        <v>44069</v>
      </c>
      <c r="D512" s="40">
        <v>44096</v>
      </c>
      <c r="E512" s="41">
        <f>D512-C512</f>
        <v>27</v>
      </c>
      <c r="F512" s="43" t="s">
        <v>0</v>
      </c>
      <c r="G512" s="207"/>
      <c r="H512" s="207"/>
      <c r="I512" s="207"/>
      <c r="J512" s="205"/>
      <c r="K512" s="53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</row>
    <row r="513" spans="1:27" ht="15.75" customHeight="1">
      <c r="A513" s="42" t="s">
        <v>1392</v>
      </c>
      <c r="B513" s="206" t="s">
        <v>1393</v>
      </c>
      <c r="C513" s="39">
        <v>43548</v>
      </c>
      <c r="D513" s="40">
        <v>44096</v>
      </c>
      <c r="E513" s="47">
        <f>D513-C513</f>
        <v>548</v>
      </c>
      <c r="F513" s="43" t="s">
        <v>0</v>
      </c>
      <c r="G513" s="207"/>
      <c r="H513" s="207"/>
      <c r="I513" s="207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</row>
    <row r="514" spans="1:27" ht="15.75" customHeight="1">
      <c r="A514" s="42" t="s">
        <v>1394</v>
      </c>
      <c r="B514" s="206" t="s">
        <v>1394</v>
      </c>
      <c r="C514" s="39">
        <v>43841</v>
      </c>
      <c r="D514" s="39">
        <v>44100</v>
      </c>
      <c r="E514" s="47">
        <f>D514-C514</f>
        <v>259</v>
      </c>
      <c r="F514" s="43" t="s">
        <v>1350</v>
      </c>
      <c r="G514" s="207"/>
      <c r="H514" s="207"/>
      <c r="I514" s="207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</row>
    <row r="515" spans="1:27" ht="15.75" customHeight="1">
      <c r="A515" s="57" t="s">
        <v>788</v>
      </c>
      <c r="B515" s="209" t="s">
        <v>1395</v>
      </c>
      <c r="C515" s="39">
        <v>43626</v>
      </c>
      <c r="D515" s="39">
        <v>44100</v>
      </c>
      <c r="E515" s="47">
        <f>D515-C515</f>
        <v>474</v>
      </c>
      <c r="F515" s="43" t="s">
        <v>54</v>
      </c>
      <c r="G515" s="207"/>
      <c r="H515" s="207"/>
      <c r="I515" s="207"/>
      <c r="J515" s="205"/>
      <c r="K515" s="53" t="s">
        <v>1396</v>
      </c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</row>
    <row r="516" spans="1:27" ht="15.75" customHeight="1">
      <c r="A516" s="42" t="s">
        <v>1397</v>
      </c>
      <c r="B516" s="206" t="s">
        <v>1398</v>
      </c>
      <c r="C516" s="39">
        <v>44087</v>
      </c>
      <c r="D516" s="40">
        <v>44107</v>
      </c>
      <c r="E516" s="41">
        <f>D516-C516</f>
        <v>20</v>
      </c>
      <c r="F516" s="43" t="s">
        <v>0</v>
      </c>
      <c r="G516" s="207"/>
      <c r="H516" s="207"/>
      <c r="I516" s="207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</row>
    <row r="517" spans="1:27" ht="15.75" customHeight="1">
      <c r="A517" s="42" t="s">
        <v>1399</v>
      </c>
      <c r="B517" s="206" t="s">
        <v>1400</v>
      </c>
      <c r="C517" s="39">
        <v>44079</v>
      </c>
      <c r="D517" s="40">
        <v>44107</v>
      </c>
      <c r="E517" s="41">
        <f>D517-C517</f>
        <v>28</v>
      </c>
      <c r="F517" s="43" t="s">
        <v>0</v>
      </c>
      <c r="G517" s="207"/>
      <c r="H517" s="207"/>
      <c r="I517" s="207"/>
      <c r="J517" s="205"/>
      <c r="K517" s="205"/>
      <c r="L517" s="42" t="s">
        <v>1401</v>
      </c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</row>
    <row r="518" spans="1:27" ht="15.75" customHeight="1">
      <c r="A518" s="205" t="s">
        <v>1105</v>
      </c>
      <c r="B518" s="206" t="s">
        <v>1106</v>
      </c>
      <c r="C518" s="39">
        <v>44002</v>
      </c>
      <c r="D518" s="40">
        <v>44107</v>
      </c>
      <c r="E518" s="47">
        <f>D518-C518</f>
        <v>105</v>
      </c>
      <c r="F518" s="43" t="s">
        <v>0</v>
      </c>
      <c r="G518" s="207"/>
      <c r="H518" s="207"/>
      <c r="I518" s="207"/>
      <c r="J518" s="205"/>
      <c r="K518" s="53" t="s">
        <v>1107</v>
      </c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</row>
    <row r="519" spans="1:27" ht="15.75" customHeight="1">
      <c r="A519" s="42" t="s">
        <v>730</v>
      </c>
      <c r="B519" s="206" t="s">
        <v>731</v>
      </c>
      <c r="C519" s="39">
        <v>43992</v>
      </c>
      <c r="D519" s="40">
        <v>44107</v>
      </c>
      <c r="E519" s="47">
        <f>D519-C519</f>
        <v>115</v>
      </c>
      <c r="F519" s="43" t="s">
        <v>0</v>
      </c>
      <c r="G519" s="45" t="s">
        <v>33</v>
      </c>
      <c r="H519" s="207"/>
      <c r="I519" s="207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</row>
    <row r="520" spans="1:27" ht="15.75" customHeight="1">
      <c r="A520" s="205" t="s">
        <v>1402</v>
      </c>
      <c r="B520" s="218" t="s">
        <v>1403</v>
      </c>
      <c r="C520" s="39">
        <v>43935</v>
      </c>
      <c r="D520" s="40">
        <v>44107</v>
      </c>
      <c r="E520" s="47">
        <f>D520-C520</f>
        <v>172</v>
      </c>
      <c r="F520" s="43" t="s">
        <v>0</v>
      </c>
      <c r="G520" s="207"/>
      <c r="H520" s="207"/>
      <c r="I520" s="207"/>
      <c r="J520" s="205"/>
      <c r="K520" s="205"/>
      <c r="L520" s="42" t="s">
        <v>1404</v>
      </c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</row>
    <row r="521" spans="1:27" ht="15.75" customHeight="1">
      <c r="A521" s="42" t="s">
        <v>1405</v>
      </c>
      <c r="B521" s="206" t="s">
        <v>1406</v>
      </c>
      <c r="C521" s="39">
        <v>44074</v>
      </c>
      <c r="D521" s="40">
        <v>44108</v>
      </c>
      <c r="E521" s="47">
        <f>D521-C521</f>
        <v>34</v>
      </c>
      <c r="F521" s="43" t="s">
        <v>0</v>
      </c>
      <c r="G521" s="207"/>
      <c r="H521" s="207"/>
      <c r="I521" s="207"/>
      <c r="J521" s="205"/>
      <c r="K521" s="205"/>
      <c r="L521" s="205" t="s">
        <v>1407</v>
      </c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</row>
    <row r="522" spans="1:27" ht="15.75" customHeight="1">
      <c r="A522" s="42" t="s">
        <v>1408</v>
      </c>
      <c r="B522" s="206" t="s">
        <v>725</v>
      </c>
      <c r="C522" s="39">
        <v>43976</v>
      </c>
      <c r="D522" s="40">
        <v>44108</v>
      </c>
      <c r="E522" s="41">
        <f>D522-C522</f>
        <v>132</v>
      </c>
      <c r="F522" s="43" t="s">
        <v>0</v>
      </c>
      <c r="G522" s="43" t="s">
        <v>471</v>
      </c>
      <c r="H522" s="208"/>
      <c r="I522" s="207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</row>
    <row r="523" spans="1:27" ht="15.75" customHeight="1">
      <c r="A523" s="42" t="s">
        <v>1409</v>
      </c>
      <c r="B523" s="206" t="s">
        <v>1410</v>
      </c>
      <c r="C523" s="39">
        <v>44074</v>
      </c>
      <c r="D523" s="40">
        <v>44114</v>
      </c>
      <c r="E523" s="47">
        <f>D523-C523</f>
        <v>40</v>
      </c>
      <c r="F523" s="43" t="s">
        <v>0</v>
      </c>
      <c r="G523" s="207"/>
      <c r="H523" s="207"/>
      <c r="I523" s="207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</row>
    <row r="524" spans="1:27" ht="15.75" customHeight="1">
      <c r="A524" s="42" t="s">
        <v>1411</v>
      </c>
      <c r="B524" s="206" t="s">
        <v>1412</v>
      </c>
      <c r="C524" s="39">
        <v>44073</v>
      </c>
      <c r="D524" s="40">
        <v>44114</v>
      </c>
      <c r="E524" s="41">
        <f>D524-C524</f>
        <v>41</v>
      </c>
      <c r="F524" s="43" t="s">
        <v>1413</v>
      </c>
      <c r="G524" s="207"/>
      <c r="H524" s="207"/>
      <c r="I524" s="207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</row>
    <row r="525" spans="1:27" ht="15.75" customHeight="1">
      <c r="A525" s="205" t="s">
        <v>1414</v>
      </c>
      <c r="B525" s="206" t="s">
        <v>1415</v>
      </c>
      <c r="C525" s="39">
        <v>43546</v>
      </c>
      <c r="D525" s="39">
        <v>44116</v>
      </c>
      <c r="E525" s="47">
        <f>D525-C525</f>
        <v>570</v>
      </c>
      <c r="F525" s="43" t="s">
        <v>795</v>
      </c>
      <c r="G525" s="207"/>
      <c r="H525" s="207"/>
      <c r="I525" s="207"/>
      <c r="J525" s="205"/>
      <c r="K525" s="53" t="s">
        <v>1416</v>
      </c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</row>
    <row r="526" spans="1:27" ht="15.75" customHeight="1">
      <c r="A526" s="205" t="s">
        <v>1295</v>
      </c>
      <c r="B526" s="206" t="s">
        <v>1296</v>
      </c>
      <c r="C526" s="39">
        <v>44065</v>
      </c>
      <c r="D526" s="40">
        <v>44119</v>
      </c>
      <c r="E526" s="41">
        <f>D526-C526</f>
        <v>54</v>
      </c>
      <c r="F526" s="43" t="s">
        <v>0</v>
      </c>
      <c r="G526" s="207"/>
      <c r="H526" s="207"/>
      <c r="I526" s="207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</row>
    <row r="527" spans="1:27" ht="15.75" customHeight="1">
      <c r="A527" s="205" t="s">
        <v>1417</v>
      </c>
      <c r="B527" s="206" t="s">
        <v>1418</v>
      </c>
      <c r="C527" s="39">
        <v>43947</v>
      </c>
      <c r="D527" s="40">
        <v>44121</v>
      </c>
      <c r="E527" s="41">
        <f>D527-C527</f>
        <v>174</v>
      </c>
      <c r="F527" s="43" t="s">
        <v>0</v>
      </c>
      <c r="G527" s="207"/>
      <c r="H527" s="207"/>
      <c r="I527" s="45" t="s">
        <v>90</v>
      </c>
      <c r="J527" s="205"/>
      <c r="K527" s="205"/>
      <c r="L527" s="205" t="s">
        <v>1419</v>
      </c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</row>
    <row r="528" spans="1:27" ht="15.75" customHeight="1">
      <c r="A528" s="205" t="s">
        <v>1420</v>
      </c>
      <c r="B528" s="206" t="s">
        <v>1421</v>
      </c>
      <c r="C528" s="39">
        <v>43913</v>
      </c>
      <c r="D528" s="40">
        <v>44121</v>
      </c>
      <c r="E528" s="41">
        <f>D528-C528</f>
        <v>208</v>
      </c>
      <c r="F528" s="43" t="s">
        <v>0</v>
      </c>
      <c r="G528" s="45" t="s">
        <v>312</v>
      </c>
      <c r="H528" s="207"/>
      <c r="I528" s="207"/>
      <c r="J528" s="205"/>
      <c r="K528" s="53" t="s">
        <v>1422</v>
      </c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</row>
    <row r="529" spans="1:27" ht="17.25" customHeight="1">
      <c r="A529" s="42" t="s">
        <v>1423</v>
      </c>
      <c r="B529" s="206" t="s">
        <v>1424</v>
      </c>
      <c r="C529" s="39">
        <v>44024</v>
      </c>
      <c r="D529" s="40">
        <v>44126</v>
      </c>
      <c r="E529" s="41">
        <f>D529-C529</f>
        <v>102</v>
      </c>
      <c r="F529" s="43" t="s">
        <v>0</v>
      </c>
      <c r="G529" s="207"/>
      <c r="H529" s="207"/>
      <c r="I529" s="207"/>
      <c r="J529" s="205"/>
      <c r="K529" s="205"/>
      <c r="L529" s="74" t="s">
        <v>1425</v>
      </c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</row>
    <row r="530" spans="1:27" ht="15.75" customHeight="1">
      <c r="A530" s="42" t="s">
        <v>1426</v>
      </c>
      <c r="B530" s="206" t="s">
        <v>1427</v>
      </c>
      <c r="C530" s="39">
        <v>44025</v>
      </c>
      <c r="D530" s="40">
        <v>44128</v>
      </c>
      <c r="E530" s="41">
        <f>D530-C530</f>
        <v>103</v>
      </c>
      <c r="F530" s="43" t="s">
        <v>1413</v>
      </c>
      <c r="G530" s="207"/>
      <c r="H530" s="207"/>
      <c r="I530" s="45" t="s">
        <v>26</v>
      </c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</row>
    <row r="531" spans="1:27" ht="15.75" customHeight="1">
      <c r="A531" s="42" t="s">
        <v>1428</v>
      </c>
      <c r="B531" s="206" t="s">
        <v>1429</v>
      </c>
      <c r="C531" s="39">
        <v>44016</v>
      </c>
      <c r="D531" s="40">
        <v>44128</v>
      </c>
      <c r="E531" s="41">
        <f>D531-C531</f>
        <v>112</v>
      </c>
      <c r="F531" s="45" t="s">
        <v>81</v>
      </c>
      <c r="G531" s="207"/>
      <c r="H531" s="207"/>
      <c r="I531" s="207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</row>
    <row r="532" spans="1:27" ht="15.75" customHeight="1">
      <c r="A532" s="42" t="s">
        <v>1430</v>
      </c>
      <c r="B532" s="206" t="s">
        <v>1431</v>
      </c>
      <c r="C532" s="39">
        <v>43899</v>
      </c>
      <c r="D532" s="40">
        <v>44128</v>
      </c>
      <c r="E532" s="41">
        <f>D532-C532</f>
        <v>229</v>
      </c>
      <c r="F532" s="45" t="s">
        <v>0</v>
      </c>
      <c r="G532" s="45" t="s">
        <v>33</v>
      </c>
      <c r="H532" s="207"/>
      <c r="I532" s="207"/>
      <c r="J532" s="205"/>
      <c r="K532" s="53" t="s">
        <v>1432</v>
      </c>
      <c r="L532" s="74" t="s">
        <v>1433</v>
      </c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</row>
    <row r="533" spans="1:27" ht="15.75" customHeight="1">
      <c r="A533" s="205" t="s">
        <v>1434</v>
      </c>
      <c r="B533" s="206" t="s">
        <v>1435</v>
      </c>
      <c r="C533" s="39">
        <v>43979</v>
      </c>
      <c r="D533" s="40">
        <v>44134</v>
      </c>
      <c r="E533" s="41">
        <f>D533-C533</f>
        <v>155</v>
      </c>
      <c r="F533" s="208" t="s">
        <v>1436</v>
      </c>
      <c r="G533" s="45" t="s">
        <v>33</v>
      </c>
      <c r="H533" s="207"/>
      <c r="I533" s="207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</row>
    <row r="534" spans="1:27" ht="15.75" customHeight="1">
      <c r="A534" s="42" t="s">
        <v>1437</v>
      </c>
      <c r="B534" s="206" t="s">
        <v>1438</v>
      </c>
      <c r="C534" s="39">
        <v>44132</v>
      </c>
      <c r="D534" s="39">
        <v>44135</v>
      </c>
      <c r="E534" s="41">
        <f>D534-C534</f>
        <v>3</v>
      </c>
      <c r="F534" s="43" t="s">
        <v>0</v>
      </c>
      <c r="G534" s="207"/>
      <c r="H534" s="207"/>
      <c r="I534" s="207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</row>
    <row r="535" spans="1:27" ht="15.75" customHeight="1">
      <c r="A535" s="205" t="s">
        <v>1439</v>
      </c>
      <c r="B535" s="206" t="s">
        <v>1440</v>
      </c>
      <c r="C535" s="39">
        <v>44124</v>
      </c>
      <c r="D535" s="39">
        <v>44135</v>
      </c>
      <c r="E535" s="41">
        <f>D535-C535</f>
        <v>11</v>
      </c>
      <c r="F535" s="43" t="s">
        <v>0</v>
      </c>
      <c r="G535" s="207"/>
      <c r="H535" s="207"/>
      <c r="I535" s="207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</row>
    <row r="536" spans="1:27" ht="15.75" customHeight="1">
      <c r="A536" s="42" t="s">
        <v>1441</v>
      </c>
      <c r="B536" s="206" t="s">
        <v>1442</v>
      </c>
      <c r="C536" s="39">
        <v>44032</v>
      </c>
      <c r="D536" s="39">
        <v>44135</v>
      </c>
      <c r="E536" s="41">
        <f>D536-C536</f>
        <v>103</v>
      </c>
      <c r="F536" s="43" t="s">
        <v>1192</v>
      </c>
      <c r="G536" s="207"/>
      <c r="H536" s="207"/>
      <c r="I536" s="207"/>
      <c r="J536" s="205"/>
      <c r="K536" s="205"/>
      <c r="L536" s="42" t="s">
        <v>1443</v>
      </c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</row>
    <row r="537" spans="1:27" ht="15.75" customHeight="1">
      <c r="A537" s="42" t="s">
        <v>1192</v>
      </c>
      <c r="B537" s="206" t="s">
        <v>1444</v>
      </c>
      <c r="C537" s="39">
        <v>44003</v>
      </c>
      <c r="D537" s="39">
        <v>44135</v>
      </c>
      <c r="E537" s="47">
        <f>D537-C537</f>
        <v>132</v>
      </c>
      <c r="F537" s="43" t="s">
        <v>0</v>
      </c>
      <c r="G537" s="45" t="s">
        <v>512</v>
      </c>
      <c r="H537" s="207"/>
      <c r="I537" s="207"/>
      <c r="J537" s="205"/>
      <c r="K537" s="53" t="s">
        <v>513</v>
      </c>
      <c r="L537" s="42" t="s">
        <v>510</v>
      </c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</row>
    <row r="538" spans="1:27" ht="15.75" customHeight="1">
      <c r="A538" s="42" t="s">
        <v>1445</v>
      </c>
      <c r="B538" s="206" t="s">
        <v>1446</v>
      </c>
      <c r="C538" s="39">
        <v>44131</v>
      </c>
      <c r="D538" s="40">
        <v>44137</v>
      </c>
      <c r="E538" s="41">
        <f>D538-C538</f>
        <v>6</v>
      </c>
      <c r="F538" s="43" t="s">
        <v>0</v>
      </c>
      <c r="G538" s="45" t="s">
        <v>487</v>
      </c>
      <c r="H538" s="207"/>
      <c r="I538" s="207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</row>
    <row r="539" spans="1:27" ht="15.75" customHeight="1">
      <c r="A539" s="57" t="s">
        <v>911</v>
      </c>
      <c r="B539" s="206" t="s">
        <v>912</v>
      </c>
      <c r="C539" s="39">
        <v>44088</v>
      </c>
      <c r="D539" s="40">
        <v>44142</v>
      </c>
      <c r="E539" s="41">
        <f>D539-C539</f>
        <v>54</v>
      </c>
      <c r="F539" s="43" t="s">
        <v>0</v>
      </c>
      <c r="G539" s="207"/>
      <c r="H539" s="207"/>
      <c r="I539" s="207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</row>
    <row r="540" spans="1:27" ht="15.75" customHeight="1">
      <c r="A540" s="205" t="s">
        <v>641</v>
      </c>
      <c r="B540" s="206" t="s">
        <v>1021</v>
      </c>
      <c r="C540" s="39">
        <v>44068</v>
      </c>
      <c r="D540" s="40">
        <v>44142</v>
      </c>
      <c r="E540" s="41">
        <f>D540-C540</f>
        <v>74</v>
      </c>
      <c r="F540" s="43" t="s">
        <v>0</v>
      </c>
      <c r="G540" s="45" t="s">
        <v>1</v>
      </c>
      <c r="H540" s="207"/>
      <c r="I540" s="207"/>
      <c r="J540" s="205"/>
      <c r="K540" s="53" t="s">
        <v>1022</v>
      </c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</row>
    <row r="541" spans="1:27" ht="15.75" customHeight="1">
      <c r="A541" s="205" t="s">
        <v>1447</v>
      </c>
      <c r="B541" s="206" t="s">
        <v>1448</v>
      </c>
      <c r="C541" s="39">
        <v>43918</v>
      </c>
      <c r="D541" s="40">
        <v>44142</v>
      </c>
      <c r="E541" s="41">
        <f>D541-C541</f>
        <v>224</v>
      </c>
      <c r="F541" s="208" t="s">
        <v>1449</v>
      </c>
      <c r="G541" s="207"/>
      <c r="H541" s="207"/>
      <c r="I541" s="45" t="s">
        <v>1450</v>
      </c>
      <c r="J541" s="205"/>
      <c r="K541" s="53" t="s">
        <v>1451</v>
      </c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</row>
    <row r="542" spans="1:27" ht="15.75" customHeight="1">
      <c r="A542" s="42" t="s">
        <v>1054</v>
      </c>
      <c r="B542" s="206" t="s">
        <v>1055</v>
      </c>
      <c r="C542" s="39">
        <v>44102</v>
      </c>
      <c r="D542" s="40">
        <v>44149</v>
      </c>
      <c r="E542" s="41">
        <f>D542-C542</f>
        <v>47</v>
      </c>
      <c r="F542" s="43" t="s">
        <v>0</v>
      </c>
      <c r="G542" s="45" t="s">
        <v>33</v>
      </c>
      <c r="H542" s="207"/>
      <c r="I542" s="207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</row>
    <row r="543" spans="1:27" ht="15.75" customHeight="1">
      <c r="A543" s="205" t="s">
        <v>1452</v>
      </c>
      <c r="B543" s="206" t="s">
        <v>1453</v>
      </c>
      <c r="C543" s="39">
        <v>44090</v>
      </c>
      <c r="D543" s="40">
        <v>44149</v>
      </c>
      <c r="E543" s="41">
        <f>D543-C543</f>
        <v>59</v>
      </c>
      <c r="F543" s="43" t="s">
        <v>853</v>
      </c>
      <c r="G543" s="207"/>
      <c r="H543" s="207"/>
      <c r="I543" s="207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</row>
    <row r="544" spans="1:27" ht="15.75" customHeight="1">
      <c r="A544" s="57" t="s">
        <v>867</v>
      </c>
      <c r="B544" s="206" t="s">
        <v>868</v>
      </c>
      <c r="C544" s="39">
        <v>44018</v>
      </c>
      <c r="D544" s="40">
        <v>44150</v>
      </c>
      <c r="E544" s="41">
        <f>D544-C544</f>
        <v>132</v>
      </c>
      <c r="F544" s="43" t="s">
        <v>0</v>
      </c>
      <c r="G544" s="207"/>
      <c r="H544" s="207"/>
      <c r="I544" s="207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</row>
    <row r="545" spans="1:27" ht="15.75" customHeight="1">
      <c r="A545" s="42" t="s">
        <v>1454</v>
      </c>
      <c r="B545" s="206" t="s">
        <v>1455</v>
      </c>
      <c r="C545" s="39">
        <v>43987</v>
      </c>
      <c r="D545" s="40">
        <v>44151</v>
      </c>
      <c r="E545" s="41">
        <f>D545-C545</f>
        <v>164</v>
      </c>
      <c r="F545" s="43" t="s">
        <v>0</v>
      </c>
      <c r="G545" s="45" t="s">
        <v>995</v>
      </c>
      <c r="H545" s="207"/>
      <c r="I545" s="207"/>
      <c r="J545" s="205"/>
      <c r="K545" s="205"/>
      <c r="L545" s="42" t="s">
        <v>1456</v>
      </c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</row>
    <row r="546" spans="1:27" ht="15.75" customHeight="1">
      <c r="A546" s="205" t="s">
        <v>1457</v>
      </c>
      <c r="B546" s="206" t="s">
        <v>1458</v>
      </c>
      <c r="C546" s="39">
        <v>44048</v>
      </c>
      <c r="D546" s="40">
        <v>44154</v>
      </c>
      <c r="E546" s="41">
        <f>D546-C546</f>
        <v>106</v>
      </c>
      <c r="F546" s="43" t="s">
        <v>0</v>
      </c>
      <c r="G546" s="45" t="s">
        <v>316</v>
      </c>
      <c r="H546" s="207"/>
      <c r="I546" s="45" t="s">
        <v>1450</v>
      </c>
      <c r="J546" s="205"/>
      <c r="K546" s="205"/>
      <c r="L546" s="42" t="s">
        <v>1459</v>
      </c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</row>
    <row r="547" spans="1:27" ht="15.75" customHeight="1">
      <c r="A547" s="205" t="s">
        <v>1460</v>
      </c>
      <c r="B547" s="206" t="s">
        <v>1461</v>
      </c>
      <c r="C547" s="39">
        <v>44134</v>
      </c>
      <c r="D547" s="40">
        <v>44155</v>
      </c>
      <c r="E547" s="41">
        <f>D547-C547</f>
        <v>21</v>
      </c>
      <c r="F547" s="208" t="s">
        <v>1322</v>
      </c>
      <c r="G547" s="207"/>
      <c r="H547" s="207"/>
      <c r="I547" s="207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</row>
    <row r="548" spans="1:27" ht="15.75" customHeight="1">
      <c r="A548" s="205" t="s">
        <v>1462</v>
      </c>
      <c r="B548" s="206" t="s">
        <v>1463</v>
      </c>
      <c r="C548" s="39">
        <v>44073</v>
      </c>
      <c r="D548" s="40">
        <v>44155</v>
      </c>
      <c r="E548" s="41">
        <f>D548-C548</f>
        <v>82</v>
      </c>
      <c r="F548" s="208" t="s">
        <v>1212</v>
      </c>
      <c r="G548" s="207"/>
      <c r="H548" s="207"/>
      <c r="I548" s="207"/>
      <c r="J548" s="205"/>
      <c r="K548" s="205"/>
      <c r="L548" s="42" t="s">
        <v>1464</v>
      </c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</row>
    <row r="549" spans="1:27" ht="15.75" customHeight="1">
      <c r="A549" s="205" t="s">
        <v>1465</v>
      </c>
      <c r="B549" s="206" t="s">
        <v>1466</v>
      </c>
      <c r="C549" s="39">
        <v>44004</v>
      </c>
      <c r="D549" s="40">
        <v>44155</v>
      </c>
      <c r="E549" s="41">
        <f>D549-C549</f>
        <v>151</v>
      </c>
      <c r="F549" s="43" t="s">
        <v>1413</v>
      </c>
      <c r="G549" s="45" t="s">
        <v>1</v>
      </c>
      <c r="H549" s="207"/>
      <c r="I549" s="207"/>
      <c r="J549" s="205"/>
      <c r="K549" s="205"/>
      <c r="L549" s="42" t="s">
        <v>1467</v>
      </c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</row>
    <row r="550" spans="1:27" ht="15.75" customHeight="1">
      <c r="A550" s="42" t="s">
        <v>1468</v>
      </c>
      <c r="B550" s="206" t="s">
        <v>1469</v>
      </c>
      <c r="C550" s="39">
        <v>43884</v>
      </c>
      <c r="D550" s="40">
        <v>44155</v>
      </c>
      <c r="E550" s="41">
        <f>D550-C550</f>
        <v>271</v>
      </c>
      <c r="F550" s="43" t="s">
        <v>0</v>
      </c>
      <c r="G550" s="45" t="s">
        <v>1470</v>
      </c>
      <c r="H550" s="207"/>
      <c r="I550" s="207"/>
      <c r="J550" s="205"/>
      <c r="K550" s="53" t="s">
        <v>1471</v>
      </c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</row>
    <row r="551" spans="1:27" ht="15.75" customHeight="1">
      <c r="A551" s="42" t="s">
        <v>1413</v>
      </c>
      <c r="B551" s="206" t="s">
        <v>1472</v>
      </c>
      <c r="C551" s="39">
        <v>43876</v>
      </c>
      <c r="D551" s="40">
        <v>44155</v>
      </c>
      <c r="E551" s="41">
        <f>D551-C551</f>
        <v>279</v>
      </c>
      <c r="F551" s="43" t="s">
        <v>0</v>
      </c>
      <c r="G551" s="45" t="s">
        <v>1</v>
      </c>
      <c r="H551" s="207"/>
      <c r="I551" s="207"/>
      <c r="J551" s="205"/>
      <c r="K551" s="53" t="s">
        <v>1473</v>
      </c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</row>
    <row r="552" spans="1:27" ht="15.75" customHeight="1">
      <c r="A552" s="205" t="s">
        <v>1362</v>
      </c>
      <c r="B552" s="206" t="s">
        <v>1363</v>
      </c>
      <c r="C552" s="39">
        <v>44092</v>
      </c>
      <c r="D552" s="40">
        <v>44156</v>
      </c>
      <c r="E552" s="41">
        <f>D552-C552</f>
        <v>64</v>
      </c>
      <c r="F552" s="43" t="s">
        <v>0</v>
      </c>
      <c r="G552" s="207"/>
      <c r="H552" s="207"/>
      <c r="I552" s="207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</row>
    <row r="553" spans="1:27">
      <c r="A553" s="205" t="s">
        <v>1474</v>
      </c>
      <c r="B553" s="219" t="s">
        <v>1475</v>
      </c>
      <c r="C553" s="39">
        <v>44079</v>
      </c>
      <c r="D553" s="40">
        <v>44156</v>
      </c>
      <c r="E553" s="41">
        <f>D553-C553</f>
        <v>77</v>
      </c>
      <c r="F553" s="43" t="s">
        <v>68</v>
      </c>
      <c r="G553" s="207"/>
      <c r="H553" s="207"/>
      <c r="I553" s="45" t="s">
        <v>90</v>
      </c>
      <c r="J553" s="42"/>
      <c r="K553" s="42"/>
      <c r="L553" s="42"/>
      <c r="M553" s="42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</row>
    <row r="554" spans="1:27" s="42" customFormat="1" ht="15.75" customHeight="1">
      <c r="A554" s="205" t="s">
        <v>1212</v>
      </c>
      <c r="B554" s="206" t="s">
        <v>1476</v>
      </c>
      <c r="C554" s="39">
        <v>43569</v>
      </c>
      <c r="D554" s="40">
        <v>44156</v>
      </c>
      <c r="E554" s="41">
        <f>D554-C554</f>
        <v>587</v>
      </c>
      <c r="F554" s="43" t="s">
        <v>0</v>
      </c>
      <c r="G554" s="45" t="s">
        <v>70</v>
      </c>
      <c r="H554" s="207"/>
      <c r="I554" s="207"/>
      <c r="J554" s="205"/>
      <c r="K554" s="53" t="s">
        <v>1477</v>
      </c>
      <c r="L554" s="205"/>
      <c r="M554" s="205"/>
    </row>
    <row r="555" spans="1:27" s="42" customFormat="1" ht="15.75" customHeight="1">
      <c r="A555" s="57" t="s">
        <v>991</v>
      </c>
      <c r="B555" s="206" t="s">
        <v>1478</v>
      </c>
      <c r="C555" s="39">
        <v>43662</v>
      </c>
      <c r="D555" s="39">
        <v>44158</v>
      </c>
      <c r="E555" s="47">
        <f>D555-C555</f>
        <v>496</v>
      </c>
      <c r="F555" s="43" t="s">
        <v>54</v>
      </c>
      <c r="G555" s="45" t="s">
        <v>26</v>
      </c>
      <c r="H555" s="207"/>
      <c r="I555" s="207"/>
      <c r="J555" s="205"/>
      <c r="K555" s="53" t="s">
        <v>1479</v>
      </c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</row>
    <row r="556" spans="1:27" s="42" customFormat="1" ht="15.75" customHeight="1">
      <c r="A556" s="42" t="s">
        <v>1480</v>
      </c>
      <c r="B556" s="206" t="s">
        <v>1481</v>
      </c>
      <c r="C556" s="39">
        <v>44091</v>
      </c>
      <c r="D556" s="40">
        <v>44162</v>
      </c>
      <c r="E556" s="41">
        <f>D556-C556</f>
        <v>71</v>
      </c>
      <c r="F556" s="208" t="s">
        <v>174</v>
      </c>
      <c r="G556" s="207"/>
      <c r="H556" s="207"/>
      <c r="I556" s="207"/>
      <c r="L556" s="205" t="s">
        <v>1482</v>
      </c>
    </row>
    <row r="557" spans="1:27" s="42" customFormat="1" ht="15.75" customHeight="1">
      <c r="A557" s="205" t="s">
        <v>1483</v>
      </c>
      <c r="B557" s="206" t="s">
        <v>1484</v>
      </c>
      <c r="C557" s="39">
        <v>44114</v>
      </c>
      <c r="D557" s="40">
        <v>44164</v>
      </c>
      <c r="E557" s="41">
        <f>D557-C557</f>
        <v>50</v>
      </c>
      <c r="F557" s="43" t="s">
        <v>68</v>
      </c>
      <c r="G557" s="207"/>
      <c r="H557" s="207"/>
      <c r="I557" s="207"/>
    </row>
    <row r="558" spans="1:27" s="42" customFormat="1" ht="15.75" customHeight="1">
      <c r="A558" s="205" t="s">
        <v>1137</v>
      </c>
      <c r="B558" s="209" t="s">
        <v>1485</v>
      </c>
      <c r="C558" s="39">
        <v>43737</v>
      </c>
      <c r="D558" s="39">
        <v>44166</v>
      </c>
      <c r="E558" s="47">
        <f>D558-C558</f>
        <v>429</v>
      </c>
      <c r="F558" s="43" t="s">
        <v>884</v>
      </c>
      <c r="G558" s="45" t="s">
        <v>1</v>
      </c>
      <c r="H558" s="207"/>
      <c r="I558" s="207"/>
      <c r="J558" s="205"/>
      <c r="K558" s="53" t="s">
        <v>1486</v>
      </c>
      <c r="L558" s="42" t="s">
        <v>1487</v>
      </c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</row>
    <row r="559" spans="1:27" s="42" customFormat="1" ht="15.75" customHeight="1">
      <c r="A559" s="205" t="s">
        <v>1488</v>
      </c>
      <c r="B559" s="206" t="s">
        <v>1489</v>
      </c>
      <c r="C559" s="39">
        <v>44109</v>
      </c>
      <c r="D559" s="40">
        <v>44168</v>
      </c>
      <c r="E559" s="41">
        <f>D559-C559</f>
        <v>59</v>
      </c>
      <c r="F559" s="43" t="s">
        <v>0</v>
      </c>
      <c r="G559" s="45" t="s">
        <v>1119</v>
      </c>
      <c r="H559" s="207"/>
      <c r="I559" s="207"/>
    </row>
    <row r="560" spans="1:27" s="42" customFormat="1" ht="15.75" customHeight="1">
      <c r="A560" s="42" t="s">
        <v>1490</v>
      </c>
      <c r="B560" s="206" t="s">
        <v>1490</v>
      </c>
      <c r="C560" s="39">
        <v>43836</v>
      </c>
      <c r="D560" s="40">
        <v>44169</v>
      </c>
      <c r="E560" s="41">
        <f>D560-C560</f>
        <v>333</v>
      </c>
      <c r="F560" s="43" t="s">
        <v>0</v>
      </c>
      <c r="G560" s="45" t="s">
        <v>26</v>
      </c>
      <c r="H560" s="207"/>
      <c r="I560" s="45" t="s">
        <v>1450</v>
      </c>
    </row>
    <row r="561" spans="1:27" s="42" customFormat="1" ht="15.75" customHeight="1">
      <c r="A561" s="42" t="s">
        <v>1399</v>
      </c>
      <c r="B561" s="206" t="s">
        <v>1400</v>
      </c>
      <c r="C561" s="39">
        <v>44131</v>
      </c>
      <c r="D561" s="40">
        <v>44170</v>
      </c>
      <c r="E561" s="41">
        <f>D561-C561</f>
        <v>39</v>
      </c>
      <c r="F561" s="43" t="s">
        <v>0</v>
      </c>
      <c r="G561" s="45" t="s">
        <v>1</v>
      </c>
      <c r="H561" s="207"/>
      <c r="I561" s="207"/>
      <c r="J561" s="205"/>
      <c r="K561" s="205"/>
      <c r="L561" s="42" t="s">
        <v>1401</v>
      </c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</row>
    <row r="562" spans="1:27" s="42" customFormat="1" ht="15.75" customHeight="1">
      <c r="A562" s="205" t="s">
        <v>1383</v>
      </c>
      <c r="B562" s="206" t="s">
        <v>1384</v>
      </c>
      <c r="C562" s="39">
        <v>44121</v>
      </c>
      <c r="D562" s="40">
        <v>44170</v>
      </c>
      <c r="E562" s="47">
        <f>D562-C562</f>
        <v>49</v>
      </c>
      <c r="F562" s="43" t="s">
        <v>0</v>
      </c>
      <c r="G562" s="45" t="s">
        <v>1491</v>
      </c>
      <c r="H562" s="207"/>
      <c r="I562" s="45" t="s">
        <v>1450</v>
      </c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</row>
    <row r="563" spans="1:27" s="42" customFormat="1" ht="15.75" customHeight="1">
      <c r="A563" s="42" t="s">
        <v>1492</v>
      </c>
      <c r="B563" s="206" t="s">
        <v>1493</v>
      </c>
      <c r="C563" s="39">
        <v>44135</v>
      </c>
      <c r="D563" s="40">
        <v>44175</v>
      </c>
      <c r="E563" s="41">
        <f>D563-C563</f>
        <v>40</v>
      </c>
      <c r="F563" s="43" t="s">
        <v>0</v>
      </c>
      <c r="G563" s="45" t="s">
        <v>436</v>
      </c>
      <c r="H563" s="207"/>
      <c r="I563" s="207"/>
    </row>
    <row r="564" spans="1:27" s="42" customFormat="1" ht="15.75" customHeight="1">
      <c r="A564" s="205" t="s">
        <v>1494</v>
      </c>
      <c r="B564" s="206" t="s">
        <v>349</v>
      </c>
      <c r="C564" s="39">
        <v>43919</v>
      </c>
      <c r="D564" s="40">
        <v>44176</v>
      </c>
      <c r="E564" s="41">
        <f>D564-C564</f>
        <v>257</v>
      </c>
      <c r="F564" s="43" t="s">
        <v>0</v>
      </c>
      <c r="G564" s="207"/>
      <c r="H564" s="207"/>
      <c r="I564" s="207"/>
      <c r="K564" s="53" t="s">
        <v>348</v>
      </c>
    </row>
    <row r="565" spans="1:27" s="42" customFormat="1" ht="15.75" customHeight="1">
      <c r="A565" s="65" t="s">
        <v>1084</v>
      </c>
      <c r="B565" s="206" t="s">
        <v>1495</v>
      </c>
      <c r="C565" s="39">
        <v>43778</v>
      </c>
      <c r="D565" s="39">
        <v>44177</v>
      </c>
      <c r="E565" s="47">
        <f>D565-C565</f>
        <v>399</v>
      </c>
      <c r="F565" s="43" t="s">
        <v>0</v>
      </c>
      <c r="G565" s="45" t="s">
        <v>336</v>
      </c>
      <c r="H565" s="207"/>
      <c r="I565" s="207"/>
      <c r="J565" s="205"/>
      <c r="K565" s="53" t="s">
        <v>1496</v>
      </c>
      <c r="L565" s="42" t="s">
        <v>1497</v>
      </c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</row>
    <row r="566" spans="1:27" s="42" customFormat="1" ht="15.75" customHeight="1">
      <c r="A566" s="42" t="s">
        <v>1498</v>
      </c>
      <c r="B566" s="206" t="s">
        <v>1498</v>
      </c>
      <c r="C566" s="39">
        <v>44111</v>
      </c>
      <c r="D566" s="39">
        <v>44178</v>
      </c>
      <c r="E566" s="41">
        <f>D566-C566</f>
        <v>67</v>
      </c>
      <c r="F566" s="43" t="s">
        <v>853</v>
      </c>
      <c r="G566" s="207"/>
      <c r="H566" s="207"/>
      <c r="I566" s="207"/>
      <c r="J566" s="205"/>
      <c r="K566" s="205"/>
      <c r="L566" s="205"/>
      <c r="M566" s="205"/>
    </row>
    <row r="567" spans="1:27" s="42" customFormat="1" ht="15.75" customHeight="1">
      <c r="A567" s="42" t="s">
        <v>1499</v>
      </c>
      <c r="B567" s="206" t="s">
        <v>1500</v>
      </c>
      <c r="C567" s="39">
        <v>43979</v>
      </c>
      <c r="D567" s="40">
        <v>44178</v>
      </c>
      <c r="E567" s="41">
        <f>D567-C567</f>
        <v>199</v>
      </c>
      <c r="F567" s="208" t="s">
        <v>1093</v>
      </c>
      <c r="G567" s="207"/>
      <c r="H567" s="207"/>
      <c r="I567" s="207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</row>
    <row r="568" spans="1:27" s="42" customFormat="1">
      <c r="A568" s="205" t="s">
        <v>1501</v>
      </c>
      <c r="B568" s="206" t="s">
        <v>1502</v>
      </c>
      <c r="C568" s="39">
        <v>43582</v>
      </c>
      <c r="D568" s="39">
        <v>44180</v>
      </c>
      <c r="E568" s="47">
        <f>D568-C568</f>
        <v>598</v>
      </c>
      <c r="F568" s="43" t="s">
        <v>0</v>
      </c>
      <c r="G568" s="207"/>
      <c r="H568" s="207"/>
      <c r="I568" s="207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</row>
    <row r="569" spans="1:27" s="42" customFormat="1" ht="15.75" customHeight="1">
      <c r="A569" s="205" t="s">
        <v>1272</v>
      </c>
      <c r="B569" s="209" t="s">
        <v>1273</v>
      </c>
      <c r="C569" s="39">
        <v>44067</v>
      </c>
      <c r="D569" s="40">
        <v>44183</v>
      </c>
      <c r="E569" s="47">
        <f>D569-C569</f>
        <v>116</v>
      </c>
      <c r="F569" s="43" t="s">
        <v>0</v>
      </c>
      <c r="G569" s="45" t="s">
        <v>995</v>
      </c>
      <c r="H569" s="207"/>
      <c r="I569" s="207"/>
      <c r="J569" s="205"/>
      <c r="K569" s="53" t="s">
        <v>1274</v>
      </c>
    </row>
    <row r="570" spans="1:27" s="42" customFormat="1" ht="15.75" customHeight="1">
      <c r="A570" s="205" t="s">
        <v>1013</v>
      </c>
      <c r="B570" s="206" t="s">
        <v>1014</v>
      </c>
      <c r="C570" s="39">
        <v>44032</v>
      </c>
      <c r="D570" s="40">
        <v>44185</v>
      </c>
      <c r="E570" s="41">
        <f>D570-C570</f>
        <v>153</v>
      </c>
      <c r="F570" s="43" t="s">
        <v>0</v>
      </c>
      <c r="G570" s="207"/>
      <c r="H570" s="207"/>
      <c r="I570" s="45" t="s">
        <v>1450</v>
      </c>
      <c r="L570" s="42" t="s">
        <v>1503</v>
      </c>
    </row>
    <row r="571" spans="1:27" s="42" customFormat="1" ht="15.75" customHeight="1">
      <c r="A571" s="205" t="s">
        <v>1504</v>
      </c>
      <c r="B571" s="206" t="s">
        <v>1505</v>
      </c>
      <c r="C571" s="39">
        <v>44116</v>
      </c>
      <c r="D571" s="40">
        <v>44192</v>
      </c>
      <c r="E571" s="41">
        <f>D571-C571</f>
        <v>76</v>
      </c>
      <c r="F571" s="43" t="s">
        <v>0</v>
      </c>
      <c r="G571" s="207"/>
      <c r="H571" s="207"/>
      <c r="I571" s="207"/>
    </row>
    <row r="572" spans="1:27" s="42" customFormat="1" ht="15.75" customHeight="1">
      <c r="A572" s="42" t="s">
        <v>1498</v>
      </c>
      <c r="B572" s="206" t="s">
        <v>1498</v>
      </c>
      <c r="C572" s="39">
        <v>44184</v>
      </c>
      <c r="D572" s="40">
        <v>44198</v>
      </c>
      <c r="E572" s="41">
        <f>D572-C572</f>
        <v>14</v>
      </c>
      <c r="F572" s="43" t="s">
        <v>0</v>
      </c>
      <c r="G572" s="45" t="s">
        <v>230</v>
      </c>
      <c r="H572" s="207"/>
      <c r="I572" s="207"/>
      <c r="J572" s="205"/>
      <c r="K572" s="205"/>
      <c r="L572" s="205"/>
      <c r="M572" s="205"/>
    </row>
    <row r="573" spans="1:27" s="42" customFormat="1" ht="15.75" customHeight="1">
      <c r="A573" s="205" t="s">
        <v>1506</v>
      </c>
      <c r="B573" s="206" t="s">
        <v>1507</v>
      </c>
      <c r="C573" s="39">
        <v>43850</v>
      </c>
      <c r="D573" s="40">
        <v>44198</v>
      </c>
      <c r="E573" s="41">
        <f>D573-C573</f>
        <v>348</v>
      </c>
      <c r="F573" s="43" t="s">
        <v>0</v>
      </c>
      <c r="G573" s="45" t="s">
        <v>70</v>
      </c>
      <c r="H573" s="207"/>
      <c r="I573" s="207"/>
      <c r="K573" s="53" t="s">
        <v>1508</v>
      </c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</row>
    <row r="574" spans="1:27" s="42" customFormat="1" ht="15.75" customHeight="1">
      <c r="A574" s="205" t="s">
        <v>1509</v>
      </c>
      <c r="B574" s="206" t="s">
        <v>1510</v>
      </c>
      <c r="C574" s="39">
        <v>44025</v>
      </c>
      <c r="D574" s="40">
        <v>44199</v>
      </c>
      <c r="E574" s="41">
        <f>D574-C574</f>
        <v>174</v>
      </c>
      <c r="F574" s="43" t="s">
        <v>1413</v>
      </c>
      <c r="G574" s="45" t="s">
        <v>33</v>
      </c>
      <c r="H574" s="207"/>
      <c r="I574" s="45" t="s">
        <v>90</v>
      </c>
    </row>
    <row r="575" spans="1:27" s="42" customFormat="1" ht="15.75" customHeight="1">
      <c r="A575" s="205" t="s">
        <v>1511</v>
      </c>
      <c r="B575" s="206" t="s">
        <v>1512</v>
      </c>
      <c r="C575" s="39">
        <v>44121</v>
      </c>
      <c r="D575" s="40">
        <v>44205</v>
      </c>
      <c r="E575" s="41">
        <f>D575-C575</f>
        <v>84</v>
      </c>
      <c r="F575" s="43" t="s">
        <v>0</v>
      </c>
      <c r="G575" s="207"/>
      <c r="H575" s="207"/>
      <c r="I575" s="207"/>
      <c r="K575" s="220" t="s">
        <v>1513</v>
      </c>
    </row>
    <row r="576" spans="1:27" s="42" customFormat="1" ht="15.75" customHeight="1">
      <c r="A576" s="42" t="s">
        <v>1514</v>
      </c>
      <c r="B576" s="206" t="s">
        <v>1515</v>
      </c>
      <c r="C576" s="39">
        <v>44023</v>
      </c>
      <c r="D576" s="40">
        <v>44206</v>
      </c>
      <c r="E576" s="41">
        <f>D576-C576</f>
        <v>183</v>
      </c>
      <c r="F576" s="45" t="s">
        <v>1343</v>
      </c>
      <c r="G576" s="207"/>
      <c r="H576" s="207"/>
      <c r="I576" s="207"/>
    </row>
    <row r="577" spans="1:27" s="42" customFormat="1" ht="15.75" customHeight="1">
      <c r="A577" s="42" t="s">
        <v>1108</v>
      </c>
      <c r="B577" s="206" t="s">
        <v>1109</v>
      </c>
      <c r="C577" s="39">
        <v>44091</v>
      </c>
      <c r="D577" s="40">
        <v>44214</v>
      </c>
      <c r="E577" s="41">
        <f>D577-C577</f>
        <v>123</v>
      </c>
      <c r="F577" s="43" t="s">
        <v>0</v>
      </c>
      <c r="G577" s="207"/>
      <c r="H577" s="207"/>
      <c r="I577" s="207"/>
      <c r="J577" s="205"/>
      <c r="K577" s="220" t="s">
        <v>1516</v>
      </c>
      <c r="L577" s="42" t="s">
        <v>1517</v>
      </c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</row>
    <row r="578" spans="1:27" s="42" customFormat="1" ht="15.75" customHeight="1">
      <c r="A578" s="42" t="s">
        <v>1518</v>
      </c>
      <c r="B578" s="206" t="s">
        <v>1518</v>
      </c>
      <c r="C578" s="39">
        <v>44200</v>
      </c>
      <c r="D578" s="40">
        <v>44217</v>
      </c>
      <c r="E578" s="41">
        <f>D578-C578</f>
        <v>17</v>
      </c>
      <c r="F578" s="45" t="s">
        <v>1117</v>
      </c>
      <c r="I578" s="207"/>
    </row>
    <row r="579" spans="1:27" s="42" customFormat="1" ht="15.75" customHeight="1">
      <c r="A579" s="42" t="s">
        <v>1519</v>
      </c>
      <c r="B579" s="206" t="s">
        <v>1520</v>
      </c>
      <c r="C579" s="39">
        <v>44198</v>
      </c>
      <c r="D579" s="40">
        <v>44218</v>
      </c>
      <c r="E579" s="41">
        <f>D579-C579</f>
        <v>20</v>
      </c>
      <c r="F579" s="43" t="s">
        <v>0</v>
      </c>
      <c r="G579" s="207"/>
      <c r="H579" s="207"/>
      <c r="I579" s="207"/>
    </row>
    <row r="580" spans="1:27" s="42" customFormat="1" ht="15.75" customHeight="1">
      <c r="A580" s="42" t="s">
        <v>1521</v>
      </c>
      <c r="B580" s="206" t="s">
        <v>1522</v>
      </c>
      <c r="C580" s="39">
        <v>44219</v>
      </c>
      <c r="D580" s="40">
        <v>44219</v>
      </c>
      <c r="E580" s="41">
        <f>D580-C580</f>
        <v>0</v>
      </c>
      <c r="F580" s="43" t="s">
        <v>0</v>
      </c>
      <c r="G580" s="207"/>
      <c r="H580" s="207"/>
      <c r="I580" s="45" t="s">
        <v>3</v>
      </c>
    </row>
    <row r="581" spans="1:27" s="42" customFormat="1" ht="15.75" customHeight="1">
      <c r="A581" s="205" t="s">
        <v>1295</v>
      </c>
      <c r="B581" s="206" t="s">
        <v>1296</v>
      </c>
      <c r="C581" s="39">
        <v>44213</v>
      </c>
      <c r="D581" s="40">
        <v>44219</v>
      </c>
      <c r="E581" s="41">
        <f>D581-C581</f>
        <v>6</v>
      </c>
      <c r="F581" s="43" t="s">
        <v>0</v>
      </c>
      <c r="G581" s="207"/>
      <c r="H581" s="207"/>
      <c r="I581" s="207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</row>
    <row r="582" spans="1:27" s="42" customFormat="1" ht="15.75" customHeight="1">
      <c r="A582" s="205" t="s">
        <v>1523</v>
      </c>
      <c r="B582" s="206" t="s">
        <v>1524</v>
      </c>
      <c r="C582" s="39">
        <v>44024</v>
      </c>
      <c r="D582" s="40">
        <v>44219</v>
      </c>
      <c r="E582" s="41">
        <f>D582-C582</f>
        <v>195</v>
      </c>
      <c r="F582" s="43" t="s">
        <v>1413</v>
      </c>
      <c r="G582" s="45" t="s">
        <v>33</v>
      </c>
      <c r="H582" s="207"/>
      <c r="I582" s="207"/>
    </row>
    <row r="583" spans="1:27" s="42" customFormat="1" ht="15.75" customHeight="1">
      <c r="A583" s="57" t="s">
        <v>1141</v>
      </c>
      <c r="B583" s="206" t="s">
        <v>884</v>
      </c>
      <c r="C583" s="39">
        <v>43952</v>
      </c>
      <c r="D583" s="39">
        <v>44221</v>
      </c>
      <c r="E583" s="47">
        <f>D583-C583</f>
        <v>269</v>
      </c>
      <c r="F583" s="45" t="s">
        <v>998</v>
      </c>
      <c r="G583" s="45" t="s">
        <v>1</v>
      </c>
      <c r="H583" s="207"/>
      <c r="I583" s="207"/>
      <c r="J583" s="205"/>
      <c r="K583" s="53" t="s">
        <v>1142</v>
      </c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</row>
    <row r="584" spans="1:27" s="42" customFormat="1" ht="15.75" customHeight="1">
      <c r="A584" s="205" t="s">
        <v>1525</v>
      </c>
      <c r="B584" s="206" t="s">
        <v>1526</v>
      </c>
      <c r="C584" s="39">
        <v>44219</v>
      </c>
      <c r="D584" s="40">
        <v>44222</v>
      </c>
      <c r="E584" s="41">
        <f>D584-C584</f>
        <v>3</v>
      </c>
      <c r="F584" s="43" t="s">
        <v>1527</v>
      </c>
      <c r="G584" s="45" t="s">
        <v>1528</v>
      </c>
      <c r="H584" s="207"/>
      <c r="I584" s="45" t="s">
        <v>21</v>
      </c>
      <c r="J584" s="205"/>
      <c r="K584" s="205"/>
      <c r="L584" s="205"/>
      <c r="M584" s="205"/>
    </row>
    <row r="585" spans="1:27" s="205" customFormat="1" ht="15.75" customHeight="1">
      <c r="A585" s="42" t="s">
        <v>668</v>
      </c>
      <c r="B585" s="206" t="s">
        <v>669</v>
      </c>
      <c r="C585" s="39">
        <v>44218</v>
      </c>
      <c r="D585" s="40">
        <v>44222</v>
      </c>
      <c r="E585" s="41">
        <f>D585-C585</f>
        <v>4</v>
      </c>
      <c r="F585" s="43" t="s">
        <v>0</v>
      </c>
      <c r="G585" s="45" t="s">
        <v>33</v>
      </c>
      <c r="H585" s="207"/>
      <c r="I585" s="207"/>
      <c r="J585" s="42"/>
      <c r="K585" s="42"/>
      <c r="L585" s="42"/>
      <c r="M585" s="42"/>
    </row>
    <row r="586" spans="1:27" s="205" customFormat="1" ht="15.75" customHeight="1">
      <c r="A586" s="42" t="s">
        <v>1054</v>
      </c>
      <c r="B586" s="206" t="s">
        <v>1055</v>
      </c>
      <c r="C586" s="39">
        <v>44173</v>
      </c>
      <c r="D586" s="40">
        <v>44233</v>
      </c>
      <c r="E586" s="41">
        <f>D586-C586</f>
        <v>60</v>
      </c>
      <c r="F586" s="43" t="s">
        <v>0</v>
      </c>
      <c r="G586" s="45" t="s">
        <v>1</v>
      </c>
      <c r="H586" s="207"/>
      <c r="I586" s="207"/>
      <c r="K586" s="220" t="s">
        <v>1529</v>
      </c>
    </row>
    <row r="587" spans="1:27" s="205" customFormat="1" ht="15.75" customHeight="1">
      <c r="A587" s="42" t="s">
        <v>1530</v>
      </c>
      <c r="B587" s="206" t="s">
        <v>1531</v>
      </c>
      <c r="C587" s="39">
        <v>43848</v>
      </c>
      <c r="D587" s="40">
        <v>44234</v>
      </c>
      <c r="E587" s="41">
        <f>D587-C587</f>
        <v>386</v>
      </c>
      <c r="F587" s="43" t="s">
        <v>1350</v>
      </c>
      <c r="G587" s="207"/>
      <c r="H587" s="207"/>
      <c r="I587" s="207"/>
      <c r="K587" s="220" t="s">
        <v>1532</v>
      </c>
    </row>
    <row r="588" spans="1:27" s="205" customFormat="1" ht="15.75" customHeight="1">
      <c r="A588" s="205" t="s">
        <v>1533</v>
      </c>
      <c r="B588" s="206" t="s">
        <v>1534</v>
      </c>
      <c r="C588" s="39">
        <v>44167</v>
      </c>
      <c r="D588" s="40">
        <v>44237</v>
      </c>
      <c r="E588" s="41">
        <f>D588-C588</f>
        <v>70</v>
      </c>
      <c r="F588" s="43" t="s">
        <v>0</v>
      </c>
      <c r="G588" s="78" t="s">
        <v>43</v>
      </c>
      <c r="H588" s="78"/>
      <c r="I588" s="207"/>
      <c r="K588" s="220" t="s">
        <v>1535</v>
      </c>
    </row>
    <row r="589" spans="1:27" s="205" customFormat="1" ht="15.75" customHeight="1">
      <c r="A589" s="42" t="s">
        <v>1411</v>
      </c>
      <c r="B589" s="206" t="s">
        <v>1412</v>
      </c>
      <c r="C589" s="39">
        <v>44200</v>
      </c>
      <c r="D589" s="40">
        <v>44240</v>
      </c>
      <c r="E589" s="41">
        <f>D589-C589</f>
        <v>40</v>
      </c>
      <c r="F589" s="43" t="s">
        <v>0</v>
      </c>
      <c r="G589" s="45" t="s">
        <v>26</v>
      </c>
      <c r="H589" s="207"/>
      <c r="I589" s="207"/>
    </row>
    <row r="590" spans="1:27" s="205" customFormat="1" ht="15.75" customHeight="1">
      <c r="A590" s="205" t="s">
        <v>988</v>
      </c>
      <c r="B590" s="206" t="s">
        <v>1085</v>
      </c>
      <c r="C590" s="39">
        <v>44062</v>
      </c>
      <c r="D590" s="40">
        <v>44240</v>
      </c>
      <c r="E590" s="41">
        <f>D590-C590</f>
        <v>178</v>
      </c>
      <c r="F590" s="43" t="s">
        <v>0</v>
      </c>
      <c r="G590" s="45" t="s">
        <v>995</v>
      </c>
      <c r="H590" s="207"/>
      <c r="I590" s="207"/>
      <c r="K590" s="220" t="s">
        <v>1086</v>
      </c>
    </row>
    <row r="591" spans="1:27" s="205" customFormat="1" ht="15.75" customHeight="1">
      <c r="A591" s="205" t="s">
        <v>1536</v>
      </c>
      <c r="B591" s="219" t="s">
        <v>1537</v>
      </c>
      <c r="C591" s="39">
        <v>44195</v>
      </c>
      <c r="D591" s="40">
        <v>44241</v>
      </c>
      <c r="E591" s="41">
        <f>D591-C591</f>
        <v>46</v>
      </c>
      <c r="F591" s="43" t="s">
        <v>0</v>
      </c>
      <c r="G591" s="207"/>
      <c r="H591" s="207"/>
      <c r="I591" s="207"/>
      <c r="K591" s="220" t="s">
        <v>1538</v>
      </c>
    </row>
    <row r="592" spans="1:27" s="205" customFormat="1" ht="15.75" customHeight="1">
      <c r="A592" s="205" t="s">
        <v>1362</v>
      </c>
      <c r="B592" s="206" t="s">
        <v>1363</v>
      </c>
      <c r="C592" s="39">
        <v>44205</v>
      </c>
      <c r="D592" s="40">
        <v>44242</v>
      </c>
      <c r="E592" s="41">
        <f>D592-C592</f>
        <v>37</v>
      </c>
      <c r="F592" s="43" t="s">
        <v>0</v>
      </c>
      <c r="G592" s="207"/>
      <c r="H592" s="207"/>
      <c r="I592" s="207"/>
    </row>
    <row r="593" spans="1:13" s="205" customFormat="1" ht="15.75" customHeight="1">
      <c r="A593" s="57" t="s">
        <v>1141</v>
      </c>
      <c r="B593" s="206" t="s">
        <v>884</v>
      </c>
      <c r="C593" s="39">
        <v>44222</v>
      </c>
      <c r="D593" s="39">
        <v>44246</v>
      </c>
      <c r="E593" s="47">
        <f>D593-C593</f>
        <v>24</v>
      </c>
      <c r="F593" s="45" t="s">
        <v>998</v>
      </c>
      <c r="G593" s="45" t="s">
        <v>1</v>
      </c>
      <c r="H593" s="207"/>
      <c r="I593" s="207"/>
      <c r="K593" s="53" t="s">
        <v>1142</v>
      </c>
    </row>
    <row r="594" spans="1:13" s="205" customFormat="1" ht="15.75" customHeight="1">
      <c r="A594" s="205" t="s">
        <v>1539</v>
      </c>
      <c r="B594" s="206" t="s">
        <v>1540</v>
      </c>
      <c r="C594" s="39">
        <v>44010</v>
      </c>
      <c r="D594" s="39">
        <v>44246</v>
      </c>
      <c r="E594" s="41">
        <f>D594-C594</f>
        <v>236</v>
      </c>
      <c r="F594" s="43" t="s">
        <v>0</v>
      </c>
      <c r="G594" s="45" t="s">
        <v>26</v>
      </c>
      <c r="H594" s="207"/>
      <c r="I594" s="45" t="s">
        <v>3</v>
      </c>
    </row>
    <row r="595" spans="1:13" s="87" customFormat="1" ht="15.75" customHeight="1">
      <c r="A595" s="87" t="s">
        <v>1527</v>
      </c>
      <c r="B595" s="206" t="s">
        <v>1541</v>
      </c>
      <c r="C595" s="79">
        <v>44219</v>
      </c>
      <c r="D595" s="80">
        <v>44247</v>
      </c>
      <c r="E595" s="41">
        <f>D595-C595</f>
        <v>28</v>
      </c>
      <c r="F595" s="83" t="s">
        <v>1542</v>
      </c>
      <c r="G595" s="81" t="s">
        <v>1</v>
      </c>
      <c r="H595" s="207"/>
      <c r="I595" s="81" t="s">
        <v>21</v>
      </c>
    </row>
    <row r="596" spans="1:13" s="87" customFormat="1" ht="15.75" customHeight="1">
      <c r="A596" s="205" t="s">
        <v>1543</v>
      </c>
      <c r="B596" s="206" t="s">
        <v>1544</v>
      </c>
      <c r="C596" s="79">
        <v>44030</v>
      </c>
      <c r="D596" s="80">
        <v>44247</v>
      </c>
      <c r="E596" s="41">
        <f>D596-C596</f>
        <v>217</v>
      </c>
      <c r="F596" s="207" t="s">
        <v>1539</v>
      </c>
      <c r="G596" s="81" t="s">
        <v>70</v>
      </c>
      <c r="H596" s="207"/>
      <c r="I596" s="81" t="s">
        <v>3</v>
      </c>
      <c r="L596" s="205" t="s">
        <v>1545</v>
      </c>
    </row>
    <row r="597" spans="1:13" s="205" customFormat="1" ht="15.75" customHeight="1">
      <c r="A597" s="205" t="s">
        <v>1211</v>
      </c>
      <c r="B597" s="206" t="s">
        <v>1546</v>
      </c>
      <c r="C597" s="39">
        <v>43865</v>
      </c>
      <c r="D597" s="40">
        <v>44248</v>
      </c>
      <c r="E597" s="41">
        <f>D597-C597</f>
        <v>383</v>
      </c>
      <c r="F597" s="208" t="s">
        <v>1093</v>
      </c>
      <c r="G597" s="207"/>
      <c r="H597" s="207"/>
      <c r="I597" s="207"/>
      <c r="K597" s="53" t="s">
        <v>1547</v>
      </c>
      <c r="L597" s="42" t="s">
        <v>1548</v>
      </c>
    </row>
    <row r="598" spans="1:13" s="205" customFormat="1" ht="15.75" customHeight="1">
      <c r="A598" s="205" t="s">
        <v>1549</v>
      </c>
      <c r="B598" s="206" t="s">
        <v>1550</v>
      </c>
      <c r="C598" s="39">
        <v>44095</v>
      </c>
      <c r="D598" s="40">
        <v>44251</v>
      </c>
      <c r="E598" s="41">
        <f>D598-C598</f>
        <v>156</v>
      </c>
      <c r="F598" s="43" t="s">
        <v>1530</v>
      </c>
      <c r="G598" s="207"/>
      <c r="H598" s="207"/>
      <c r="I598" s="207"/>
    </row>
    <row r="599" spans="1:13" s="205" customFormat="1" ht="15.75" customHeight="1">
      <c r="A599" s="42" t="s">
        <v>1551</v>
      </c>
      <c r="B599" s="206" t="s">
        <v>1552</v>
      </c>
      <c r="C599" s="39">
        <v>44241</v>
      </c>
      <c r="D599" s="40">
        <v>44257</v>
      </c>
      <c r="E599" s="41">
        <f>D599-C599</f>
        <v>16</v>
      </c>
      <c r="F599" s="43" t="s">
        <v>0</v>
      </c>
      <c r="G599" s="207"/>
      <c r="H599" s="207"/>
      <c r="I599" s="207"/>
    </row>
    <row r="600" spans="1:13" s="205" customFormat="1" ht="15.75" customHeight="1">
      <c r="A600" s="205" t="s">
        <v>1553</v>
      </c>
      <c r="B600" s="206" t="s">
        <v>1554</v>
      </c>
      <c r="C600" s="39">
        <v>44244</v>
      </c>
      <c r="D600" s="40">
        <v>44262</v>
      </c>
      <c r="E600" s="41">
        <f>D600-C600</f>
        <v>18</v>
      </c>
      <c r="F600" s="43" t="s">
        <v>0</v>
      </c>
      <c r="G600" s="207"/>
      <c r="H600" s="207"/>
      <c r="I600" s="207"/>
    </row>
    <row r="601" spans="1:13" s="205" customFormat="1" ht="15.75" customHeight="1">
      <c r="A601" s="42" t="s">
        <v>1555</v>
      </c>
      <c r="B601" s="206" t="s">
        <v>1556</v>
      </c>
      <c r="C601" s="39">
        <v>44149</v>
      </c>
      <c r="D601" s="40">
        <v>44262</v>
      </c>
      <c r="E601" s="41">
        <f>D601-C601</f>
        <v>113</v>
      </c>
      <c r="F601" s="43" t="s">
        <v>0</v>
      </c>
      <c r="G601" s="45" t="s">
        <v>1</v>
      </c>
      <c r="H601" s="207"/>
      <c r="I601" s="207"/>
      <c r="K601" s="220" t="s">
        <v>1557</v>
      </c>
    </row>
    <row r="602" spans="1:13" s="205" customFormat="1" ht="15.75" customHeight="1">
      <c r="A602" s="205" t="s">
        <v>1558</v>
      </c>
      <c r="B602" s="209" t="s">
        <v>1559</v>
      </c>
      <c r="C602" s="39">
        <v>44005</v>
      </c>
      <c r="D602" s="40">
        <v>44262</v>
      </c>
      <c r="E602" s="41">
        <f>D602-C602</f>
        <v>257</v>
      </c>
      <c r="F602" s="43" t="s">
        <v>0</v>
      </c>
      <c r="G602" s="207"/>
      <c r="H602" s="207"/>
      <c r="I602" s="207"/>
      <c r="L602" s="52" t="s">
        <v>1560</v>
      </c>
    </row>
    <row r="603" spans="1:13" s="205" customFormat="1" ht="15.75" customHeight="1">
      <c r="A603" s="42" t="s">
        <v>1561</v>
      </c>
      <c r="B603" s="206" t="s">
        <v>1562</v>
      </c>
      <c r="C603" s="39">
        <v>44244</v>
      </c>
      <c r="D603" s="40">
        <v>44268</v>
      </c>
      <c r="E603" s="41">
        <f>D603-C603</f>
        <v>24</v>
      </c>
      <c r="F603" s="208" t="s">
        <v>1322</v>
      </c>
      <c r="G603" s="45" t="s">
        <v>26</v>
      </c>
      <c r="H603" s="207"/>
      <c r="I603" s="207"/>
    </row>
    <row r="604" spans="1:13" s="205" customFormat="1" ht="15.75" customHeight="1">
      <c r="A604" s="42" t="s">
        <v>1563</v>
      </c>
      <c r="B604" s="206" t="s">
        <v>1563</v>
      </c>
      <c r="C604" s="39">
        <v>44170</v>
      </c>
      <c r="D604" s="40">
        <v>44268</v>
      </c>
      <c r="E604" s="41">
        <f>D604-C604</f>
        <v>98</v>
      </c>
      <c r="F604" s="45" t="s">
        <v>263</v>
      </c>
      <c r="G604" s="207"/>
      <c r="H604" s="207"/>
      <c r="I604" s="207"/>
    </row>
    <row r="605" spans="1:13" s="205" customFormat="1" ht="15.75" customHeight="1">
      <c r="A605" s="42" t="s">
        <v>1564</v>
      </c>
      <c r="B605" s="206" t="s">
        <v>161</v>
      </c>
      <c r="C605" s="39">
        <v>43930</v>
      </c>
      <c r="D605" s="40">
        <v>44268</v>
      </c>
      <c r="E605" s="41">
        <f>D605-C605</f>
        <v>338</v>
      </c>
      <c r="F605" s="43" t="s">
        <v>0</v>
      </c>
      <c r="G605" s="45" t="s">
        <v>1</v>
      </c>
      <c r="H605" s="207"/>
      <c r="I605" s="207"/>
      <c r="K605" s="53" t="s">
        <v>1565</v>
      </c>
    </row>
    <row r="606" spans="1:13" s="87" customFormat="1" ht="15.75" customHeight="1">
      <c r="A606" s="42" t="s">
        <v>1566</v>
      </c>
      <c r="B606" s="219" t="s">
        <v>1567</v>
      </c>
      <c r="C606" s="39">
        <v>44269</v>
      </c>
      <c r="D606" s="40">
        <v>44275</v>
      </c>
      <c r="E606" s="41">
        <f>D606-C606</f>
        <v>6</v>
      </c>
      <c r="F606" s="45" t="s">
        <v>263</v>
      </c>
      <c r="G606" s="207"/>
      <c r="H606" s="207"/>
      <c r="I606" s="207"/>
      <c r="J606" s="205"/>
      <c r="K606" s="205"/>
      <c r="L606" s="205"/>
      <c r="M606" s="205"/>
    </row>
    <row r="607" spans="1:13" s="87" customFormat="1" ht="15.75" customHeight="1">
      <c r="A607" s="42" t="s">
        <v>1568</v>
      </c>
      <c r="B607" s="206" t="s">
        <v>1569</v>
      </c>
      <c r="C607" s="39">
        <v>44238</v>
      </c>
      <c r="D607" s="40">
        <v>44275</v>
      </c>
      <c r="E607" s="41">
        <f>D607-C607</f>
        <v>37</v>
      </c>
      <c r="F607" s="207" t="s">
        <v>1570</v>
      </c>
      <c r="G607" s="207"/>
      <c r="H607" s="207"/>
      <c r="I607" s="207"/>
      <c r="J607" s="205"/>
      <c r="K607" s="205"/>
      <c r="L607" s="205"/>
      <c r="M607" s="205"/>
    </row>
    <row r="608" spans="1:13" s="205" customFormat="1" ht="15.75" customHeight="1">
      <c r="A608" s="87" t="s">
        <v>1571</v>
      </c>
      <c r="B608" s="206" t="s">
        <v>1572</v>
      </c>
      <c r="C608" s="79">
        <v>44219</v>
      </c>
      <c r="D608" s="80">
        <v>44275</v>
      </c>
      <c r="E608" s="41">
        <f>D608-C608</f>
        <v>56</v>
      </c>
      <c r="F608" s="43" t="s">
        <v>0</v>
      </c>
      <c r="G608" s="207"/>
      <c r="H608" s="207"/>
      <c r="I608" s="81" t="s">
        <v>90</v>
      </c>
      <c r="J608" s="87"/>
      <c r="K608" s="87"/>
      <c r="L608" s="87"/>
      <c r="M608" s="87"/>
    </row>
    <row r="609" spans="1:13" s="205" customFormat="1" ht="15.75" customHeight="1">
      <c r="A609" s="205" t="s">
        <v>1573</v>
      </c>
      <c r="B609" s="206" t="s">
        <v>1574</v>
      </c>
      <c r="C609" s="79">
        <v>44159</v>
      </c>
      <c r="D609" s="80">
        <v>44275</v>
      </c>
      <c r="E609" s="41">
        <f>D609-C609</f>
        <v>116</v>
      </c>
      <c r="F609" s="43" t="s">
        <v>0</v>
      </c>
      <c r="G609" s="207"/>
      <c r="H609" s="207"/>
      <c r="I609" s="207"/>
      <c r="J609" s="87"/>
      <c r="K609" s="220" t="s">
        <v>1575</v>
      </c>
      <c r="L609" s="87"/>
      <c r="M609" s="87"/>
    </row>
    <row r="610" spans="1:13" s="205" customFormat="1" ht="15.75" customHeight="1">
      <c r="A610" s="42" t="s">
        <v>1576</v>
      </c>
      <c r="B610" s="206" t="s">
        <v>1577</v>
      </c>
      <c r="C610" s="39">
        <v>44269</v>
      </c>
      <c r="D610" s="40">
        <v>44276</v>
      </c>
      <c r="E610" s="41">
        <f>D610-C610</f>
        <v>7</v>
      </c>
      <c r="F610" s="43" t="s">
        <v>0</v>
      </c>
      <c r="G610" s="207"/>
      <c r="H610" s="207"/>
      <c r="I610" s="207"/>
    </row>
    <row r="611" spans="1:13" s="205" customFormat="1" ht="15.75" customHeight="1">
      <c r="A611" s="205" t="s">
        <v>1578</v>
      </c>
      <c r="B611" s="206" t="s">
        <v>1579</v>
      </c>
      <c r="C611" s="39">
        <v>44052</v>
      </c>
      <c r="D611" s="40">
        <v>44277</v>
      </c>
      <c r="E611" s="41">
        <f>D611-C611</f>
        <v>225</v>
      </c>
      <c r="F611" s="43" t="s">
        <v>0</v>
      </c>
      <c r="G611" s="207"/>
      <c r="H611" s="207"/>
      <c r="I611" s="207"/>
      <c r="L611" s="42" t="s">
        <v>1580</v>
      </c>
    </row>
    <row r="612" spans="1:13" s="205" customFormat="1" ht="15.75" customHeight="1">
      <c r="A612" s="42" t="s">
        <v>1581</v>
      </c>
      <c r="B612" s="206" t="s">
        <v>1582</v>
      </c>
      <c r="C612" s="39">
        <v>44218</v>
      </c>
      <c r="D612" s="40">
        <v>44279</v>
      </c>
      <c r="E612" s="41">
        <f>D612-C612</f>
        <v>61</v>
      </c>
      <c r="F612" s="208" t="s">
        <v>1523</v>
      </c>
      <c r="G612" s="45" t="s">
        <v>942</v>
      </c>
      <c r="H612" s="207"/>
      <c r="I612" s="207"/>
    </row>
    <row r="613" spans="1:13" s="205" customFormat="1" ht="15.75" customHeight="1">
      <c r="A613" s="205" t="s">
        <v>1533</v>
      </c>
      <c r="B613" s="206" t="s">
        <v>1534</v>
      </c>
      <c r="C613" s="39">
        <v>44238</v>
      </c>
      <c r="D613" s="40">
        <v>44282</v>
      </c>
      <c r="E613" s="41">
        <f>D613-C613</f>
        <v>44</v>
      </c>
      <c r="F613" s="43" t="s">
        <v>0</v>
      </c>
      <c r="G613" s="78" t="s">
        <v>43</v>
      </c>
      <c r="H613" s="78"/>
      <c r="I613" s="207"/>
      <c r="K613" s="220" t="s">
        <v>1535</v>
      </c>
    </row>
    <row r="614" spans="1:13" s="205" customFormat="1" ht="15.75" customHeight="1">
      <c r="A614" s="205" t="s">
        <v>1583</v>
      </c>
      <c r="B614" s="206" t="s">
        <v>1584</v>
      </c>
      <c r="C614" s="39">
        <v>44156</v>
      </c>
      <c r="D614" s="40">
        <v>44284</v>
      </c>
      <c r="E614" s="41">
        <f>D614-C614</f>
        <v>128</v>
      </c>
      <c r="F614" s="208" t="s">
        <v>174</v>
      </c>
      <c r="G614" s="207"/>
      <c r="H614" s="207"/>
      <c r="I614" s="207"/>
      <c r="K614" s="220" t="s">
        <v>1585</v>
      </c>
    </row>
    <row r="615" spans="1:13" s="205" customFormat="1" ht="15.75" customHeight="1">
      <c r="A615" s="205" t="s">
        <v>1586</v>
      </c>
      <c r="B615" s="206" t="s">
        <v>1587</v>
      </c>
      <c r="C615" s="39">
        <v>44269</v>
      </c>
      <c r="D615" s="39">
        <v>44288</v>
      </c>
      <c r="E615" s="41">
        <f>D615-C615</f>
        <v>19</v>
      </c>
      <c r="F615" s="45" t="s">
        <v>263</v>
      </c>
      <c r="G615" s="207"/>
      <c r="H615" s="207"/>
      <c r="I615" s="207"/>
    </row>
    <row r="616" spans="1:13" s="205" customFormat="1" ht="15.75" customHeight="1">
      <c r="A616" s="42" t="s">
        <v>506</v>
      </c>
      <c r="B616" s="206" t="s">
        <v>507</v>
      </c>
      <c r="C616" s="39">
        <v>43836</v>
      </c>
      <c r="D616" s="39">
        <v>44288</v>
      </c>
      <c r="E616" s="47">
        <f>D616-C616</f>
        <v>452</v>
      </c>
      <c r="F616" s="43" t="s">
        <v>0</v>
      </c>
      <c r="G616" s="45" t="s">
        <v>26</v>
      </c>
      <c r="H616" s="207"/>
      <c r="I616" s="207"/>
      <c r="K616" s="53" t="s">
        <v>1588</v>
      </c>
      <c r="L616" s="210" t="s">
        <v>509</v>
      </c>
    </row>
    <row r="617" spans="1:13" s="205" customFormat="1" ht="15.75" customHeight="1">
      <c r="A617" s="205" t="s">
        <v>167</v>
      </c>
      <c r="B617" s="206" t="s">
        <v>171</v>
      </c>
      <c r="C617" s="39">
        <v>43825</v>
      </c>
      <c r="D617" s="39">
        <v>44288</v>
      </c>
      <c r="E617" s="47">
        <f>D617-C617</f>
        <v>463</v>
      </c>
      <c r="F617" s="43" t="s">
        <v>0</v>
      </c>
      <c r="G617" s="45" t="s">
        <v>1</v>
      </c>
      <c r="H617" s="207"/>
      <c r="I617" s="207"/>
      <c r="K617" s="53" t="s">
        <v>169</v>
      </c>
      <c r="L617" s="42" t="s">
        <v>1589</v>
      </c>
    </row>
    <row r="618" spans="1:13" s="205" customFormat="1" ht="15.75" customHeight="1">
      <c r="A618" s="42" t="s">
        <v>1519</v>
      </c>
      <c r="B618" s="206" t="s">
        <v>1520</v>
      </c>
      <c r="C618" s="39">
        <v>44256</v>
      </c>
      <c r="D618" s="40">
        <v>44289</v>
      </c>
      <c r="E618" s="47">
        <f>D618-C618</f>
        <v>33</v>
      </c>
      <c r="F618" s="43" t="s">
        <v>0</v>
      </c>
      <c r="G618" s="45" t="s">
        <v>805</v>
      </c>
      <c r="H618" s="207"/>
      <c r="I618" s="207"/>
      <c r="K618" s="220" t="s">
        <v>1590</v>
      </c>
    </row>
    <row r="619" spans="1:13" s="205" customFormat="1" ht="15.75" customHeight="1">
      <c r="A619" s="205" t="s">
        <v>1591</v>
      </c>
      <c r="B619" s="206" t="s">
        <v>1592</v>
      </c>
      <c r="C619" s="39">
        <v>44202</v>
      </c>
      <c r="D619" s="40">
        <v>44289</v>
      </c>
      <c r="E619" s="41">
        <f>D619-C619</f>
        <v>87</v>
      </c>
      <c r="F619" s="43" t="s">
        <v>884</v>
      </c>
      <c r="G619" s="45" t="s">
        <v>1</v>
      </c>
      <c r="H619" s="207"/>
      <c r="I619" s="45" t="s">
        <v>90</v>
      </c>
    </row>
    <row r="620" spans="1:13" s="205" customFormat="1" ht="15.75" customHeight="1">
      <c r="A620" s="42" t="s">
        <v>1593</v>
      </c>
      <c r="B620" s="206" t="s">
        <v>1594</v>
      </c>
      <c r="C620" s="39">
        <v>44199</v>
      </c>
      <c r="D620" s="40">
        <v>44290</v>
      </c>
      <c r="E620" s="41">
        <f>D620-C620</f>
        <v>91</v>
      </c>
      <c r="F620" s="43" t="s">
        <v>0</v>
      </c>
      <c r="G620" s="45" t="s">
        <v>225</v>
      </c>
      <c r="H620" s="207"/>
      <c r="I620" s="45" t="s">
        <v>1595</v>
      </c>
    </row>
    <row r="621" spans="1:13" s="205" customFormat="1" ht="15.75" customHeight="1">
      <c r="A621" s="205" t="s">
        <v>1596</v>
      </c>
      <c r="B621" s="206" t="s">
        <v>1597</v>
      </c>
      <c r="C621" s="39">
        <v>44273</v>
      </c>
      <c r="D621" s="40">
        <v>44293</v>
      </c>
      <c r="E621" s="41">
        <f>D621-C621</f>
        <v>20</v>
      </c>
      <c r="F621" s="207" t="s">
        <v>1598</v>
      </c>
      <c r="G621" s="207"/>
      <c r="H621" s="207"/>
      <c r="I621" s="207"/>
    </row>
    <row r="622" spans="1:13" s="205" customFormat="1" ht="15.75" customHeight="1">
      <c r="A622" s="205" t="s">
        <v>1599</v>
      </c>
      <c r="B622" s="206" t="s">
        <v>1600</v>
      </c>
      <c r="C622" s="39">
        <v>44197</v>
      </c>
      <c r="D622" s="40">
        <v>44293</v>
      </c>
      <c r="E622" s="41">
        <f>D622-C622</f>
        <v>96</v>
      </c>
      <c r="F622" s="208" t="s">
        <v>1601</v>
      </c>
      <c r="G622" s="207"/>
      <c r="H622" s="207"/>
      <c r="I622" s="207"/>
    </row>
    <row r="623" spans="1:13" s="205" customFormat="1" ht="15.75" customHeight="1">
      <c r="A623" s="42" t="s">
        <v>1602</v>
      </c>
      <c r="B623" s="206" t="s">
        <v>1603</v>
      </c>
      <c r="C623" s="39">
        <v>44191</v>
      </c>
      <c r="D623" s="40">
        <v>44293</v>
      </c>
      <c r="E623" s="41">
        <f>D623-C623</f>
        <v>102</v>
      </c>
      <c r="F623" s="43" t="s">
        <v>0</v>
      </c>
      <c r="G623" s="207"/>
      <c r="H623" s="207"/>
      <c r="I623" s="207"/>
      <c r="K623" s="220" t="s">
        <v>1604</v>
      </c>
    </row>
    <row r="624" spans="1:13" s="205" customFormat="1" ht="15.75" customHeight="1">
      <c r="A624" s="42" t="s">
        <v>1605</v>
      </c>
      <c r="B624" s="206" t="s">
        <v>1605</v>
      </c>
      <c r="C624" s="39">
        <v>44214</v>
      </c>
      <c r="D624" s="40">
        <v>44296</v>
      </c>
      <c r="E624" s="41">
        <f>D624-C624</f>
        <v>82</v>
      </c>
      <c r="F624" s="43" t="s">
        <v>0</v>
      </c>
      <c r="G624" s="45" t="s">
        <v>942</v>
      </c>
      <c r="H624" s="207"/>
      <c r="I624" s="207"/>
      <c r="K624" s="220" t="s">
        <v>1606</v>
      </c>
    </row>
    <row r="625" spans="1:12" s="205" customFormat="1" ht="15.75" customHeight="1">
      <c r="A625" s="205" t="s">
        <v>1607</v>
      </c>
      <c r="B625" s="206" t="s">
        <v>1608</v>
      </c>
      <c r="C625" s="39">
        <v>44091</v>
      </c>
      <c r="D625" s="40">
        <v>44296</v>
      </c>
      <c r="E625" s="41">
        <f>D625-C625</f>
        <v>205</v>
      </c>
      <c r="F625" s="208" t="s">
        <v>1523</v>
      </c>
      <c r="G625" s="45" t="s">
        <v>1</v>
      </c>
      <c r="H625" s="207"/>
      <c r="I625" s="207"/>
      <c r="L625" s="42" t="s">
        <v>1609</v>
      </c>
    </row>
    <row r="626" spans="1:12" s="205" customFormat="1" ht="15.75" customHeight="1">
      <c r="A626" s="205" t="s">
        <v>1420</v>
      </c>
      <c r="B626" s="206" t="s">
        <v>1421</v>
      </c>
      <c r="C626" s="39">
        <v>44196</v>
      </c>
      <c r="D626" s="40">
        <v>44299</v>
      </c>
      <c r="E626" s="41">
        <f>D626-C626</f>
        <v>103</v>
      </c>
      <c r="F626" s="43" t="s">
        <v>0</v>
      </c>
      <c r="G626" s="45" t="s">
        <v>312</v>
      </c>
      <c r="H626" s="207"/>
      <c r="I626" s="207"/>
      <c r="K626" s="53" t="s">
        <v>1422</v>
      </c>
    </row>
    <row r="627" spans="1:12" s="205" customFormat="1" ht="15.75" customHeight="1">
      <c r="A627" s="42" t="s">
        <v>1610</v>
      </c>
      <c r="B627" s="206" t="s">
        <v>1611</v>
      </c>
      <c r="C627" s="39">
        <v>43878</v>
      </c>
      <c r="D627" s="40">
        <v>44301</v>
      </c>
      <c r="E627" s="41">
        <f>D627-C627</f>
        <v>423</v>
      </c>
      <c r="F627" s="43" t="s">
        <v>0</v>
      </c>
      <c r="G627" s="45" t="s">
        <v>1612</v>
      </c>
      <c r="H627" s="207"/>
      <c r="I627" s="207"/>
      <c r="K627" s="53" t="s">
        <v>1613</v>
      </c>
      <c r="L627" s="42" t="s">
        <v>1614</v>
      </c>
    </row>
    <row r="628" spans="1:12" s="87" customFormat="1" ht="15.75" customHeight="1">
      <c r="A628" s="42" t="s">
        <v>1399</v>
      </c>
      <c r="B628" s="206" t="s">
        <v>1400</v>
      </c>
      <c r="C628" s="39">
        <v>44234</v>
      </c>
      <c r="D628" s="40">
        <v>44303</v>
      </c>
      <c r="E628" s="41">
        <f>D628-C628</f>
        <v>69</v>
      </c>
      <c r="F628" s="43" t="s">
        <v>0</v>
      </c>
      <c r="G628" s="45" t="s">
        <v>1</v>
      </c>
      <c r="H628" s="207"/>
      <c r="I628" s="207"/>
      <c r="K628" s="220" t="s">
        <v>1615</v>
      </c>
    </row>
    <row r="629" spans="1:12" s="205" customFormat="1" ht="15.75" customHeight="1">
      <c r="A629" s="205" t="s">
        <v>1616</v>
      </c>
      <c r="B629" s="206" t="s">
        <v>1617</v>
      </c>
      <c r="C629" s="39">
        <v>44095</v>
      </c>
      <c r="D629" s="40">
        <v>44310</v>
      </c>
      <c r="E629" s="41">
        <f>D629-C629</f>
        <v>215</v>
      </c>
      <c r="F629" s="208" t="s">
        <v>174</v>
      </c>
      <c r="G629" s="45" t="s">
        <v>225</v>
      </c>
      <c r="H629" s="207"/>
      <c r="I629" s="45" t="s">
        <v>3</v>
      </c>
    </row>
    <row r="630" spans="1:12" s="205" customFormat="1" ht="15.75" customHeight="1">
      <c r="A630" s="42" t="s">
        <v>1618</v>
      </c>
      <c r="B630" s="206" t="s">
        <v>1619</v>
      </c>
      <c r="C630" s="39">
        <v>44298</v>
      </c>
      <c r="D630" s="40">
        <v>44315</v>
      </c>
      <c r="E630" s="41">
        <f>D630-C630</f>
        <v>17</v>
      </c>
      <c r="F630" s="43" t="s">
        <v>0</v>
      </c>
      <c r="G630" s="207"/>
      <c r="H630" s="207"/>
      <c r="I630" s="207"/>
    </row>
    <row r="631" spans="1:12" s="205" customFormat="1" ht="15.75" customHeight="1">
      <c r="A631" s="42" t="s">
        <v>1620</v>
      </c>
      <c r="B631" s="206" t="s">
        <v>1621</v>
      </c>
      <c r="C631" s="39">
        <v>44205</v>
      </c>
      <c r="D631" s="40">
        <v>44315</v>
      </c>
      <c r="E631" s="41">
        <f>D631-C631</f>
        <v>110</v>
      </c>
      <c r="F631" s="43" t="s">
        <v>0</v>
      </c>
      <c r="G631" s="45" t="s">
        <v>487</v>
      </c>
      <c r="H631" s="207"/>
      <c r="I631" s="207"/>
    </row>
    <row r="632" spans="1:12" s="205" customFormat="1" ht="15.75" customHeight="1">
      <c r="A632" s="42" t="s">
        <v>1622</v>
      </c>
      <c r="B632" s="206" t="s">
        <v>1622</v>
      </c>
      <c r="C632" s="39">
        <v>43913</v>
      </c>
      <c r="D632" s="40">
        <v>44315</v>
      </c>
      <c r="E632" s="41">
        <f>D632-C632</f>
        <v>402</v>
      </c>
      <c r="F632" s="43" t="s">
        <v>0</v>
      </c>
      <c r="G632" s="207"/>
      <c r="H632" s="207"/>
      <c r="I632" s="207"/>
      <c r="K632" s="53" t="s">
        <v>1623</v>
      </c>
    </row>
    <row r="633" spans="1:12" s="205" customFormat="1" ht="15.75" customHeight="1">
      <c r="A633" s="65" t="s">
        <v>1624</v>
      </c>
      <c r="B633" s="206" t="s">
        <v>1625</v>
      </c>
      <c r="C633" s="39">
        <v>44318</v>
      </c>
      <c r="D633" s="40">
        <v>44320</v>
      </c>
      <c r="E633" s="41">
        <f>D633-C633</f>
        <v>2</v>
      </c>
      <c r="F633" s="43" t="s">
        <v>0</v>
      </c>
      <c r="G633" s="207"/>
      <c r="H633" s="207"/>
      <c r="I633" s="207"/>
    </row>
    <row r="634" spans="1:12" s="205" customFormat="1" ht="15.75" customHeight="1">
      <c r="A634" s="205" t="s">
        <v>1626</v>
      </c>
      <c r="B634" s="206" t="s">
        <v>1627</v>
      </c>
      <c r="C634" s="39">
        <v>43926</v>
      </c>
      <c r="D634" s="40">
        <v>44323</v>
      </c>
      <c r="E634" s="41">
        <f>D634-C634</f>
        <v>397</v>
      </c>
      <c r="F634" s="208" t="s">
        <v>1628</v>
      </c>
      <c r="G634" s="207"/>
      <c r="H634" s="207"/>
      <c r="I634" s="45" t="s">
        <v>1450</v>
      </c>
      <c r="K634" s="53" t="s">
        <v>1629</v>
      </c>
      <c r="L634" s="42" t="s">
        <v>1630</v>
      </c>
    </row>
    <row r="635" spans="1:12" s="205" customFormat="1" ht="15.75" customHeight="1">
      <c r="A635" s="42" t="s">
        <v>1631</v>
      </c>
      <c r="B635" s="206" t="s">
        <v>1632</v>
      </c>
      <c r="C635" s="39">
        <v>43899</v>
      </c>
      <c r="D635" s="40">
        <v>44324</v>
      </c>
      <c r="E635" s="41">
        <f>D635-C635</f>
        <v>425</v>
      </c>
      <c r="F635" s="45" t="s">
        <v>0</v>
      </c>
      <c r="G635" s="45" t="s">
        <v>1</v>
      </c>
      <c r="H635" s="207"/>
      <c r="I635" s="207"/>
      <c r="K635" s="53" t="s">
        <v>1633</v>
      </c>
      <c r="L635" s="42" t="s">
        <v>1634</v>
      </c>
    </row>
    <row r="636" spans="1:12" s="205" customFormat="1" ht="15.75" customHeight="1">
      <c r="A636" s="42" t="s">
        <v>1635</v>
      </c>
      <c r="B636" s="206" t="s">
        <v>1636</v>
      </c>
      <c r="C636" s="39">
        <v>44304</v>
      </c>
      <c r="D636" s="40">
        <v>44325</v>
      </c>
      <c r="E636" s="41">
        <f>D636-C636</f>
        <v>21</v>
      </c>
      <c r="F636" s="43" t="s">
        <v>0</v>
      </c>
      <c r="G636" s="207"/>
      <c r="H636" s="207"/>
      <c r="I636" s="207"/>
    </row>
    <row r="637" spans="1:12" s="205" customFormat="1" ht="15.75" customHeight="1">
      <c r="A637" s="65" t="s">
        <v>1637</v>
      </c>
      <c r="B637" s="206" t="s">
        <v>1638</v>
      </c>
      <c r="C637" s="39">
        <v>44308</v>
      </c>
      <c r="D637" s="40">
        <v>44326</v>
      </c>
      <c r="E637" s="41">
        <f>D637-C637</f>
        <v>18</v>
      </c>
      <c r="F637" s="43" t="s">
        <v>0</v>
      </c>
      <c r="G637" s="207"/>
      <c r="H637" s="207"/>
      <c r="I637" s="207"/>
      <c r="K637" s="220"/>
    </row>
    <row r="638" spans="1:12" s="205" customFormat="1" ht="15.75" customHeight="1">
      <c r="A638" s="205" t="s">
        <v>1639</v>
      </c>
      <c r="B638" s="206" t="s">
        <v>1640</v>
      </c>
      <c r="C638" s="39">
        <v>44294</v>
      </c>
      <c r="D638" s="40">
        <v>44327</v>
      </c>
      <c r="E638" s="41">
        <f>D638-C638</f>
        <v>33</v>
      </c>
      <c r="F638" s="43" t="s">
        <v>0</v>
      </c>
      <c r="G638" s="207"/>
      <c r="H638" s="207"/>
      <c r="I638" s="207"/>
    </row>
    <row r="639" spans="1:12" s="205" customFormat="1" ht="15.75" customHeight="1">
      <c r="A639" s="42" t="s">
        <v>263</v>
      </c>
      <c r="B639" s="206" t="s">
        <v>263</v>
      </c>
      <c r="C639" s="39">
        <v>44089</v>
      </c>
      <c r="D639" s="40">
        <v>44327</v>
      </c>
      <c r="E639" s="41">
        <f>D639-C639</f>
        <v>238</v>
      </c>
      <c r="F639" s="207" t="s">
        <v>1570</v>
      </c>
      <c r="G639" s="45" t="s">
        <v>1641</v>
      </c>
      <c r="H639" s="207"/>
      <c r="I639" s="207"/>
      <c r="L639" s="205" t="s">
        <v>266</v>
      </c>
    </row>
    <row r="640" spans="1:12" s="205" customFormat="1" ht="15.75" customHeight="1">
      <c r="A640" s="205" t="s">
        <v>1157</v>
      </c>
      <c r="B640" s="206" t="s">
        <v>1158</v>
      </c>
      <c r="C640" s="39">
        <v>44024</v>
      </c>
      <c r="D640" s="40">
        <v>44330</v>
      </c>
      <c r="E640" s="41">
        <f>D640-C640</f>
        <v>306</v>
      </c>
      <c r="F640" s="43" t="s">
        <v>0</v>
      </c>
      <c r="G640" s="207"/>
      <c r="H640" s="207"/>
      <c r="I640" s="207"/>
    </row>
    <row r="641" spans="1:13" s="205" customFormat="1" ht="15.75" customHeight="1">
      <c r="A641" s="205" t="s">
        <v>1642</v>
      </c>
      <c r="B641" s="206" t="s">
        <v>1643</v>
      </c>
      <c r="C641" s="39">
        <v>44325</v>
      </c>
      <c r="D641" s="39">
        <v>44331</v>
      </c>
      <c r="E641" s="41">
        <f>D641-C641</f>
        <v>6</v>
      </c>
      <c r="F641" s="43" t="s">
        <v>74</v>
      </c>
      <c r="G641" s="207"/>
      <c r="H641" s="207"/>
      <c r="I641" s="207"/>
    </row>
    <row r="642" spans="1:13" s="205" customFormat="1" ht="15.75" customHeight="1">
      <c r="A642" s="205" t="s">
        <v>1328</v>
      </c>
      <c r="B642" s="206" t="s">
        <v>1329</v>
      </c>
      <c r="C642" s="39">
        <v>44053</v>
      </c>
      <c r="D642" s="39">
        <v>44331</v>
      </c>
      <c r="E642" s="41">
        <f>D642-C642</f>
        <v>278</v>
      </c>
      <c r="F642" s="43" t="s">
        <v>0</v>
      </c>
      <c r="G642" s="45" t="s">
        <v>33</v>
      </c>
      <c r="H642" s="207"/>
      <c r="I642" s="207"/>
      <c r="K642" s="53" t="s">
        <v>1330</v>
      </c>
      <c r="L642" s="42" t="s">
        <v>1644</v>
      </c>
    </row>
    <row r="643" spans="1:13" s="205" customFormat="1" ht="15.75" customHeight="1">
      <c r="A643" s="205" t="s">
        <v>1645</v>
      </c>
      <c r="B643" s="206" t="s">
        <v>1646</v>
      </c>
      <c r="C643" s="39">
        <v>43628</v>
      </c>
      <c r="D643" s="39">
        <v>44331</v>
      </c>
      <c r="E643" s="41">
        <f>D643-C643</f>
        <v>703</v>
      </c>
      <c r="F643" s="43" t="s">
        <v>54</v>
      </c>
      <c r="G643" s="207"/>
      <c r="H643" s="207"/>
      <c r="I643" s="207"/>
      <c r="L643" s="42" t="s">
        <v>1647</v>
      </c>
    </row>
    <row r="644" spans="1:13" s="205" customFormat="1" ht="15.75" customHeight="1">
      <c r="A644" s="205" t="s">
        <v>1436</v>
      </c>
      <c r="B644" s="206" t="s">
        <v>1648</v>
      </c>
      <c r="C644" s="39">
        <v>43875</v>
      </c>
      <c r="D644" s="40">
        <v>44332</v>
      </c>
      <c r="E644" s="41">
        <f>D644-C644</f>
        <v>457</v>
      </c>
      <c r="F644" s="43" t="s">
        <v>0</v>
      </c>
      <c r="G644" s="45" t="s">
        <v>33</v>
      </c>
      <c r="H644" s="207"/>
      <c r="I644" s="207"/>
      <c r="K644" s="53" t="s">
        <v>1649</v>
      </c>
    </row>
    <row r="645" spans="1:13" s="205" customFormat="1" ht="15.75" customHeight="1">
      <c r="A645" s="205" t="s">
        <v>1650</v>
      </c>
      <c r="B645" s="206" t="s">
        <v>1651</v>
      </c>
      <c r="C645" s="79">
        <v>44307</v>
      </c>
      <c r="D645" s="80">
        <v>44335</v>
      </c>
      <c r="E645" s="41">
        <f>D645-C645</f>
        <v>28</v>
      </c>
      <c r="F645" s="43" t="s">
        <v>0</v>
      </c>
      <c r="G645" s="207"/>
      <c r="H645" s="207"/>
      <c r="I645" s="207"/>
    </row>
    <row r="646" spans="1:13" s="205" customFormat="1" ht="15.75" customHeight="1">
      <c r="A646" s="42" t="s">
        <v>1652</v>
      </c>
      <c r="B646" s="206" t="s">
        <v>1653</v>
      </c>
      <c r="C646" s="79">
        <v>44296</v>
      </c>
      <c r="D646" s="80">
        <v>44336</v>
      </c>
      <c r="E646" s="41">
        <f>D646-C646</f>
        <v>40</v>
      </c>
      <c r="F646" s="208" t="s">
        <v>174</v>
      </c>
      <c r="G646" s="207"/>
      <c r="H646" s="207"/>
      <c r="I646" s="207"/>
    </row>
    <row r="647" spans="1:13" s="205" customFormat="1" ht="15.75" customHeight="1">
      <c r="A647" s="57" t="s">
        <v>789</v>
      </c>
      <c r="B647" s="209" t="s">
        <v>790</v>
      </c>
      <c r="C647" s="39">
        <v>44333</v>
      </c>
      <c r="D647" s="40">
        <v>44338</v>
      </c>
      <c r="E647" s="41">
        <f>D647-C647</f>
        <v>5</v>
      </c>
      <c r="F647" s="43" t="s">
        <v>0</v>
      </c>
      <c r="G647" s="45" t="s">
        <v>33</v>
      </c>
      <c r="H647" s="207"/>
      <c r="I647" s="207"/>
    </row>
    <row r="648" spans="1:13" s="205" customFormat="1" ht="15.75" customHeight="1">
      <c r="A648" s="42" t="s">
        <v>1654</v>
      </c>
      <c r="B648" s="206" t="s">
        <v>1655</v>
      </c>
      <c r="C648" s="39">
        <v>44270</v>
      </c>
      <c r="D648" s="40">
        <v>44338</v>
      </c>
      <c r="E648" s="41">
        <f>D648-C648</f>
        <v>68</v>
      </c>
      <c r="F648" s="43" t="s">
        <v>0</v>
      </c>
      <c r="G648" s="81" t="s">
        <v>33</v>
      </c>
      <c r="H648" s="207"/>
      <c r="I648" s="207"/>
      <c r="L648" s="87" t="s">
        <v>1656</v>
      </c>
    </row>
    <row r="649" spans="1:13" s="205" customFormat="1" ht="15.75" customHeight="1">
      <c r="A649" s="205" t="s">
        <v>1657</v>
      </c>
      <c r="B649" s="206" t="s">
        <v>1658</v>
      </c>
      <c r="C649" s="79">
        <v>44243</v>
      </c>
      <c r="D649" s="40">
        <v>44338</v>
      </c>
      <c r="E649" s="41">
        <f>D649-C649</f>
        <v>95</v>
      </c>
      <c r="F649" s="43" t="s">
        <v>0</v>
      </c>
      <c r="G649" s="207"/>
      <c r="H649" s="207"/>
      <c r="I649" s="207"/>
    </row>
    <row r="650" spans="1:13" s="205" customFormat="1" ht="15.75" customHeight="1">
      <c r="A650" s="205" t="s">
        <v>1659</v>
      </c>
      <c r="B650" s="206" t="s">
        <v>1660</v>
      </c>
      <c r="C650" s="79">
        <v>43867</v>
      </c>
      <c r="D650" s="80">
        <v>44338</v>
      </c>
      <c r="E650" s="41">
        <f>D650-C650</f>
        <v>471</v>
      </c>
      <c r="F650" s="43" t="s">
        <v>0</v>
      </c>
      <c r="G650" s="81" t="s">
        <v>995</v>
      </c>
      <c r="H650" s="207"/>
      <c r="I650" s="207"/>
      <c r="K650" s="53" t="s">
        <v>1661</v>
      </c>
    </row>
    <row r="651" spans="1:13" s="205" customFormat="1" ht="15.75" customHeight="1">
      <c r="A651" s="205" t="s">
        <v>1662</v>
      </c>
      <c r="B651" s="206" t="s">
        <v>1663</v>
      </c>
      <c r="C651" s="39">
        <v>44269</v>
      </c>
      <c r="D651" s="40">
        <v>44339</v>
      </c>
      <c r="E651" s="41">
        <f>D651-C651</f>
        <v>70</v>
      </c>
      <c r="F651" s="43" t="s">
        <v>0</v>
      </c>
      <c r="G651" s="207"/>
      <c r="H651" s="207"/>
      <c r="I651" s="207"/>
      <c r="K651" s="220" t="s">
        <v>1664</v>
      </c>
    </row>
    <row r="652" spans="1:13" s="205" customFormat="1" ht="15.75" customHeight="1">
      <c r="A652" s="205" t="s">
        <v>1665</v>
      </c>
      <c r="B652" s="206" t="s">
        <v>1666</v>
      </c>
      <c r="C652" s="39">
        <v>44175</v>
      </c>
      <c r="D652" s="40">
        <v>44344</v>
      </c>
      <c r="E652" s="41">
        <f>D652-C652</f>
        <v>169</v>
      </c>
      <c r="F652" s="43" t="s">
        <v>0</v>
      </c>
      <c r="G652" s="45" t="s">
        <v>26</v>
      </c>
      <c r="H652" s="207"/>
      <c r="I652" s="207"/>
      <c r="K652" s="220" t="s">
        <v>1667</v>
      </c>
    </row>
    <row r="653" spans="1:13" s="205" customFormat="1" ht="15.75" customHeight="1">
      <c r="A653" s="42" t="s">
        <v>1668</v>
      </c>
      <c r="B653" s="206" t="s">
        <v>1669</v>
      </c>
      <c r="C653" s="39">
        <v>44327</v>
      </c>
      <c r="D653" s="40">
        <v>44345</v>
      </c>
      <c r="E653" s="41">
        <f>D653-C653</f>
        <v>18</v>
      </c>
      <c r="F653" s="43" t="s">
        <v>0</v>
      </c>
      <c r="G653" s="207"/>
      <c r="H653" s="207"/>
      <c r="I653" s="207"/>
      <c r="L653" s="42" t="s">
        <v>1670</v>
      </c>
    </row>
    <row r="654" spans="1:13" s="205" customFormat="1" ht="15.75" customHeight="1">
      <c r="A654" s="205" t="s">
        <v>1671</v>
      </c>
      <c r="B654" s="206" t="s">
        <v>1672</v>
      </c>
      <c r="C654" s="39">
        <v>44321</v>
      </c>
      <c r="D654" s="40">
        <v>44345</v>
      </c>
      <c r="E654" s="41">
        <f>D654-C654</f>
        <v>24</v>
      </c>
      <c r="F654" s="208" t="s">
        <v>174</v>
      </c>
      <c r="G654" s="207"/>
      <c r="H654" s="207"/>
      <c r="I654" s="207"/>
    </row>
    <row r="655" spans="1:13" s="205" customFormat="1" ht="15.75" customHeight="1">
      <c r="A655" s="205" t="s">
        <v>1673</v>
      </c>
      <c r="B655" s="219" t="s">
        <v>1674</v>
      </c>
      <c r="C655" s="39">
        <v>44088</v>
      </c>
      <c r="D655" s="40">
        <v>44345</v>
      </c>
      <c r="E655" s="41">
        <f>D655-C655</f>
        <v>257</v>
      </c>
      <c r="F655" s="43" t="s">
        <v>68</v>
      </c>
      <c r="G655" s="207"/>
      <c r="H655" s="207"/>
      <c r="I655" s="207"/>
      <c r="M655" s="85" t="s">
        <v>1675</v>
      </c>
    </row>
    <row r="656" spans="1:13" s="205" customFormat="1" ht="15.75" customHeight="1">
      <c r="A656" s="42" t="s">
        <v>1676</v>
      </c>
      <c r="B656" s="206" t="s">
        <v>1677</v>
      </c>
      <c r="C656" s="79">
        <v>44269</v>
      </c>
      <c r="D656" s="80">
        <v>44346</v>
      </c>
      <c r="E656" s="41">
        <f>D656-C656</f>
        <v>77</v>
      </c>
      <c r="F656" s="207" t="s">
        <v>1678</v>
      </c>
      <c r="G656" s="207"/>
      <c r="H656" s="207"/>
      <c r="I656" s="207"/>
    </row>
    <row r="657" spans="1:27" s="205" customFormat="1" ht="15.75" customHeight="1">
      <c r="A657" s="205" t="s">
        <v>1679</v>
      </c>
      <c r="B657" s="206" t="s">
        <v>1680</v>
      </c>
      <c r="C657" s="79">
        <v>44326</v>
      </c>
      <c r="D657" s="80">
        <v>44347</v>
      </c>
      <c r="E657" s="41">
        <f>D657-C657</f>
        <v>21</v>
      </c>
      <c r="F657" s="208" t="s">
        <v>174</v>
      </c>
      <c r="G657" s="207"/>
      <c r="H657" s="207"/>
      <c r="I657" s="207"/>
    </row>
    <row r="658" spans="1:27" s="205" customFormat="1" ht="15.75" customHeight="1">
      <c r="A658" s="65" t="s">
        <v>1681</v>
      </c>
      <c r="B658" s="206" t="s">
        <v>1682</v>
      </c>
      <c r="C658" s="79">
        <v>44321</v>
      </c>
      <c r="D658" s="80">
        <v>44348</v>
      </c>
      <c r="E658" s="41">
        <f>D658-C658</f>
        <v>27</v>
      </c>
      <c r="F658" s="43" t="s">
        <v>0</v>
      </c>
      <c r="G658" s="207"/>
      <c r="H658" s="207"/>
      <c r="I658" s="207"/>
    </row>
    <row r="659" spans="1:27" s="205" customFormat="1" ht="15.75" customHeight="1">
      <c r="A659" s="205" t="s">
        <v>1353</v>
      </c>
      <c r="B659" s="206" t="s">
        <v>1354</v>
      </c>
      <c r="C659" s="39">
        <v>44181</v>
      </c>
      <c r="D659" s="40">
        <v>44352</v>
      </c>
      <c r="E659" s="41">
        <f>D659-C659</f>
        <v>171</v>
      </c>
      <c r="F659" s="43" t="s">
        <v>0</v>
      </c>
      <c r="G659" s="45" t="s">
        <v>26</v>
      </c>
      <c r="H659" s="207"/>
      <c r="I659" s="207"/>
    </row>
    <row r="660" spans="1:27" s="205" customFormat="1" ht="15.75" customHeight="1">
      <c r="A660" s="205" t="s">
        <v>1093</v>
      </c>
      <c r="B660" s="206" t="s">
        <v>1269</v>
      </c>
      <c r="C660" s="79">
        <v>44059</v>
      </c>
      <c r="D660" s="80">
        <v>44353</v>
      </c>
      <c r="E660" s="41">
        <f>D660-C660</f>
        <v>294</v>
      </c>
      <c r="F660" s="43" t="s">
        <v>0</v>
      </c>
      <c r="G660" s="207"/>
      <c r="H660" s="207"/>
      <c r="I660" s="207"/>
      <c r="K660" s="220" t="s">
        <v>1270</v>
      </c>
    </row>
    <row r="661" spans="1:27" s="205" customFormat="1" ht="15.75" customHeight="1">
      <c r="A661" s="65" t="s">
        <v>1683</v>
      </c>
      <c r="B661" s="206" t="s">
        <v>1684</v>
      </c>
      <c r="C661" s="79">
        <v>44325</v>
      </c>
      <c r="D661" s="80">
        <v>44354</v>
      </c>
      <c r="E661" s="41">
        <f>D661-C661</f>
        <v>29</v>
      </c>
      <c r="F661" s="43" t="s">
        <v>0</v>
      </c>
      <c r="G661" s="207"/>
      <c r="H661" s="207"/>
      <c r="I661" s="207"/>
    </row>
    <row r="662" spans="1:27" s="205" customFormat="1" ht="15.75" customHeight="1">
      <c r="A662" s="42" t="s">
        <v>1685</v>
      </c>
      <c r="B662" s="206" t="s">
        <v>1686</v>
      </c>
      <c r="C662" s="79">
        <v>44285</v>
      </c>
      <c r="D662" s="80">
        <v>44359</v>
      </c>
      <c r="E662" s="41">
        <f>D662-C662</f>
        <v>74</v>
      </c>
      <c r="F662" s="43" t="s">
        <v>0</v>
      </c>
      <c r="G662" s="81" t="s">
        <v>1</v>
      </c>
      <c r="H662" s="207"/>
      <c r="I662" s="81" t="s">
        <v>85</v>
      </c>
      <c r="L662" s="87" t="s">
        <v>1687</v>
      </c>
    </row>
    <row r="663" spans="1:27" s="205" customFormat="1" ht="15.75" customHeight="1">
      <c r="A663" s="87" t="s">
        <v>357</v>
      </c>
      <c r="B663" s="221" t="s">
        <v>1688</v>
      </c>
      <c r="C663" s="79">
        <v>44340</v>
      </c>
      <c r="D663" s="80">
        <v>44360</v>
      </c>
      <c r="E663" s="41">
        <f>D663-C663</f>
        <v>20</v>
      </c>
      <c r="F663" s="43" t="s">
        <v>0</v>
      </c>
      <c r="G663" s="207"/>
      <c r="H663" s="207"/>
      <c r="I663" s="207"/>
    </row>
    <row r="664" spans="1:27" s="205" customFormat="1" ht="15.75" customHeight="1">
      <c r="A664" s="205" t="s">
        <v>1374</v>
      </c>
      <c r="B664" s="206" t="s">
        <v>1689</v>
      </c>
      <c r="C664" s="39">
        <v>44324</v>
      </c>
      <c r="D664" s="80">
        <v>44360</v>
      </c>
      <c r="E664" s="41">
        <f>D664-C664</f>
        <v>36</v>
      </c>
      <c r="F664" s="43" t="s">
        <v>0</v>
      </c>
      <c r="G664" s="45" t="s">
        <v>995</v>
      </c>
      <c r="H664" s="207"/>
      <c r="I664" s="207"/>
      <c r="L664" s="42" t="s">
        <v>1690</v>
      </c>
    </row>
    <row r="665" spans="1:27" s="205" customFormat="1">
      <c r="A665" s="205" t="s">
        <v>1691</v>
      </c>
      <c r="B665" s="222" t="s">
        <v>1692</v>
      </c>
      <c r="C665" s="79">
        <v>43626</v>
      </c>
      <c r="D665" s="80">
        <v>44360</v>
      </c>
      <c r="E665" s="41">
        <f>D665-C665</f>
        <v>734</v>
      </c>
      <c r="F665" s="83" t="s">
        <v>54</v>
      </c>
      <c r="G665" s="81" t="s">
        <v>43</v>
      </c>
      <c r="H665" s="207"/>
      <c r="I665" s="81" t="s">
        <v>817</v>
      </c>
      <c r="J665" s="87"/>
      <c r="K665" s="88" t="s">
        <v>1693</v>
      </c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</row>
    <row r="666" spans="1:27" s="205" customFormat="1" ht="15.75" customHeight="1">
      <c r="A666" s="87" t="s">
        <v>1694</v>
      </c>
      <c r="B666" s="221" t="s">
        <v>1695</v>
      </c>
      <c r="C666" s="79">
        <v>44345</v>
      </c>
      <c r="D666" s="80">
        <v>44362</v>
      </c>
      <c r="E666" s="41">
        <f>D666-C666</f>
        <v>17</v>
      </c>
      <c r="F666" s="83" t="s">
        <v>357</v>
      </c>
      <c r="G666" s="207"/>
      <c r="H666" s="207"/>
      <c r="I666" s="207"/>
    </row>
    <row r="667" spans="1:27" s="205" customFormat="1" ht="15.75" customHeight="1">
      <c r="A667" s="42" t="s">
        <v>1044</v>
      </c>
      <c r="B667" s="206" t="s">
        <v>1045</v>
      </c>
      <c r="C667" s="39">
        <v>44290</v>
      </c>
      <c r="D667" s="40">
        <v>44363</v>
      </c>
      <c r="E667" s="41">
        <f>D667-C667</f>
        <v>73</v>
      </c>
      <c r="F667" s="43" t="s">
        <v>0</v>
      </c>
      <c r="G667" s="45" t="s">
        <v>70</v>
      </c>
      <c r="H667" s="207"/>
      <c r="I667" s="207"/>
      <c r="K667" s="53" t="s">
        <v>1046</v>
      </c>
      <c r="L667" s="42" t="s">
        <v>1696</v>
      </c>
    </row>
    <row r="668" spans="1:27" s="205" customFormat="1" ht="15.75" customHeight="1">
      <c r="A668" s="205" t="s">
        <v>550</v>
      </c>
      <c r="B668" s="206" t="s">
        <v>551</v>
      </c>
      <c r="C668" s="39">
        <v>44312</v>
      </c>
      <c r="D668" s="40">
        <v>44364</v>
      </c>
      <c r="E668" s="41">
        <f>D668-C668</f>
        <v>52</v>
      </c>
      <c r="F668" s="43" t="s">
        <v>0</v>
      </c>
      <c r="G668" s="207"/>
      <c r="H668" s="207"/>
      <c r="I668" s="207"/>
    </row>
    <row r="669" spans="1:27" s="205" customFormat="1" ht="15.75" customHeight="1">
      <c r="A669" s="205" t="s">
        <v>1697</v>
      </c>
      <c r="B669" s="221" t="s">
        <v>1698</v>
      </c>
      <c r="C669" s="39">
        <v>44358</v>
      </c>
      <c r="D669" s="39">
        <v>44366</v>
      </c>
      <c r="E669" s="41">
        <f>D669-C669</f>
        <v>8</v>
      </c>
      <c r="F669" s="83" t="s">
        <v>853</v>
      </c>
      <c r="G669" s="207"/>
      <c r="H669" s="207"/>
      <c r="I669" s="207"/>
    </row>
    <row r="670" spans="1:27" s="205" customFormat="1" ht="15.75" customHeight="1">
      <c r="A670" s="42" t="s">
        <v>1699</v>
      </c>
      <c r="B670" s="206" t="s">
        <v>1700</v>
      </c>
      <c r="C670" s="39">
        <v>44335</v>
      </c>
      <c r="D670" s="39">
        <v>44366</v>
      </c>
      <c r="E670" s="41">
        <f>D670-C670</f>
        <v>31</v>
      </c>
      <c r="F670" s="43" t="s">
        <v>0</v>
      </c>
      <c r="G670" s="45" t="s">
        <v>1</v>
      </c>
      <c r="H670" s="207"/>
      <c r="I670" s="207"/>
    </row>
    <row r="671" spans="1:27" s="205" customFormat="1" ht="15.75" customHeight="1">
      <c r="A671" s="65" t="s">
        <v>1701</v>
      </c>
      <c r="B671" s="206" t="s">
        <v>1702</v>
      </c>
      <c r="C671" s="39">
        <v>44316</v>
      </c>
      <c r="D671" s="39">
        <v>44366</v>
      </c>
      <c r="E671" s="41">
        <f>D671-C671</f>
        <v>50</v>
      </c>
      <c r="F671" s="208" t="s">
        <v>1570</v>
      </c>
      <c r="G671" s="207"/>
      <c r="H671" s="207"/>
      <c r="I671" s="207"/>
    </row>
    <row r="672" spans="1:27" s="205" customFormat="1" ht="15.75" customHeight="1">
      <c r="A672" s="42" t="s">
        <v>1219</v>
      </c>
      <c r="B672" s="206" t="s">
        <v>1220</v>
      </c>
      <c r="C672" s="39">
        <v>44270</v>
      </c>
      <c r="D672" s="39">
        <v>44366</v>
      </c>
      <c r="E672" s="41">
        <f>D672-C672</f>
        <v>96</v>
      </c>
      <c r="F672" s="43" t="s">
        <v>0</v>
      </c>
      <c r="G672" s="207"/>
      <c r="H672" s="207"/>
      <c r="I672" s="207"/>
      <c r="K672" s="53" t="s">
        <v>1221</v>
      </c>
    </row>
    <row r="673" spans="1:27" s="205" customFormat="1" ht="15.75" customHeight="1">
      <c r="A673" s="42" t="s">
        <v>1703</v>
      </c>
      <c r="B673" s="206" t="s">
        <v>1704</v>
      </c>
      <c r="C673" s="39">
        <v>44351</v>
      </c>
      <c r="D673" s="40">
        <v>44367</v>
      </c>
      <c r="E673" s="41">
        <f>D673-C673</f>
        <v>16</v>
      </c>
      <c r="F673" s="43" t="s">
        <v>0</v>
      </c>
      <c r="G673" s="207"/>
      <c r="H673" s="207"/>
      <c r="I673" s="207"/>
    </row>
    <row r="674" spans="1:27" s="205" customFormat="1" ht="15.75" customHeight="1">
      <c r="A674" s="205" t="s">
        <v>1705</v>
      </c>
      <c r="B674" s="221" t="s">
        <v>1706</v>
      </c>
      <c r="C674" s="39">
        <v>44334</v>
      </c>
      <c r="D674" s="40">
        <v>44368</v>
      </c>
      <c r="E674" s="41">
        <f>D674-C674</f>
        <v>34</v>
      </c>
      <c r="F674" s="43" t="s">
        <v>0</v>
      </c>
      <c r="G674" s="207"/>
      <c r="H674" s="207"/>
      <c r="I674" s="207"/>
    </row>
    <row r="675" spans="1:27" s="205" customFormat="1" ht="15.75" customHeight="1">
      <c r="A675" s="87" t="s">
        <v>1707</v>
      </c>
      <c r="B675" s="221" t="s">
        <v>1708</v>
      </c>
      <c r="C675" s="39">
        <v>44352</v>
      </c>
      <c r="D675" s="80">
        <v>44369</v>
      </c>
      <c r="E675" s="41">
        <f>D675-C675</f>
        <v>17</v>
      </c>
      <c r="F675" s="43" t="s">
        <v>0</v>
      </c>
      <c r="G675" s="207"/>
      <c r="H675" s="207"/>
      <c r="I675" s="207"/>
    </row>
    <row r="676" spans="1:27" s="205" customFormat="1" ht="15.75" customHeight="1">
      <c r="A676" s="205" t="s">
        <v>1709</v>
      </c>
      <c r="B676" s="206" t="s">
        <v>1710</v>
      </c>
      <c r="C676" s="79">
        <v>44216</v>
      </c>
      <c r="D676" s="80">
        <v>44372</v>
      </c>
      <c r="E676" s="41">
        <f>D676-C676</f>
        <v>156</v>
      </c>
      <c r="F676" s="43" t="s">
        <v>0</v>
      </c>
      <c r="G676" s="207"/>
      <c r="H676" s="207"/>
      <c r="I676" s="81" t="s">
        <v>1711</v>
      </c>
      <c r="K676" s="220" t="s">
        <v>1712</v>
      </c>
    </row>
    <row r="677" spans="1:27" s="205" customFormat="1" ht="15.75" customHeight="1">
      <c r="A677" s="205" t="s">
        <v>1713</v>
      </c>
      <c r="B677" s="221" t="s">
        <v>1714</v>
      </c>
      <c r="C677" s="79">
        <v>44351</v>
      </c>
      <c r="D677" s="80">
        <v>44373</v>
      </c>
      <c r="E677" s="41">
        <f>D677-C677</f>
        <v>22</v>
      </c>
      <c r="F677" s="43" t="s">
        <v>0</v>
      </c>
      <c r="G677" s="81" t="s">
        <v>33</v>
      </c>
      <c r="H677" s="207"/>
      <c r="I677" s="207"/>
    </row>
    <row r="678" spans="1:27" s="205" customFormat="1" ht="15.75" customHeight="1">
      <c r="A678" s="205" t="s">
        <v>1715</v>
      </c>
      <c r="B678" s="206" t="s">
        <v>1716</v>
      </c>
      <c r="C678" s="79">
        <v>44073</v>
      </c>
      <c r="D678" s="80">
        <v>44373</v>
      </c>
      <c r="E678" s="41">
        <f>D678-C678</f>
        <v>300</v>
      </c>
      <c r="F678" s="43" t="s">
        <v>0</v>
      </c>
      <c r="G678" s="45" t="s">
        <v>1</v>
      </c>
      <c r="H678" s="207"/>
      <c r="I678" s="45" t="s">
        <v>817</v>
      </c>
      <c r="K678" s="220" t="s">
        <v>1717</v>
      </c>
      <c r="L678" s="42" t="s">
        <v>1718</v>
      </c>
    </row>
    <row r="679" spans="1:27" s="205" customFormat="1" ht="15.75" customHeight="1">
      <c r="A679" s="42" t="s">
        <v>269</v>
      </c>
      <c r="B679" s="206" t="s">
        <v>270</v>
      </c>
      <c r="C679" s="79">
        <v>43856</v>
      </c>
      <c r="D679" s="80">
        <v>44373</v>
      </c>
      <c r="E679" s="41">
        <f>D679-C679</f>
        <v>517</v>
      </c>
      <c r="F679" s="83" t="s">
        <v>0</v>
      </c>
      <c r="G679" s="81" t="s">
        <v>43</v>
      </c>
      <c r="H679" s="207"/>
      <c r="I679" s="207"/>
      <c r="K679" s="53" t="s">
        <v>271</v>
      </c>
    </row>
    <row r="680" spans="1:27" s="205" customFormat="1" ht="15.75" customHeight="1">
      <c r="A680" s="87" t="s">
        <v>1719</v>
      </c>
      <c r="B680" s="221" t="s">
        <v>1720</v>
      </c>
      <c r="C680" s="79">
        <v>44359</v>
      </c>
      <c r="D680" s="80">
        <v>44374</v>
      </c>
      <c r="E680" s="41">
        <f>D680-C680</f>
        <v>15</v>
      </c>
      <c r="F680" s="43" t="s">
        <v>0</v>
      </c>
      <c r="G680" s="207"/>
      <c r="H680" s="207"/>
      <c r="I680" s="207"/>
    </row>
    <row r="681" spans="1:27" s="205" customFormat="1" ht="15.75" customHeight="1">
      <c r="A681" s="42" t="s">
        <v>1721</v>
      </c>
      <c r="B681" s="206" t="s">
        <v>1722</v>
      </c>
      <c r="C681" s="79">
        <v>43944</v>
      </c>
      <c r="D681" s="80">
        <v>44375</v>
      </c>
      <c r="E681" s="41">
        <f>D681-C681</f>
        <v>431</v>
      </c>
      <c r="F681" s="43" t="s">
        <v>0</v>
      </c>
      <c r="G681" s="81" t="s">
        <v>720</v>
      </c>
      <c r="H681" s="207"/>
      <c r="I681" s="207"/>
      <c r="K681" s="220" t="s">
        <v>1723</v>
      </c>
    </row>
    <row r="682" spans="1:27" s="205" customFormat="1" ht="15.75" customHeight="1">
      <c r="A682" s="205" t="s">
        <v>1724</v>
      </c>
      <c r="B682" s="221" t="s">
        <v>1725</v>
      </c>
      <c r="C682" s="79">
        <v>44370</v>
      </c>
      <c r="D682" s="80">
        <v>44380</v>
      </c>
      <c r="E682" s="41">
        <f>D682-C682</f>
        <v>10</v>
      </c>
      <c r="F682" s="207" t="s">
        <v>1570</v>
      </c>
      <c r="G682" s="207"/>
      <c r="H682" s="207"/>
      <c r="I682" s="207"/>
    </row>
    <row r="683" spans="1:27" s="205" customFormat="1" ht="15.75" customHeight="1">
      <c r="A683" s="87" t="s">
        <v>1726</v>
      </c>
      <c r="B683" s="221" t="s">
        <v>1727</v>
      </c>
      <c r="C683" s="79">
        <v>44367</v>
      </c>
      <c r="D683" s="80">
        <v>44380</v>
      </c>
      <c r="E683" s="41">
        <f>D683-C683</f>
        <v>13</v>
      </c>
      <c r="F683" s="43" t="s">
        <v>0</v>
      </c>
      <c r="G683" s="207"/>
      <c r="H683" s="207"/>
      <c r="I683" s="207"/>
    </row>
    <row r="684" spans="1:27" s="205" customFormat="1" ht="15.75" customHeight="1">
      <c r="A684" s="205" t="s">
        <v>1374</v>
      </c>
      <c r="B684" s="206" t="s">
        <v>1728</v>
      </c>
      <c r="C684" s="79">
        <v>44366</v>
      </c>
      <c r="D684" s="80">
        <v>44380</v>
      </c>
      <c r="E684" s="41">
        <f>D684-C684</f>
        <v>14</v>
      </c>
      <c r="F684" s="43" t="s">
        <v>0</v>
      </c>
      <c r="G684" s="81" t="s">
        <v>995</v>
      </c>
      <c r="H684" s="207"/>
      <c r="I684" s="207"/>
      <c r="L684" s="87" t="s">
        <v>1690</v>
      </c>
    </row>
    <row r="685" spans="1:27" s="205" customFormat="1" ht="15.75" customHeight="1">
      <c r="A685" s="205" t="s">
        <v>1729</v>
      </c>
      <c r="B685" s="206" t="s">
        <v>1730</v>
      </c>
      <c r="C685" s="79">
        <v>44317</v>
      </c>
      <c r="D685" s="80">
        <v>44380</v>
      </c>
      <c r="E685" s="41">
        <f>D685-C685</f>
        <v>63</v>
      </c>
      <c r="F685" s="43" t="s">
        <v>0</v>
      </c>
      <c r="G685" s="207"/>
      <c r="H685" s="207"/>
      <c r="I685" s="207"/>
    </row>
    <row r="686" spans="1:27" s="205" customFormat="1" ht="15.75" customHeight="1">
      <c r="A686" s="87" t="s">
        <v>1731</v>
      </c>
      <c r="B686" s="221" t="s">
        <v>1731</v>
      </c>
      <c r="C686" s="79">
        <v>44360</v>
      </c>
      <c r="D686" s="79">
        <v>44381</v>
      </c>
      <c r="E686" s="41">
        <f>D686-C686</f>
        <v>21</v>
      </c>
      <c r="F686" s="207" t="s">
        <v>1732</v>
      </c>
      <c r="G686" s="207"/>
      <c r="H686" s="207"/>
      <c r="I686" s="20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</row>
    <row r="687" spans="1:27" s="205" customFormat="1" ht="15.75" customHeight="1">
      <c r="A687" s="65" t="s">
        <v>1733</v>
      </c>
      <c r="B687" s="221" t="s">
        <v>1733</v>
      </c>
      <c r="C687" s="79">
        <v>43804</v>
      </c>
      <c r="D687" s="79">
        <v>44381</v>
      </c>
      <c r="E687" s="41">
        <f>D687-C687</f>
        <v>577</v>
      </c>
      <c r="F687" s="83" t="s">
        <v>0</v>
      </c>
      <c r="G687" s="207"/>
      <c r="H687" s="207"/>
      <c r="I687" s="81" t="s">
        <v>3</v>
      </c>
      <c r="J687" s="87"/>
      <c r="K687" s="53" t="s">
        <v>1734</v>
      </c>
      <c r="L687" s="87" t="s">
        <v>1735</v>
      </c>
      <c r="M687" s="87"/>
    </row>
    <row r="688" spans="1:27" s="205" customFormat="1" ht="15.75" customHeight="1">
      <c r="A688" s="205" t="s">
        <v>1736</v>
      </c>
      <c r="B688" s="206" t="s">
        <v>1737</v>
      </c>
      <c r="C688" s="79">
        <v>44311</v>
      </c>
      <c r="D688" s="80">
        <v>44382</v>
      </c>
      <c r="E688" s="41">
        <f>D688-C688</f>
        <v>71</v>
      </c>
      <c r="F688" s="208" t="s">
        <v>174</v>
      </c>
      <c r="G688" s="207"/>
      <c r="H688" s="207"/>
      <c r="I688" s="81" t="s">
        <v>90</v>
      </c>
    </row>
    <row r="689" spans="1:27" s="205" customFormat="1" ht="15.75" customHeight="1">
      <c r="A689" s="42" t="s">
        <v>1738</v>
      </c>
      <c r="B689" s="206" t="s">
        <v>1739</v>
      </c>
      <c r="C689" s="79">
        <v>44258</v>
      </c>
      <c r="D689" s="80">
        <v>44386</v>
      </c>
      <c r="E689" s="41">
        <f>D689-C689</f>
        <v>128</v>
      </c>
      <c r="F689" s="43" t="s">
        <v>0</v>
      </c>
      <c r="G689" s="207"/>
      <c r="H689" s="207"/>
      <c r="I689" s="207"/>
      <c r="K689" s="220" t="s">
        <v>1740</v>
      </c>
    </row>
    <row r="690" spans="1:27" s="205" customFormat="1" ht="15.75" customHeight="1">
      <c r="A690" s="205" t="s">
        <v>1741</v>
      </c>
      <c r="B690" s="206" t="s">
        <v>1742</v>
      </c>
      <c r="C690" s="79">
        <v>44366</v>
      </c>
      <c r="D690" s="80">
        <v>44387</v>
      </c>
      <c r="E690" s="41">
        <f>D690-C690</f>
        <v>21</v>
      </c>
      <c r="F690" s="43" t="s">
        <v>0</v>
      </c>
      <c r="G690" s="81" t="s">
        <v>1743</v>
      </c>
      <c r="H690" s="207"/>
      <c r="I690" s="207"/>
    </row>
    <row r="691" spans="1:27" s="205" customFormat="1" ht="15.75" customHeight="1">
      <c r="A691" s="42" t="s">
        <v>1480</v>
      </c>
      <c r="B691" s="206" t="s">
        <v>1481</v>
      </c>
      <c r="C691" s="39">
        <v>44334</v>
      </c>
      <c r="D691" s="40">
        <v>44388</v>
      </c>
      <c r="E691" s="41">
        <f>D691-C691</f>
        <v>54</v>
      </c>
      <c r="F691" s="43" t="s">
        <v>0</v>
      </c>
      <c r="G691" s="207"/>
      <c r="H691" s="207"/>
      <c r="I691" s="207"/>
      <c r="L691" s="205" t="s">
        <v>1482</v>
      </c>
    </row>
    <row r="692" spans="1:27" s="205" customFormat="1" ht="15.75" customHeight="1">
      <c r="A692" s="65" t="s">
        <v>1744</v>
      </c>
      <c r="B692" s="206" t="s">
        <v>1745</v>
      </c>
      <c r="C692" s="79">
        <v>44332</v>
      </c>
      <c r="D692" s="80">
        <v>44392</v>
      </c>
      <c r="E692" s="41">
        <f>D692-C692</f>
        <v>60</v>
      </c>
      <c r="F692" s="43" t="s">
        <v>0</v>
      </c>
      <c r="G692" s="207"/>
      <c r="H692" s="207"/>
      <c r="I692" s="207"/>
    </row>
    <row r="693" spans="1:27" s="205" customFormat="1" ht="15.75" customHeight="1">
      <c r="A693" s="205" t="s">
        <v>1746</v>
      </c>
      <c r="B693" s="221" t="s">
        <v>1747</v>
      </c>
      <c r="C693" s="79">
        <v>44346</v>
      </c>
      <c r="D693" s="80">
        <v>44394</v>
      </c>
      <c r="E693" s="41">
        <f>D693-C693</f>
        <v>48</v>
      </c>
      <c r="F693" s="208" t="s">
        <v>174</v>
      </c>
      <c r="G693" s="207" t="s">
        <v>26</v>
      </c>
      <c r="H693" s="207"/>
      <c r="I693" s="207"/>
    </row>
    <row r="694" spans="1:27" s="205" customFormat="1" ht="15.75" customHeight="1">
      <c r="A694" s="205" t="s">
        <v>1748</v>
      </c>
      <c r="B694" s="206" t="s">
        <v>1749</v>
      </c>
      <c r="C694" s="79">
        <v>44305</v>
      </c>
      <c r="D694" s="80">
        <v>44394</v>
      </c>
      <c r="E694" s="41">
        <f>D694-C694</f>
        <v>89</v>
      </c>
      <c r="F694" s="43" t="s">
        <v>0</v>
      </c>
      <c r="G694" s="207"/>
      <c r="H694" s="207"/>
      <c r="I694" s="207"/>
    </row>
    <row r="695" spans="1:27" s="205" customFormat="1" ht="15.75" customHeight="1">
      <c r="A695" s="42" t="s">
        <v>1750</v>
      </c>
      <c r="B695" s="221" t="s">
        <v>1751</v>
      </c>
      <c r="C695" s="39">
        <v>44205</v>
      </c>
      <c r="D695" s="80">
        <v>44394</v>
      </c>
      <c r="E695" s="41">
        <f>D695-C695</f>
        <v>189</v>
      </c>
      <c r="F695" s="43" t="s">
        <v>0</v>
      </c>
      <c r="G695" s="81" t="s">
        <v>33</v>
      </c>
      <c r="H695" s="207"/>
      <c r="I695" s="207"/>
      <c r="K695" s="220" t="s">
        <v>1752</v>
      </c>
    </row>
    <row r="696" spans="1:27" s="205" customFormat="1" ht="15.75" customHeight="1">
      <c r="A696" s="87" t="s">
        <v>1753</v>
      </c>
      <c r="B696" s="221" t="s">
        <v>1753</v>
      </c>
      <c r="C696" s="39">
        <v>44387</v>
      </c>
      <c r="D696" s="80">
        <v>44399</v>
      </c>
      <c r="E696" s="41">
        <f>D696-C696</f>
        <v>12</v>
      </c>
      <c r="F696" s="207" t="s">
        <v>1272</v>
      </c>
      <c r="G696" s="81" t="s">
        <v>280</v>
      </c>
      <c r="H696" s="207"/>
      <c r="I696" s="207"/>
    </row>
    <row r="697" spans="1:27" s="205" customFormat="1" ht="15.75" customHeight="1">
      <c r="A697" s="42" t="s">
        <v>1409</v>
      </c>
      <c r="B697" s="206" t="s">
        <v>1410</v>
      </c>
      <c r="C697" s="39">
        <v>44334</v>
      </c>
      <c r="D697" s="40">
        <v>44401</v>
      </c>
      <c r="E697" s="41">
        <f>D697-C697</f>
        <v>67</v>
      </c>
      <c r="F697" s="43" t="s">
        <v>0</v>
      </c>
      <c r="G697" s="45" t="s">
        <v>43</v>
      </c>
      <c r="H697" s="207"/>
      <c r="I697" s="207"/>
    </row>
    <row r="698" spans="1:27" s="205" customFormat="1" ht="15.75" customHeight="1">
      <c r="A698" s="205" t="s">
        <v>1754</v>
      </c>
      <c r="B698" s="206" t="s">
        <v>1755</v>
      </c>
      <c r="C698" s="79">
        <v>44248</v>
      </c>
      <c r="D698" s="80">
        <v>44402</v>
      </c>
      <c r="E698" s="41">
        <f>D698-C698</f>
        <v>154</v>
      </c>
      <c r="F698" s="83" t="s">
        <v>1756</v>
      </c>
      <c r="G698" s="81" t="s">
        <v>1</v>
      </c>
      <c r="H698" s="207"/>
      <c r="I698" s="207"/>
      <c r="K698" s="220" t="s">
        <v>1757</v>
      </c>
    </row>
    <row r="699" spans="1:27" s="205" customFormat="1" ht="15.75" customHeight="1">
      <c r="A699" s="205" t="s">
        <v>1758</v>
      </c>
      <c r="B699" s="206" t="s">
        <v>1759</v>
      </c>
      <c r="C699" s="79">
        <v>44199</v>
      </c>
      <c r="D699" s="80">
        <v>44402</v>
      </c>
      <c r="E699" s="41">
        <f>D699-C699</f>
        <v>203</v>
      </c>
      <c r="F699" s="43" t="s">
        <v>0</v>
      </c>
      <c r="G699" s="81" t="s">
        <v>1</v>
      </c>
      <c r="H699" s="207"/>
      <c r="I699" s="81" t="s">
        <v>21</v>
      </c>
      <c r="K699" s="220" t="s">
        <v>1760</v>
      </c>
    </row>
    <row r="700" spans="1:27" s="205" customFormat="1">
      <c r="A700" s="42" t="s">
        <v>1224</v>
      </c>
      <c r="B700" s="206" t="s">
        <v>1761</v>
      </c>
      <c r="C700" s="79">
        <v>43613</v>
      </c>
      <c r="D700" s="80">
        <v>44404</v>
      </c>
      <c r="E700" s="41">
        <f>D700-C700</f>
        <v>791</v>
      </c>
      <c r="F700" s="83" t="s">
        <v>0</v>
      </c>
      <c r="G700" s="81" t="s">
        <v>1</v>
      </c>
      <c r="H700" s="207"/>
      <c r="I700" s="207"/>
      <c r="J700" s="87"/>
      <c r="K700" s="53" t="s">
        <v>1762</v>
      </c>
      <c r="L700" s="87" t="s">
        <v>1763</v>
      </c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</row>
    <row r="701" spans="1:27" s="205" customFormat="1" ht="15.75" customHeight="1">
      <c r="A701" s="42" t="s">
        <v>1764</v>
      </c>
      <c r="B701" s="206" t="s">
        <v>1764</v>
      </c>
      <c r="C701" s="39">
        <v>44044</v>
      </c>
      <c r="D701" s="80">
        <v>44405</v>
      </c>
      <c r="E701" s="41">
        <f>D701-C701</f>
        <v>361</v>
      </c>
      <c r="F701" s="207" t="s">
        <v>1570</v>
      </c>
      <c r="G701" s="207"/>
      <c r="H701" s="207"/>
      <c r="I701" s="207"/>
      <c r="K701" s="220" t="s">
        <v>1765</v>
      </c>
    </row>
    <row r="702" spans="1:27" s="205" customFormat="1" ht="15.75" customHeight="1">
      <c r="A702" s="87" t="s">
        <v>1766</v>
      </c>
      <c r="B702" s="221" t="s">
        <v>1767</v>
      </c>
      <c r="C702" s="79">
        <v>44364</v>
      </c>
      <c r="D702" s="80">
        <v>44407</v>
      </c>
      <c r="E702" s="41">
        <f>D702-C702</f>
        <v>43</v>
      </c>
      <c r="F702" s="83" t="s">
        <v>263</v>
      </c>
      <c r="G702" s="207"/>
      <c r="H702" s="207"/>
      <c r="I702" s="207"/>
    </row>
    <row r="703" spans="1:27" s="205" customFormat="1" ht="15.75" customHeight="1">
      <c r="A703" s="42" t="s">
        <v>1768</v>
      </c>
      <c r="B703" s="206" t="s">
        <v>1768</v>
      </c>
      <c r="C703" s="79">
        <v>44279</v>
      </c>
      <c r="D703" s="80">
        <v>44407</v>
      </c>
      <c r="E703" s="41">
        <f>D703-C703</f>
        <v>128</v>
      </c>
      <c r="F703" s="83" t="s">
        <v>263</v>
      </c>
      <c r="G703" s="207"/>
      <c r="H703" s="207"/>
      <c r="I703" s="207"/>
    </row>
    <row r="704" spans="1:27" s="205" customFormat="1" ht="15.75" customHeight="1">
      <c r="A704" s="205" t="s">
        <v>1769</v>
      </c>
      <c r="B704" s="206" t="s">
        <v>1770</v>
      </c>
      <c r="C704" s="79">
        <v>44304</v>
      </c>
      <c r="D704" s="80">
        <v>44408</v>
      </c>
      <c r="E704" s="41">
        <f>D704-C704</f>
        <v>104</v>
      </c>
      <c r="F704" s="43" t="s">
        <v>0</v>
      </c>
      <c r="G704" s="81" t="s">
        <v>1</v>
      </c>
      <c r="H704" s="207"/>
      <c r="I704" s="207"/>
      <c r="K704" s="220" t="s">
        <v>1771</v>
      </c>
    </row>
    <row r="705" spans="1:27" s="205" customFormat="1" ht="15.75" customHeight="1">
      <c r="A705" s="205" t="s">
        <v>1134</v>
      </c>
      <c r="B705" s="221" t="s">
        <v>1772</v>
      </c>
      <c r="C705" s="79">
        <v>43661</v>
      </c>
      <c r="D705" s="79">
        <v>44409</v>
      </c>
      <c r="E705" s="41">
        <f>D705-C705</f>
        <v>748</v>
      </c>
      <c r="F705" s="83" t="s">
        <v>54</v>
      </c>
      <c r="G705" s="81" t="s">
        <v>33</v>
      </c>
      <c r="H705" s="207"/>
      <c r="I705" s="207"/>
      <c r="J705" s="87"/>
      <c r="K705" s="53" t="s">
        <v>1773</v>
      </c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</row>
    <row r="706" spans="1:27" s="205" customFormat="1" ht="15.75" customHeight="1">
      <c r="A706" s="87" t="s">
        <v>1774</v>
      </c>
      <c r="B706" s="206" t="s">
        <v>1775</v>
      </c>
      <c r="C706" s="79">
        <v>44222</v>
      </c>
      <c r="D706" s="79">
        <v>44410</v>
      </c>
      <c r="E706" s="41">
        <f>D706-C706</f>
        <v>188</v>
      </c>
      <c r="F706" s="43" t="s">
        <v>0</v>
      </c>
      <c r="G706" s="81" t="s">
        <v>1</v>
      </c>
      <c r="H706" s="207"/>
      <c r="I706" s="207"/>
      <c r="K706" s="220" t="s">
        <v>1776</v>
      </c>
    </row>
    <row r="707" spans="1:27" s="205" customFormat="1" ht="15.75" customHeight="1">
      <c r="A707" s="205" t="s">
        <v>565</v>
      </c>
      <c r="B707" s="222" t="s">
        <v>627</v>
      </c>
      <c r="C707" s="79">
        <v>43738</v>
      </c>
      <c r="D707" s="79">
        <v>44419</v>
      </c>
      <c r="E707" s="41">
        <f>D707-C707</f>
        <v>681</v>
      </c>
      <c r="F707" s="83" t="s">
        <v>0</v>
      </c>
      <c r="G707" s="81" t="s">
        <v>1</v>
      </c>
      <c r="H707" s="207"/>
      <c r="I707" s="207"/>
      <c r="J707" s="87"/>
      <c r="K707" s="53" t="s">
        <v>1777</v>
      </c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</row>
    <row r="708" spans="1:27" s="205" customFormat="1" ht="15.75" customHeight="1">
      <c r="A708" s="87" t="s">
        <v>1778</v>
      </c>
      <c r="B708" s="221" t="s">
        <v>1779</v>
      </c>
      <c r="C708" s="79">
        <v>44398</v>
      </c>
      <c r="D708" s="80">
        <v>44426</v>
      </c>
      <c r="E708" s="41">
        <f>D708-C708</f>
        <v>28</v>
      </c>
      <c r="F708" s="43" t="s">
        <v>0</v>
      </c>
      <c r="G708" s="207"/>
      <c r="H708" s="207"/>
      <c r="I708" s="207"/>
      <c r="K708" s="220" t="s">
        <v>1780</v>
      </c>
    </row>
    <row r="709" spans="1:27" s="205" customFormat="1" ht="15.75" customHeight="1">
      <c r="A709" s="87" t="s">
        <v>1781</v>
      </c>
      <c r="B709" s="221" t="s">
        <v>1782</v>
      </c>
      <c r="C709" s="79">
        <v>44336</v>
      </c>
      <c r="D709" s="80">
        <v>44431</v>
      </c>
      <c r="E709" s="41">
        <f>D709-C709</f>
        <v>95</v>
      </c>
      <c r="F709" s="207" t="s">
        <v>1758</v>
      </c>
      <c r="G709" s="81" t="s">
        <v>33</v>
      </c>
      <c r="H709" s="207"/>
      <c r="I709" s="207"/>
      <c r="K709" s="220" t="s">
        <v>1783</v>
      </c>
    </row>
    <row r="710" spans="1:27" s="205" customFormat="1" ht="15.75" customHeight="1">
      <c r="A710" s="42" t="s">
        <v>694</v>
      </c>
      <c r="B710" s="206" t="s">
        <v>695</v>
      </c>
      <c r="C710" s="39">
        <v>44384</v>
      </c>
      <c r="D710" s="39">
        <v>44432</v>
      </c>
      <c r="E710" s="41">
        <f>D710-C710</f>
        <v>48</v>
      </c>
      <c r="F710" s="43" t="s">
        <v>0</v>
      </c>
      <c r="G710" s="45" t="s">
        <v>33</v>
      </c>
      <c r="H710" s="207"/>
      <c r="I710" s="207"/>
      <c r="J710" s="87"/>
      <c r="K710" s="53" t="s">
        <v>696</v>
      </c>
    </row>
    <row r="711" spans="1:27" s="205" customFormat="1" ht="15.75" customHeight="1">
      <c r="A711" s="42" t="s">
        <v>1784</v>
      </c>
      <c r="B711" s="206" t="s">
        <v>1785</v>
      </c>
      <c r="C711" s="79">
        <v>43919</v>
      </c>
      <c r="D711" s="80">
        <v>44436</v>
      </c>
      <c r="E711" s="41">
        <f>D711-C711</f>
        <v>517</v>
      </c>
      <c r="F711" s="83" t="s">
        <v>0</v>
      </c>
      <c r="G711" s="207"/>
      <c r="H711" s="207"/>
      <c r="I711" s="207"/>
      <c r="K711" s="53" t="s">
        <v>1786</v>
      </c>
    </row>
    <row r="712" spans="1:27" s="205" customFormat="1" ht="15.75" customHeight="1">
      <c r="A712" s="87" t="s">
        <v>1787</v>
      </c>
      <c r="B712" s="221" t="s">
        <v>1788</v>
      </c>
      <c r="C712" s="79">
        <v>44436</v>
      </c>
      <c r="D712" s="80">
        <v>44438</v>
      </c>
      <c r="E712" s="41">
        <f>D712-C712</f>
        <v>2</v>
      </c>
      <c r="F712" s="208" t="s">
        <v>1789</v>
      </c>
      <c r="G712" s="207"/>
      <c r="H712" s="207"/>
      <c r="I712" s="207"/>
    </row>
    <row r="713" spans="1:27" s="205" customFormat="1" ht="15.75" customHeight="1">
      <c r="A713" s="205" t="s">
        <v>1790</v>
      </c>
      <c r="B713" s="221" t="s">
        <v>1791</v>
      </c>
      <c r="C713" s="79">
        <v>44424</v>
      </c>
      <c r="D713" s="79">
        <v>44439</v>
      </c>
      <c r="E713" s="41">
        <f>D713-C713</f>
        <v>15</v>
      </c>
      <c r="F713" s="43" t="s">
        <v>0</v>
      </c>
      <c r="G713" s="207"/>
      <c r="H713" s="207"/>
      <c r="I713" s="20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</row>
    <row r="714" spans="1:27" s="205" customFormat="1" ht="15.75" customHeight="1">
      <c r="A714" s="86" t="s">
        <v>853</v>
      </c>
      <c r="B714" s="222" t="s">
        <v>1792</v>
      </c>
      <c r="C714" s="79">
        <v>43715</v>
      </c>
      <c r="D714" s="79">
        <v>44439</v>
      </c>
      <c r="E714" s="41">
        <f>D714-C714</f>
        <v>724</v>
      </c>
      <c r="F714" s="83" t="s">
        <v>1327</v>
      </c>
      <c r="G714" s="81" t="s">
        <v>1</v>
      </c>
      <c r="H714" s="207"/>
      <c r="I714" s="207"/>
      <c r="J714" s="87"/>
      <c r="K714" s="53" t="s">
        <v>1793</v>
      </c>
      <c r="L714" s="87"/>
      <c r="M714" s="87"/>
    </row>
    <row r="715" spans="1:27" s="205" customFormat="1" ht="15.75" customHeight="1">
      <c r="A715" s="205" t="s">
        <v>1794</v>
      </c>
      <c r="B715" s="221" t="s">
        <v>1795</v>
      </c>
      <c r="C715" s="79">
        <v>44419</v>
      </c>
      <c r="D715" s="80">
        <v>44440</v>
      </c>
      <c r="E715" s="41">
        <f>D715-C715</f>
        <v>21</v>
      </c>
      <c r="F715" s="208" t="s">
        <v>1796</v>
      </c>
      <c r="G715" s="207"/>
      <c r="H715" s="207"/>
      <c r="I715" s="207"/>
    </row>
    <row r="716" spans="1:27" s="205" customFormat="1" ht="15.75" customHeight="1">
      <c r="A716" s="87" t="s">
        <v>1797</v>
      </c>
      <c r="B716" s="221" t="s">
        <v>1798</v>
      </c>
      <c r="C716" s="79">
        <v>44399</v>
      </c>
      <c r="D716" s="80">
        <v>44440</v>
      </c>
      <c r="E716" s="41">
        <f>D716-C716</f>
        <v>41</v>
      </c>
      <c r="F716" s="208" t="s">
        <v>98</v>
      </c>
      <c r="G716" s="207"/>
      <c r="H716" s="207"/>
      <c r="I716" s="207"/>
    </row>
    <row r="717" spans="1:27" s="205" customFormat="1" ht="15.75" customHeight="1">
      <c r="A717" s="205" t="s">
        <v>359</v>
      </c>
      <c r="B717" s="206" t="s">
        <v>360</v>
      </c>
      <c r="C717" s="39">
        <v>44394</v>
      </c>
      <c r="D717" s="39">
        <v>44442</v>
      </c>
      <c r="E717" s="41">
        <f>D717-C717</f>
        <v>48</v>
      </c>
      <c r="F717" s="43" t="s">
        <v>0</v>
      </c>
      <c r="G717" s="45" t="s">
        <v>995</v>
      </c>
      <c r="H717" s="207"/>
      <c r="I717" s="207"/>
      <c r="K717" s="220" t="s">
        <v>362</v>
      </c>
    </row>
    <row r="718" spans="1:27" s="205" customFormat="1" ht="15.75" customHeight="1">
      <c r="A718" s="205" t="s">
        <v>1799</v>
      </c>
      <c r="B718" s="221" t="s">
        <v>1800</v>
      </c>
      <c r="C718" s="79">
        <v>44429</v>
      </c>
      <c r="D718" s="80">
        <v>44443</v>
      </c>
      <c r="E718" s="41">
        <f>D718-C718</f>
        <v>14</v>
      </c>
      <c r="F718" s="208" t="s">
        <v>151</v>
      </c>
      <c r="G718" s="207"/>
      <c r="H718" s="207"/>
      <c r="I718" s="207"/>
    </row>
    <row r="719" spans="1:27" s="205" customFormat="1" ht="15.75" customHeight="1">
      <c r="A719" s="87" t="s">
        <v>1801</v>
      </c>
      <c r="B719" s="221" t="s">
        <v>1802</v>
      </c>
      <c r="C719" s="79">
        <v>44399</v>
      </c>
      <c r="D719" s="80">
        <v>44443</v>
      </c>
      <c r="E719" s="41">
        <f>D719-C719</f>
        <v>44</v>
      </c>
      <c r="F719" s="43" t="s">
        <v>0</v>
      </c>
      <c r="G719" s="207"/>
      <c r="H719" s="207"/>
      <c r="I719" s="207"/>
    </row>
    <row r="720" spans="1:27" s="205" customFormat="1" ht="15.75" customHeight="1">
      <c r="A720" s="42" t="s">
        <v>1117</v>
      </c>
      <c r="B720" s="206" t="s">
        <v>1118</v>
      </c>
      <c r="C720" s="39">
        <v>44093</v>
      </c>
      <c r="D720" s="80">
        <v>44443</v>
      </c>
      <c r="E720" s="41">
        <f>D720-C720</f>
        <v>350</v>
      </c>
      <c r="F720" s="43" t="s">
        <v>0</v>
      </c>
      <c r="G720" s="45" t="s">
        <v>33</v>
      </c>
      <c r="H720" s="207"/>
      <c r="I720" s="207"/>
      <c r="K720" s="53" t="s">
        <v>1120</v>
      </c>
    </row>
    <row r="721" spans="1:12" s="205" customFormat="1" ht="15.75" customHeight="1">
      <c r="A721" s="42" t="s">
        <v>970</v>
      </c>
      <c r="B721" s="206" t="s">
        <v>971</v>
      </c>
      <c r="C721" s="39">
        <v>44361</v>
      </c>
      <c r="D721" s="39">
        <v>44448</v>
      </c>
      <c r="E721" s="41">
        <f>D721-C721</f>
        <v>87</v>
      </c>
      <c r="F721" s="43" t="s">
        <v>0</v>
      </c>
      <c r="G721" s="45" t="s">
        <v>1</v>
      </c>
      <c r="H721" s="207"/>
      <c r="I721" s="207"/>
    </row>
    <row r="722" spans="1:12" s="205" customFormat="1" ht="15.75" customHeight="1">
      <c r="A722" s="205" t="s">
        <v>1789</v>
      </c>
      <c r="B722" s="221" t="s">
        <v>1803</v>
      </c>
      <c r="C722" s="79">
        <v>44362</v>
      </c>
      <c r="D722" s="80">
        <v>44449</v>
      </c>
      <c r="E722" s="41">
        <f>D722-C722</f>
        <v>87</v>
      </c>
      <c r="F722" s="45" t="s">
        <v>1804</v>
      </c>
      <c r="G722" s="81" t="s">
        <v>487</v>
      </c>
      <c r="H722" s="207"/>
      <c r="I722" s="207"/>
    </row>
    <row r="723" spans="1:12" s="205" customFormat="1" ht="15.75" customHeight="1">
      <c r="A723" s="205" t="s">
        <v>1805</v>
      </c>
      <c r="B723" s="221" t="s">
        <v>1806</v>
      </c>
      <c r="C723" s="79">
        <v>44347</v>
      </c>
      <c r="D723" s="80">
        <v>44449</v>
      </c>
      <c r="E723" s="41">
        <f>D723-C723</f>
        <v>102</v>
      </c>
      <c r="F723" s="43" t="s">
        <v>0</v>
      </c>
      <c r="G723" s="81" t="s">
        <v>1</v>
      </c>
      <c r="H723" s="207"/>
      <c r="I723" s="207"/>
      <c r="K723" s="220" t="s">
        <v>1807</v>
      </c>
    </row>
    <row r="724" spans="1:12" s="205" customFormat="1" ht="15.75" customHeight="1">
      <c r="A724" s="205" t="s">
        <v>1808</v>
      </c>
      <c r="B724" s="206" t="s">
        <v>1809</v>
      </c>
      <c r="C724" s="79">
        <v>44309</v>
      </c>
      <c r="D724" s="80">
        <v>44449</v>
      </c>
      <c r="E724" s="41">
        <f>D724-C724</f>
        <v>140</v>
      </c>
      <c r="F724" s="43" t="s">
        <v>0</v>
      </c>
      <c r="G724" s="81" t="s">
        <v>33</v>
      </c>
      <c r="H724" s="207"/>
      <c r="I724" s="207"/>
      <c r="K724" s="220" t="s">
        <v>1810</v>
      </c>
    </row>
    <row r="725" spans="1:12" s="205" customFormat="1" ht="15.75" customHeight="1">
      <c r="A725" s="205" t="s">
        <v>1811</v>
      </c>
      <c r="B725" s="206" t="s">
        <v>1812</v>
      </c>
      <c r="C725" s="79">
        <v>44296</v>
      </c>
      <c r="D725" s="80">
        <v>44449</v>
      </c>
      <c r="E725" s="41">
        <f>D725-C725</f>
        <v>153</v>
      </c>
      <c r="F725" s="43" t="s">
        <v>0</v>
      </c>
      <c r="G725" s="207"/>
      <c r="H725" s="207"/>
      <c r="I725" s="207"/>
    </row>
    <row r="726" spans="1:12" s="205" customFormat="1" ht="15.75" customHeight="1">
      <c r="A726" s="87" t="s">
        <v>1813</v>
      </c>
      <c r="B726" s="221" t="s">
        <v>1814</v>
      </c>
      <c r="C726" s="79">
        <v>44439</v>
      </c>
      <c r="D726" s="80">
        <v>44450</v>
      </c>
      <c r="E726" s="41">
        <f>D726-C726</f>
        <v>11</v>
      </c>
      <c r="F726" s="208" t="s">
        <v>1362</v>
      </c>
      <c r="G726" s="207"/>
      <c r="H726" s="207"/>
      <c r="I726" s="207"/>
    </row>
    <row r="727" spans="1:12" s="205" customFormat="1" ht="15.75" customHeight="1">
      <c r="A727" s="205" t="s">
        <v>1815</v>
      </c>
      <c r="B727" s="221" t="s">
        <v>1816</v>
      </c>
      <c r="C727" s="79">
        <v>44429</v>
      </c>
      <c r="D727" s="80">
        <v>44450</v>
      </c>
      <c r="E727" s="41">
        <f>D727-C727</f>
        <v>21</v>
      </c>
      <c r="F727" s="81" t="s">
        <v>1817</v>
      </c>
      <c r="G727" s="207"/>
      <c r="H727" s="207"/>
      <c r="I727" s="207"/>
    </row>
    <row r="728" spans="1:12" s="205" customFormat="1" ht="15.75" customHeight="1">
      <c r="A728" s="42" t="s">
        <v>1818</v>
      </c>
      <c r="B728" s="206" t="s">
        <v>1819</v>
      </c>
      <c r="C728" s="79">
        <v>44118</v>
      </c>
      <c r="D728" s="80">
        <v>44450</v>
      </c>
      <c r="E728" s="41">
        <f>D728-C728</f>
        <v>332</v>
      </c>
      <c r="F728" s="43" t="s">
        <v>0</v>
      </c>
      <c r="G728" s="81" t="s">
        <v>1</v>
      </c>
      <c r="H728" s="207"/>
      <c r="I728" s="207"/>
      <c r="K728" s="220" t="s">
        <v>1820</v>
      </c>
    </row>
    <row r="729" spans="1:12" s="205" customFormat="1" ht="15.75" customHeight="1">
      <c r="A729" s="87" t="s">
        <v>1821</v>
      </c>
      <c r="B729" s="221" t="s">
        <v>1822</v>
      </c>
      <c r="C729" s="79">
        <v>44446</v>
      </c>
      <c r="D729" s="80">
        <v>44454</v>
      </c>
      <c r="E729" s="41">
        <f>D729-C729</f>
        <v>8</v>
      </c>
      <c r="F729" s="83" t="s">
        <v>144</v>
      </c>
      <c r="G729" s="207"/>
      <c r="H729" s="207"/>
      <c r="I729" s="207"/>
    </row>
    <row r="730" spans="1:12" s="205" customFormat="1" ht="15.75" customHeight="1">
      <c r="A730" s="65" t="s">
        <v>1823</v>
      </c>
      <c r="B730" s="206" t="s">
        <v>1824</v>
      </c>
      <c r="C730" s="39">
        <v>44312</v>
      </c>
      <c r="D730" s="80">
        <v>44455</v>
      </c>
      <c r="E730" s="41">
        <f>D730-C730</f>
        <v>143</v>
      </c>
      <c r="F730" s="43" t="s">
        <v>0</v>
      </c>
      <c r="G730" s="81" t="s">
        <v>33</v>
      </c>
      <c r="H730" s="207"/>
      <c r="I730" s="207"/>
    </row>
    <row r="731" spans="1:12" s="205" customFormat="1" ht="15.75" customHeight="1">
      <c r="A731" s="205" t="s">
        <v>1825</v>
      </c>
      <c r="B731" s="221" t="s">
        <v>1826</v>
      </c>
      <c r="C731" s="79">
        <v>44451</v>
      </c>
      <c r="D731" s="80">
        <v>44457</v>
      </c>
      <c r="E731" s="41">
        <f>D731-C731</f>
        <v>6</v>
      </c>
      <c r="F731" s="208" t="s">
        <v>1570</v>
      </c>
      <c r="G731" s="207"/>
      <c r="H731" s="207"/>
      <c r="I731" s="207"/>
    </row>
    <row r="732" spans="1:12" s="205" customFormat="1" ht="15.75" customHeight="1">
      <c r="A732" s="205" t="s">
        <v>988</v>
      </c>
      <c r="B732" s="206" t="s">
        <v>1085</v>
      </c>
      <c r="C732" s="39">
        <v>44308</v>
      </c>
      <c r="D732" s="80">
        <v>44457</v>
      </c>
      <c r="E732" s="41">
        <f>D732-C732</f>
        <v>149</v>
      </c>
      <c r="F732" s="43" t="s">
        <v>0</v>
      </c>
      <c r="G732" s="45" t="s">
        <v>995</v>
      </c>
      <c r="H732" s="207"/>
      <c r="I732" s="207"/>
      <c r="K732" s="220" t="s">
        <v>1086</v>
      </c>
    </row>
    <row r="733" spans="1:12" s="205" customFormat="1" ht="15.75" customHeight="1">
      <c r="A733" s="87" t="s">
        <v>1827</v>
      </c>
      <c r="B733" s="221" t="s">
        <v>1828</v>
      </c>
      <c r="C733" s="39">
        <v>44387</v>
      </c>
      <c r="D733" s="80">
        <v>44463</v>
      </c>
      <c r="E733" s="41">
        <f>D733-C733</f>
        <v>76</v>
      </c>
      <c r="F733" s="83" t="s">
        <v>1499</v>
      </c>
      <c r="G733" s="207"/>
      <c r="H733" s="207"/>
      <c r="I733" s="207"/>
    </row>
    <row r="734" spans="1:12" s="205" customFormat="1" ht="15.75" customHeight="1">
      <c r="A734" s="205" t="s">
        <v>1715</v>
      </c>
      <c r="B734" s="206" t="s">
        <v>1716</v>
      </c>
      <c r="C734" s="79">
        <v>44413</v>
      </c>
      <c r="D734" s="80">
        <v>44464</v>
      </c>
      <c r="E734" s="41">
        <f>D734-C734</f>
        <v>51</v>
      </c>
      <c r="F734" s="43" t="s">
        <v>0</v>
      </c>
      <c r="G734" s="45" t="s">
        <v>1</v>
      </c>
      <c r="H734" s="207"/>
      <c r="I734" s="207"/>
      <c r="K734" s="220" t="s">
        <v>1717</v>
      </c>
      <c r="L734" s="42" t="s">
        <v>1718</v>
      </c>
    </row>
    <row r="735" spans="1:12" s="205" customFormat="1" ht="15.75" customHeight="1">
      <c r="A735" s="65" t="s">
        <v>1829</v>
      </c>
      <c r="B735" s="206" t="s">
        <v>1829</v>
      </c>
      <c r="C735" s="79">
        <v>44318</v>
      </c>
      <c r="D735" s="80">
        <v>44464</v>
      </c>
      <c r="E735" s="41">
        <f>D735-C735</f>
        <v>146</v>
      </c>
      <c r="F735" s="43" t="s">
        <v>1468</v>
      </c>
      <c r="G735" s="207"/>
      <c r="H735" s="207"/>
      <c r="I735" s="207"/>
      <c r="L735" s="87" t="s">
        <v>1830</v>
      </c>
    </row>
    <row r="736" spans="1:12" s="205" customFormat="1" ht="15.75" customHeight="1">
      <c r="A736" s="205" t="s">
        <v>1831</v>
      </c>
      <c r="B736" s="206" t="s">
        <v>1832</v>
      </c>
      <c r="C736" s="79">
        <v>44200</v>
      </c>
      <c r="D736" s="80">
        <v>44464</v>
      </c>
      <c r="E736" s="41">
        <f>D736-C736</f>
        <v>264</v>
      </c>
      <c r="F736" s="43" t="s">
        <v>0</v>
      </c>
      <c r="G736" s="81" t="s">
        <v>43</v>
      </c>
      <c r="H736" s="207"/>
      <c r="I736" s="207"/>
    </row>
    <row r="737" spans="1:12" s="205" customFormat="1" ht="15.75" customHeight="1">
      <c r="A737" s="205" t="s">
        <v>1598</v>
      </c>
      <c r="B737" s="206" t="s">
        <v>1833</v>
      </c>
      <c r="C737" s="79">
        <v>44142</v>
      </c>
      <c r="D737" s="80">
        <v>44464</v>
      </c>
      <c r="E737" s="41">
        <f>D737-C737</f>
        <v>322</v>
      </c>
      <c r="F737" s="43" t="s">
        <v>0</v>
      </c>
      <c r="G737" s="81" t="s">
        <v>26</v>
      </c>
      <c r="H737" s="207"/>
      <c r="I737" s="207"/>
      <c r="K737" s="220" t="s">
        <v>1834</v>
      </c>
    </row>
    <row r="738" spans="1:12" s="205" customFormat="1" ht="15.75" customHeight="1">
      <c r="A738" s="205" t="s">
        <v>1322</v>
      </c>
      <c r="B738" s="206" t="s">
        <v>1323</v>
      </c>
      <c r="C738" s="79">
        <v>44029</v>
      </c>
      <c r="D738" s="80">
        <v>44464</v>
      </c>
      <c r="E738" s="41">
        <f>D738-C738</f>
        <v>435</v>
      </c>
      <c r="F738" s="43" t="s">
        <v>0</v>
      </c>
      <c r="G738" s="207"/>
      <c r="H738" s="207"/>
      <c r="I738" s="81" t="s">
        <v>90</v>
      </c>
      <c r="K738" s="220" t="s">
        <v>1324</v>
      </c>
      <c r="L738" s="42" t="s">
        <v>1835</v>
      </c>
    </row>
    <row r="739" spans="1:12" s="205" customFormat="1" ht="15.75" customHeight="1">
      <c r="A739" s="205" t="s">
        <v>1836</v>
      </c>
      <c r="B739" s="221" t="s">
        <v>1837</v>
      </c>
      <c r="C739" s="79">
        <v>44462</v>
      </c>
      <c r="D739" s="40">
        <v>44467</v>
      </c>
      <c r="E739" s="41">
        <f>D739-C739</f>
        <v>5</v>
      </c>
      <c r="F739" s="83" t="s">
        <v>1838</v>
      </c>
      <c r="G739" s="207"/>
      <c r="H739" s="207"/>
      <c r="I739" s="207"/>
    </row>
    <row r="740" spans="1:12" s="205" customFormat="1" ht="15.75" customHeight="1">
      <c r="A740" s="42" t="s">
        <v>923</v>
      </c>
      <c r="B740" s="206" t="s">
        <v>924</v>
      </c>
      <c r="C740" s="79">
        <v>44437</v>
      </c>
      <c r="D740" s="40">
        <v>44467</v>
      </c>
      <c r="E740" s="41">
        <f>D740-C740</f>
        <v>30</v>
      </c>
      <c r="F740" s="43" t="s">
        <v>0</v>
      </c>
      <c r="G740" s="45" t="s">
        <v>1357</v>
      </c>
      <c r="H740" s="207"/>
      <c r="I740" s="207"/>
    </row>
    <row r="741" spans="1:12" s="205" customFormat="1" ht="15.75" customHeight="1">
      <c r="A741" s="87" t="s">
        <v>1838</v>
      </c>
      <c r="B741" s="221" t="s">
        <v>1839</v>
      </c>
      <c r="C741" s="79">
        <v>44425</v>
      </c>
      <c r="D741" s="40">
        <v>44467</v>
      </c>
      <c r="E741" s="41">
        <f>D741-C741</f>
        <v>42</v>
      </c>
      <c r="F741" s="207" t="s">
        <v>1840</v>
      </c>
      <c r="G741" s="207"/>
      <c r="H741" s="207"/>
      <c r="I741" s="207"/>
    </row>
    <row r="742" spans="1:12" s="205" customFormat="1" ht="15.75" customHeight="1">
      <c r="A742" s="42" t="s">
        <v>1219</v>
      </c>
      <c r="B742" s="206" t="s">
        <v>1220</v>
      </c>
      <c r="C742" s="39">
        <v>44381</v>
      </c>
      <c r="D742" s="39">
        <v>44469</v>
      </c>
      <c r="E742" s="41">
        <f>D742-C742</f>
        <v>88</v>
      </c>
      <c r="F742" s="43" t="s">
        <v>0</v>
      </c>
      <c r="G742" s="45" t="s">
        <v>487</v>
      </c>
      <c r="H742" s="207"/>
      <c r="I742" s="207"/>
      <c r="K742" s="53" t="s">
        <v>1221</v>
      </c>
      <c r="L742" s="205" t="s">
        <v>1841</v>
      </c>
    </row>
    <row r="743" spans="1:12" s="205" customFormat="1" ht="15.75" customHeight="1">
      <c r="A743" s="87" t="s">
        <v>1842</v>
      </c>
      <c r="B743" s="221" t="s">
        <v>1843</v>
      </c>
      <c r="C743" s="79">
        <v>44453</v>
      </c>
      <c r="D743" s="80">
        <v>44471</v>
      </c>
      <c r="E743" s="41">
        <f>D743-C743</f>
        <v>18</v>
      </c>
      <c r="F743" s="43" t="s">
        <v>0</v>
      </c>
      <c r="G743" s="207"/>
      <c r="H743" s="207"/>
      <c r="I743" s="207"/>
    </row>
    <row r="744" spans="1:12" s="205" customFormat="1" ht="15.75" customHeight="1">
      <c r="A744" s="65" t="s">
        <v>1683</v>
      </c>
      <c r="B744" s="206" t="s">
        <v>1684</v>
      </c>
      <c r="C744" s="79">
        <v>44411</v>
      </c>
      <c r="D744" s="80">
        <v>44471</v>
      </c>
      <c r="E744" s="41">
        <f>D744-C744</f>
        <v>60</v>
      </c>
      <c r="F744" s="43" t="s">
        <v>0</v>
      </c>
      <c r="G744" s="207"/>
      <c r="H744" s="207"/>
      <c r="I744" s="207"/>
      <c r="K744" s="220" t="s">
        <v>1844</v>
      </c>
    </row>
    <row r="745" spans="1:12" s="205" customFormat="1" ht="15.75" customHeight="1">
      <c r="A745" s="205" t="s">
        <v>1845</v>
      </c>
      <c r="B745" s="221" t="s">
        <v>1846</v>
      </c>
      <c r="C745" s="79">
        <v>44413</v>
      </c>
      <c r="D745" s="80">
        <v>44473</v>
      </c>
      <c r="E745" s="41">
        <f>D745-C745</f>
        <v>60</v>
      </c>
      <c r="F745" s="43" t="s">
        <v>0</v>
      </c>
      <c r="G745" s="81" t="s">
        <v>230</v>
      </c>
      <c r="H745" s="207"/>
      <c r="I745" s="207"/>
    </row>
    <row r="746" spans="1:12" s="205" customFormat="1" ht="15.75" customHeight="1">
      <c r="A746" s="205" t="s">
        <v>1847</v>
      </c>
      <c r="B746" s="221" t="s">
        <v>1848</v>
      </c>
      <c r="C746" s="39">
        <v>44361</v>
      </c>
      <c r="D746" s="80">
        <v>44477</v>
      </c>
      <c r="E746" s="41">
        <f>D746-C746</f>
        <v>116</v>
      </c>
      <c r="F746" s="43" t="s">
        <v>0</v>
      </c>
      <c r="G746" s="207"/>
      <c r="H746" s="207"/>
      <c r="I746" s="207"/>
    </row>
    <row r="747" spans="1:12" s="205" customFormat="1" ht="15.75" customHeight="1">
      <c r="A747" s="87" t="s">
        <v>1849</v>
      </c>
      <c r="B747" s="221" t="s">
        <v>1849</v>
      </c>
      <c r="C747" s="79">
        <v>44469</v>
      </c>
      <c r="D747" s="80">
        <v>44478</v>
      </c>
      <c r="E747" s="41">
        <f>D747-C747</f>
        <v>9</v>
      </c>
      <c r="F747" s="83" t="s">
        <v>196</v>
      </c>
      <c r="G747" s="207"/>
      <c r="H747" s="207"/>
      <c r="I747" s="207"/>
    </row>
    <row r="748" spans="1:12" s="205" customFormat="1" ht="15.75" customHeight="1">
      <c r="A748" s="42" t="s">
        <v>668</v>
      </c>
      <c r="B748" s="206" t="s">
        <v>669</v>
      </c>
      <c r="C748" s="39">
        <v>44356</v>
      </c>
      <c r="D748" s="80">
        <v>44478</v>
      </c>
      <c r="E748" s="41">
        <f>D748-C748</f>
        <v>122</v>
      </c>
      <c r="F748" s="43" t="s">
        <v>0</v>
      </c>
      <c r="G748" s="207"/>
      <c r="H748" s="207"/>
      <c r="I748" s="207"/>
    </row>
    <row r="749" spans="1:12" s="205" customFormat="1" ht="15.75" customHeight="1">
      <c r="A749" s="87" t="s">
        <v>1850</v>
      </c>
      <c r="B749" s="221" t="s">
        <v>1851</v>
      </c>
      <c r="C749" s="79">
        <v>44370</v>
      </c>
      <c r="D749" s="80">
        <v>44479</v>
      </c>
      <c r="E749" s="41">
        <f>D749-C749</f>
        <v>109</v>
      </c>
      <c r="F749" s="43" t="s">
        <v>0</v>
      </c>
      <c r="G749" s="45" t="s">
        <v>26</v>
      </c>
      <c r="H749" s="207"/>
      <c r="I749" s="81" t="s">
        <v>90</v>
      </c>
      <c r="K749" s="220" t="s">
        <v>1852</v>
      </c>
    </row>
    <row r="750" spans="1:12" s="205" customFormat="1" ht="15.75" customHeight="1">
      <c r="A750" s="87" t="s">
        <v>1853</v>
      </c>
      <c r="B750" s="221" t="s">
        <v>1853</v>
      </c>
      <c r="C750" s="79">
        <v>44451</v>
      </c>
      <c r="D750" s="80">
        <v>44480</v>
      </c>
      <c r="E750" s="41">
        <f>D750-C750</f>
        <v>29</v>
      </c>
      <c r="F750" s="208" t="s">
        <v>1570</v>
      </c>
      <c r="G750" s="207"/>
      <c r="H750" s="207"/>
      <c r="I750" s="207"/>
    </row>
    <row r="751" spans="1:12" s="205" customFormat="1" ht="15.75" customHeight="1">
      <c r="A751" s="87" t="s">
        <v>1854</v>
      </c>
      <c r="B751" s="221" t="s">
        <v>1855</v>
      </c>
      <c r="C751" s="79">
        <v>44419</v>
      </c>
      <c r="D751" s="80">
        <v>44480</v>
      </c>
      <c r="E751" s="41">
        <f>D751-C751</f>
        <v>61</v>
      </c>
      <c r="F751" s="43" t="s">
        <v>0</v>
      </c>
      <c r="G751" s="207"/>
      <c r="H751" s="207"/>
      <c r="I751" s="207"/>
      <c r="K751" s="220" t="s">
        <v>1856</v>
      </c>
    </row>
    <row r="752" spans="1:12" s="205" customFormat="1" ht="15.75" customHeight="1">
      <c r="A752" s="205" t="s">
        <v>1642</v>
      </c>
      <c r="B752" s="206" t="s">
        <v>1643</v>
      </c>
      <c r="C752" s="39">
        <v>44358</v>
      </c>
      <c r="D752" s="39">
        <v>44482</v>
      </c>
      <c r="E752" s="41">
        <f>D752-C752</f>
        <v>124</v>
      </c>
      <c r="F752" s="43" t="s">
        <v>74</v>
      </c>
      <c r="G752" s="207"/>
      <c r="H752" s="207"/>
      <c r="I752" s="207"/>
    </row>
    <row r="753" spans="1:12" s="205" customFormat="1" ht="15.75" customHeight="1">
      <c r="A753" s="87" t="s">
        <v>1857</v>
      </c>
      <c r="B753" s="221" t="s">
        <v>1858</v>
      </c>
      <c r="C753" s="79">
        <v>44456</v>
      </c>
      <c r="D753" s="80">
        <v>44484</v>
      </c>
      <c r="E753" s="41">
        <f>D753-C753</f>
        <v>28</v>
      </c>
      <c r="F753" s="208" t="s">
        <v>1845</v>
      </c>
      <c r="G753" s="81" t="s">
        <v>995</v>
      </c>
      <c r="H753" s="207"/>
      <c r="I753" s="207"/>
    </row>
    <row r="754" spans="1:12" s="205" customFormat="1" ht="15.75" customHeight="1">
      <c r="A754" s="87" t="s">
        <v>354</v>
      </c>
      <c r="B754" s="221" t="s">
        <v>355</v>
      </c>
      <c r="C754" s="79">
        <v>44375</v>
      </c>
      <c r="D754" s="80">
        <v>44484</v>
      </c>
      <c r="E754" s="41">
        <f>D754-C754</f>
        <v>109</v>
      </c>
      <c r="F754" s="43" t="s">
        <v>0</v>
      </c>
      <c r="G754" s="81" t="s">
        <v>26</v>
      </c>
      <c r="H754" s="207"/>
      <c r="I754" s="207"/>
      <c r="K754" s="220" t="s">
        <v>356</v>
      </c>
    </row>
    <row r="755" spans="1:12" s="205" customFormat="1" ht="15.75" customHeight="1">
      <c r="A755" s="205" t="s">
        <v>1449</v>
      </c>
      <c r="B755" s="206" t="s">
        <v>1859</v>
      </c>
      <c r="C755" s="79">
        <v>43844</v>
      </c>
      <c r="D755" s="80">
        <v>44485</v>
      </c>
      <c r="E755" s="41">
        <f>D755-C755</f>
        <v>641</v>
      </c>
      <c r="F755" s="83" t="s">
        <v>0</v>
      </c>
      <c r="G755" s="81" t="s">
        <v>43</v>
      </c>
      <c r="H755" s="207"/>
      <c r="I755" s="207"/>
      <c r="K755" s="53" t="s">
        <v>1860</v>
      </c>
    </row>
    <row r="756" spans="1:12" s="205" customFormat="1" ht="15.75" customHeight="1">
      <c r="A756" s="42" t="s">
        <v>745</v>
      </c>
      <c r="B756" s="206" t="s">
        <v>746</v>
      </c>
      <c r="C756" s="39">
        <v>44415</v>
      </c>
      <c r="D756" s="80">
        <v>44486</v>
      </c>
      <c r="E756" s="41">
        <f>D756-C756</f>
        <v>71</v>
      </c>
      <c r="F756" s="43" t="s">
        <v>0</v>
      </c>
      <c r="G756" s="207"/>
      <c r="H756" s="207"/>
      <c r="I756" s="207"/>
      <c r="J756" s="87"/>
      <c r="K756" s="87"/>
    </row>
    <row r="757" spans="1:12" s="205" customFormat="1" ht="15.75" customHeight="1">
      <c r="A757" s="205" t="s">
        <v>1861</v>
      </c>
      <c r="B757" s="221" t="s">
        <v>1862</v>
      </c>
      <c r="C757" s="79">
        <v>44327</v>
      </c>
      <c r="D757" s="80">
        <v>44486</v>
      </c>
      <c r="E757" s="41">
        <f>D757-C757</f>
        <v>159</v>
      </c>
      <c r="F757" s="43" t="s">
        <v>0</v>
      </c>
      <c r="G757" s="207"/>
      <c r="H757" s="207"/>
      <c r="I757" s="207"/>
      <c r="K757" s="220" t="s">
        <v>1863</v>
      </c>
    </row>
    <row r="758" spans="1:12" s="205" customFormat="1" ht="15.75" customHeight="1">
      <c r="A758" s="205" t="s">
        <v>1570</v>
      </c>
      <c r="B758" s="206" t="s">
        <v>1864</v>
      </c>
      <c r="C758" s="79">
        <v>43914</v>
      </c>
      <c r="D758" s="80">
        <v>44486</v>
      </c>
      <c r="E758" s="41">
        <f>D758-C758</f>
        <v>572</v>
      </c>
      <c r="F758" s="83" t="s">
        <v>0</v>
      </c>
      <c r="G758" s="81" t="s">
        <v>940</v>
      </c>
      <c r="H758" s="207"/>
      <c r="I758" s="207"/>
      <c r="K758" s="53" t="s">
        <v>1865</v>
      </c>
      <c r="L758" s="42" t="s">
        <v>1866</v>
      </c>
    </row>
    <row r="759" spans="1:12" s="205" customFormat="1" ht="15.75" customHeight="1">
      <c r="A759" s="205" t="s">
        <v>1867</v>
      </c>
      <c r="B759" s="221" t="s">
        <v>1868</v>
      </c>
      <c r="C759" s="79">
        <v>44489</v>
      </c>
      <c r="D759" s="80">
        <v>44490</v>
      </c>
      <c r="E759" s="41">
        <f>D759-C759</f>
        <v>1</v>
      </c>
      <c r="F759" s="83" t="s">
        <v>196</v>
      </c>
      <c r="G759" s="207"/>
      <c r="H759" s="207"/>
      <c r="I759" s="207"/>
    </row>
    <row r="760" spans="1:12" s="205" customFormat="1" ht="15.75" customHeight="1">
      <c r="A760" s="87" t="s">
        <v>1869</v>
      </c>
      <c r="B760" s="221" t="s">
        <v>1870</v>
      </c>
      <c r="C760" s="79">
        <v>44480</v>
      </c>
      <c r="D760" s="80">
        <v>44490</v>
      </c>
      <c r="E760" s="41">
        <f>D760-C760</f>
        <v>10</v>
      </c>
      <c r="F760" s="43" t="s">
        <v>0</v>
      </c>
      <c r="G760" s="207"/>
      <c r="H760" s="207"/>
      <c r="I760" s="207"/>
    </row>
    <row r="761" spans="1:12" s="205" customFormat="1" ht="15.75" customHeight="1">
      <c r="A761" s="205" t="s">
        <v>1871</v>
      </c>
      <c r="B761" s="206" t="s">
        <v>1872</v>
      </c>
      <c r="C761" s="79">
        <v>43954</v>
      </c>
      <c r="D761" s="80">
        <v>44490</v>
      </c>
      <c r="E761" s="41">
        <f>D761-C761</f>
        <v>536</v>
      </c>
      <c r="F761" s="83" t="s">
        <v>1224</v>
      </c>
      <c r="G761" s="81" t="s">
        <v>1873</v>
      </c>
      <c r="H761" s="207"/>
      <c r="I761" s="207"/>
      <c r="K761" s="53" t="s">
        <v>1874</v>
      </c>
      <c r="L761" s="42" t="s">
        <v>1875</v>
      </c>
    </row>
    <row r="762" spans="1:12" s="205" customFormat="1" ht="15.75" customHeight="1">
      <c r="A762" s="87" t="s">
        <v>1876</v>
      </c>
      <c r="B762" s="221" t="s">
        <v>1877</v>
      </c>
      <c r="C762" s="79">
        <v>44451</v>
      </c>
      <c r="D762" s="80">
        <v>44491</v>
      </c>
      <c r="E762" s="41">
        <f>D762-C762</f>
        <v>40</v>
      </c>
      <c r="F762" s="208" t="s">
        <v>1796</v>
      </c>
      <c r="G762" s="81" t="s">
        <v>33</v>
      </c>
      <c r="H762" s="207"/>
      <c r="I762" s="207"/>
      <c r="K762" s="220" t="s">
        <v>1878</v>
      </c>
    </row>
    <row r="763" spans="1:12" s="205" customFormat="1" ht="15.75" customHeight="1">
      <c r="A763" s="87" t="s">
        <v>1879</v>
      </c>
      <c r="B763" s="221" t="s">
        <v>1880</v>
      </c>
      <c r="C763" s="79">
        <v>44475</v>
      </c>
      <c r="D763" s="80">
        <v>44495</v>
      </c>
      <c r="E763" s="41">
        <f>D763-C763</f>
        <v>20</v>
      </c>
      <c r="F763" s="43" t="s">
        <v>0</v>
      </c>
      <c r="G763" s="207"/>
      <c r="H763" s="207"/>
      <c r="I763" s="207"/>
    </row>
    <row r="764" spans="1:12" s="205" customFormat="1" ht="15.75" customHeight="1">
      <c r="A764" s="205" t="s">
        <v>1881</v>
      </c>
      <c r="B764" s="221" t="s">
        <v>1882</v>
      </c>
      <c r="C764" s="79">
        <v>44476</v>
      </c>
      <c r="D764" s="80">
        <v>44496</v>
      </c>
      <c r="E764" s="41">
        <f>D764-C764</f>
        <v>20</v>
      </c>
      <c r="F764" s="83" t="s">
        <v>196</v>
      </c>
      <c r="G764" s="207"/>
      <c r="H764" s="207"/>
      <c r="I764" s="207"/>
    </row>
    <row r="765" spans="1:12" s="205" customFormat="1" ht="15.75" customHeight="1">
      <c r="A765" s="205" t="s">
        <v>1883</v>
      </c>
      <c r="B765" s="221" t="s">
        <v>1884</v>
      </c>
      <c r="C765" s="79">
        <v>44446</v>
      </c>
      <c r="D765" s="80">
        <v>44496</v>
      </c>
      <c r="E765" s="41">
        <f>D765-C765</f>
        <v>50</v>
      </c>
      <c r="F765" s="83" t="s">
        <v>144</v>
      </c>
      <c r="G765" s="207"/>
      <c r="H765" s="207"/>
      <c r="I765" s="207"/>
    </row>
    <row r="766" spans="1:12" s="205" customFormat="1" ht="15.75" customHeight="1">
      <c r="A766" s="87" t="s">
        <v>1885</v>
      </c>
      <c r="B766" s="221" t="s">
        <v>1886</v>
      </c>
      <c r="C766" s="79">
        <v>44429</v>
      </c>
      <c r="D766" s="80">
        <v>44497</v>
      </c>
      <c r="E766" s="41">
        <f>D766-C766</f>
        <v>68</v>
      </c>
      <c r="F766" s="83" t="s">
        <v>196</v>
      </c>
      <c r="G766" s="207"/>
      <c r="H766" s="207"/>
      <c r="I766" s="207"/>
    </row>
    <row r="767" spans="1:12" s="205" customFormat="1" ht="15.75" customHeight="1">
      <c r="A767" s="205" t="s">
        <v>1887</v>
      </c>
      <c r="B767" s="221" t="s">
        <v>1888</v>
      </c>
      <c r="C767" s="79">
        <v>44445</v>
      </c>
      <c r="D767" s="80">
        <v>44499</v>
      </c>
      <c r="E767" s="41">
        <f>D767-C767</f>
        <v>54</v>
      </c>
      <c r="F767" s="83" t="s">
        <v>1889</v>
      </c>
      <c r="G767" s="207"/>
      <c r="H767" s="207"/>
      <c r="I767" s="207"/>
    </row>
    <row r="768" spans="1:12" s="205" customFormat="1" ht="15.75" customHeight="1">
      <c r="A768" s="205" t="s">
        <v>1494</v>
      </c>
      <c r="B768" s="206" t="s">
        <v>349</v>
      </c>
      <c r="C768" s="79">
        <v>44444</v>
      </c>
      <c r="D768" s="80">
        <v>44499</v>
      </c>
      <c r="E768" s="41">
        <f>D768-C768</f>
        <v>55</v>
      </c>
      <c r="F768" s="43" t="s">
        <v>0</v>
      </c>
      <c r="G768" s="45" t="s">
        <v>33</v>
      </c>
      <c r="H768" s="207"/>
      <c r="I768" s="207"/>
      <c r="K768" s="53" t="s">
        <v>348</v>
      </c>
    </row>
    <row r="769" spans="1:13" s="205" customFormat="1" ht="15.75" customHeight="1">
      <c r="A769" s="205" t="s">
        <v>1840</v>
      </c>
      <c r="B769" s="221" t="s">
        <v>1890</v>
      </c>
      <c r="C769" s="79">
        <v>44410</v>
      </c>
      <c r="D769" s="80">
        <v>44499</v>
      </c>
      <c r="E769" s="41">
        <f>D769-C769</f>
        <v>89</v>
      </c>
      <c r="F769" s="43" t="s">
        <v>0</v>
      </c>
      <c r="G769" s="81" t="s">
        <v>33</v>
      </c>
      <c r="H769" s="207"/>
      <c r="I769" s="207"/>
      <c r="K769" s="220" t="s">
        <v>1891</v>
      </c>
    </row>
    <row r="770" spans="1:13" s="205" customFormat="1" ht="15.75" customHeight="1">
      <c r="A770" s="42" t="s">
        <v>1892</v>
      </c>
      <c r="B770" s="206" t="s">
        <v>1893</v>
      </c>
      <c r="C770" s="79">
        <v>43949</v>
      </c>
      <c r="D770" s="80">
        <v>44499</v>
      </c>
      <c r="E770" s="41">
        <f>D770-C770</f>
        <v>550</v>
      </c>
      <c r="F770" s="208" t="s">
        <v>1137</v>
      </c>
      <c r="G770" s="81" t="s">
        <v>225</v>
      </c>
      <c r="H770" s="207"/>
      <c r="I770" s="207"/>
      <c r="K770" s="53" t="s">
        <v>1894</v>
      </c>
      <c r="L770" s="42" t="s">
        <v>1895</v>
      </c>
    </row>
    <row r="771" spans="1:13" s="205" customFormat="1" ht="15.75" customHeight="1">
      <c r="A771" s="87" t="s">
        <v>1896</v>
      </c>
      <c r="B771" s="221" t="s">
        <v>1896</v>
      </c>
      <c r="C771" s="79">
        <v>44475</v>
      </c>
      <c r="D771" s="80">
        <v>44500</v>
      </c>
      <c r="E771" s="41">
        <f>D771-C771</f>
        <v>25</v>
      </c>
      <c r="F771" s="83" t="s">
        <v>196</v>
      </c>
      <c r="G771" s="207"/>
      <c r="H771" s="207"/>
      <c r="I771" s="207"/>
    </row>
    <row r="772" spans="1:13" s="205" customFormat="1" ht="15.75" customHeight="1">
      <c r="A772" s="42" t="s">
        <v>1278</v>
      </c>
      <c r="B772" s="221" t="s">
        <v>1897</v>
      </c>
      <c r="C772" s="79">
        <v>44198</v>
      </c>
      <c r="D772" s="80">
        <v>44501</v>
      </c>
      <c r="E772" s="41">
        <f>D772-C772</f>
        <v>303</v>
      </c>
      <c r="F772" s="43" t="s">
        <v>0</v>
      </c>
      <c r="G772" s="81" t="s">
        <v>1</v>
      </c>
      <c r="H772" s="207"/>
      <c r="I772" s="207"/>
      <c r="K772" s="220" t="s">
        <v>1898</v>
      </c>
      <c r="M772" s="42" t="s">
        <v>1899</v>
      </c>
    </row>
    <row r="773" spans="1:13" s="205" customFormat="1" ht="15.75" customHeight="1">
      <c r="A773" s="87" t="s">
        <v>1900</v>
      </c>
      <c r="B773" s="221" t="s">
        <v>1901</v>
      </c>
      <c r="C773" s="79">
        <v>44500</v>
      </c>
      <c r="D773" s="80">
        <v>44506</v>
      </c>
      <c r="E773" s="41">
        <f>D773-C773</f>
        <v>6</v>
      </c>
      <c r="F773" s="43" t="s">
        <v>0</v>
      </c>
      <c r="G773" s="207"/>
      <c r="H773" s="207"/>
      <c r="I773" s="207"/>
    </row>
    <row r="774" spans="1:13" s="205" customFormat="1" ht="15.75" customHeight="1">
      <c r="A774" s="87" t="s">
        <v>1902</v>
      </c>
      <c r="B774" s="221" t="s">
        <v>1903</v>
      </c>
      <c r="C774" s="79">
        <v>44498</v>
      </c>
      <c r="D774" s="80">
        <v>44506</v>
      </c>
      <c r="E774" s="41">
        <f>D774-C774</f>
        <v>8</v>
      </c>
      <c r="F774" s="43" t="s">
        <v>0</v>
      </c>
      <c r="G774" s="207"/>
      <c r="H774" s="207"/>
      <c r="I774" s="207"/>
    </row>
    <row r="775" spans="1:13" s="205" customFormat="1" ht="15.75" customHeight="1">
      <c r="A775" s="205" t="s">
        <v>1362</v>
      </c>
      <c r="B775" s="206" t="s">
        <v>1904</v>
      </c>
      <c r="C775" s="39">
        <v>44397</v>
      </c>
      <c r="D775" s="80">
        <v>44506</v>
      </c>
      <c r="E775" s="41">
        <f>D775-C775</f>
        <v>109</v>
      </c>
      <c r="F775" s="43" t="s">
        <v>0</v>
      </c>
      <c r="G775" s="207"/>
      <c r="H775" s="207"/>
      <c r="I775" s="207"/>
      <c r="K775" s="220" t="s">
        <v>1905</v>
      </c>
    </row>
    <row r="776" spans="1:13" s="205" customFormat="1" ht="15.75" customHeight="1">
      <c r="A776" s="205" t="s">
        <v>1906</v>
      </c>
      <c r="B776" s="206" t="s">
        <v>1907</v>
      </c>
      <c r="C776" s="79">
        <v>44366</v>
      </c>
      <c r="D776" s="80">
        <v>44506</v>
      </c>
      <c r="E776" s="41">
        <f>D776-C776</f>
        <v>140</v>
      </c>
      <c r="F776" s="208" t="s">
        <v>565</v>
      </c>
      <c r="G776" s="81" t="s">
        <v>37</v>
      </c>
      <c r="H776" s="207"/>
      <c r="I776" s="207"/>
      <c r="K776" s="220" t="s">
        <v>1908</v>
      </c>
    </row>
    <row r="777" spans="1:13" s="205" customFormat="1" ht="15.75" customHeight="1">
      <c r="A777" s="87" t="s">
        <v>1909</v>
      </c>
      <c r="B777" s="221" t="s">
        <v>1909</v>
      </c>
      <c r="C777" s="79">
        <v>44481</v>
      </c>
      <c r="D777" s="80">
        <v>44509</v>
      </c>
      <c r="E777" s="41">
        <f>D777-C777</f>
        <v>28</v>
      </c>
      <c r="F777" s="43" t="s">
        <v>0</v>
      </c>
      <c r="G777" s="207"/>
      <c r="H777" s="207"/>
      <c r="I777" s="207"/>
    </row>
    <row r="778" spans="1:13" s="205" customFormat="1" ht="15.75" customHeight="1">
      <c r="A778" s="52" t="s">
        <v>681</v>
      </c>
      <c r="B778" s="209" t="s">
        <v>1206</v>
      </c>
      <c r="C778" s="39">
        <v>44405</v>
      </c>
      <c r="D778" s="80">
        <v>44513</v>
      </c>
      <c r="E778" s="41">
        <f>D778-C778</f>
        <v>108</v>
      </c>
      <c r="F778" s="43" t="s">
        <v>0</v>
      </c>
      <c r="G778" s="45" t="s">
        <v>720</v>
      </c>
      <c r="H778" s="207"/>
      <c r="I778" s="207"/>
      <c r="K778" s="53" t="s">
        <v>1207</v>
      </c>
    </row>
    <row r="779" spans="1:13" s="205" customFormat="1" ht="15.75" customHeight="1">
      <c r="A779" s="87" t="s">
        <v>1910</v>
      </c>
      <c r="B779" s="221" t="s">
        <v>1911</v>
      </c>
      <c r="C779" s="79">
        <v>44371</v>
      </c>
      <c r="D779" s="80">
        <v>44513</v>
      </c>
      <c r="E779" s="41">
        <f>D779-C779</f>
        <v>142</v>
      </c>
      <c r="F779" s="207" t="s">
        <v>1906</v>
      </c>
      <c r="G779" s="81" t="s">
        <v>37</v>
      </c>
      <c r="H779" s="207"/>
      <c r="I779" s="207"/>
    </row>
    <row r="780" spans="1:13" s="205" customFormat="1" ht="15.75" customHeight="1">
      <c r="A780" s="205" t="s">
        <v>1912</v>
      </c>
      <c r="B780" s="221" t="s">
        <v>1913</v>
      </c>
      <c r="C780" s="79">
        <v>44493</v>
      </c>
      <c r="D780" s="80">
        <v>44514</v>
      </c>
      <c r="E780" s="41">
        <f>D780-C780</f>
        <v>21</v>
      </c>
      <c r="F780" s="83" t="s">
        <v>144</v>
      </c>
      <c r="G780" s="81" t="s">
        <v>942</v>
      </c>
      <c r="H780" s="207"/>
    </row>
    <row r="781" spans="1:13" s="205" customFormat="1" ht="15.75" customHeight="1">
      <c r="A781" s="205" t="s">
        <v>1272</v>
      </c>
      <c r="B781" s="209" t="s">
        <v>1273</v>
      </c>
      <c r="C781" s="39">
        <v>44201</v>
      </c>
      <c r="D781" s="40">
        <v>44518</v>
      </c>
      <c r="E781" s="41">
        <f>D781-C781</f>
        <v>317</v>
      </c>
      <c r="F781" s="43" t="s">
        <v>0</v>
      </c>
      <c r="G781" s="45" t="s">
        <v>1</v>
      </c>
      <c r="H781" s="207"/>
      <c r="I781" s="207"/>
      <c r="K781" s="53" t="s">
        <v>1274</v>
      </c>
    </row>
    <row r="782" spans="1:13" s="205" customFormat="1" ht="15.75" customHeight="1">
      <c r="A782" s="87" t="s">
        <v>1914</v>
      </c>
      <c r="B782" s="221" t="s">
        <v>1915</v>
      </c>
      <c r="C782" s="79">
        <v>44447</v>
      </c>
      <c r="D782" s="80">
        <v>44520</v>
      </c>
      <c r="E782" s="41">
        <f>D782-C782</f>
        <v>73</v>
      </c>
      <c r="F782" s="43" t="s">
        <v>0</v>
      </c>
      <c r="G782" s="81" t="s">
        <v>225</v>
      </c>
      <c r="H782" s="207"/>
      <c r="I782" s="207"/>
    </row>
    <row r="783" spans="1:13" s="205" customFormat="1" ht="15.75" customHeight="1">
      <c r="A783" s="42" t="s">
        <v>894</v>
      </c>
      <c r="B783" s="206" t="s">
        <v>1916</v>
      </c>
      <c r="C783" s="39">
        <v>44507</v>
      </c>
      <c r="D783" s="80">
        <v>44521</v>
      </c>
      <c r="E783" s="41">
        <f>D783-C783</f>
        <v>14</v>
      </c>
      <c r="F783" s="43" t="s">
        <v>0</v>
      </c>
      <c r="G783" s="45" t="s">
        <v>1</v>
      </c>
      <c r="H783" s="207"/>
      <c r="I783" s="207"/>
    </row>
    <row r="784" spans="1:13" s="205" customFormat="1" ht="15.75" customHeight="1">
      <c r="A784" s="87" t="s">
        <v>1917</v>
      </c>
      <c r="B784" s="221" t="s">
        <v>1918</v>
      </c>
      <c r="C784" s="39">
        <v>44503</v>
      </c>
      <c r="D784" s="80">
        <v>44521</v>
      </c>
      <c r="E784" s="41">
        <f>D784-C784</f>
        <v>18</v>
      </c>
      <c r="F784" s="83" t="s">
        <v>196</v>
      </c>
      <c r="G784" s="207"/>
      <c r="H784" s="207"/>
      <c r="I784" s="207"/>
    </row>
    <row r="785" spans="1:12" s="205" customFormat="1" ht="15.75" customHeight="1">
      <c r="A785" s="42" t="s">
        <v>1919</v>
      </c>
      <c r="B785" s="206" t="s">
        <v>1920</v>
      </c>
      <c r="C785" s="79">
        <v>44267</v>
      </c>
      <c r="D785" s="80">
        <v>44521</v>
      </c>
      <c r="E785" s="41">
        <f>D785-C785</f>
        <v>254</v>
      </c>
      <c r="F785" s="43" t="s">
        <v>0</v>
      </c>
      <c r="G785" s="81" t="s">
        <v>1</v>
      </c>
      <c r="H785" s="207"/>
      <c r="I785" s="81" t="s">
        <v>85</v>
      </c>
      <c r="K785" s="220" t="s">
        <v>1921</v>
      </c>
    </row>
    <row r="786" spans="1:12" s="205" customFormat="1" ht="15.75" customHeight="1">
      <c r="A786" s="87" t="s">
        <v>1922</v>
      </c>
      <c r="B786" s="221" t="s">
        <v>1923</v>
      </c>
      <c r="C786" s="79">
        <v>44473</v>
      </c>
      <c r="D786" s="80">
        <v>44526</v>
      </c>
      <c r="E786" s="41">
        <f>D786-C786</f>
        <v>53</v>
      </c>
      <c r="F786" s="83" t="s">
        <v>1917</v>
      </c>
      <c r="G786" s="207"/>
      <c r="H786" s="207"/>
      <c r="I786" s="207"/>
    </row>
    <row r="787" spans="1:12" s="205" customFormat="1" ht="15.75" customHeight="1">
      <c r="A787" s="65" t="s">
        <v>1924</v>
      </c>
      <c r="B787" s="206" t="s">
        <v>1925</v>
      </c>
      <c r="C787" s="79">
        <v>44459</v>
      </c>
      <c r="D787" s="80">
        <v>44527</v>
      </c>
      <c r="E787" s="41">
        <f>D787-C787</f>
        <v>68</v>
      </c>
      <c r="F787" s="43" t="s">
        <v>0</v>
      </c>
      <c r="G787" s="207"/>
      <c r="H787" s="207"/>
      <c r="I787" s="207"/>
      <c r="K787" s="220" t="s">
        <v>1926</v>
      </c>
      <c r="L787" s="42" t="s">
        <v>1927</v>
      </c>
    </row>
    <row r="788" spans="1:12" s="205" customFormat="1" ht="15.75" customHeight="1">
      <c r="A788" s="205" t="s">
        <v>1928</v>
      </c>
      <c r="B788" s="221" t="s">
        <v>1929</v>
      </c>
      <c r="C788" s="79">
        <v>44453</v>
      </c>
      <c r="D788" s="80">
        <v>44527</v>
      </c>
      <c r="E788" s="41">
        <f>D788-C788</f>
        <v>74</v>
      </c>
      <c r="F788" s="83" t="s">
        <v>1885</v>
      </c>
      <c r="G788" s="207"/>
      <c r="H788" s="207"/>
      <c r="I788" s="207"/>
    </row>
    <row r="789" spans="1:12" s="205" customFormat="1" ht="15.75" customHeight="1">
      <c r="A789" s="87" t="s">
        <v>1930</v>
      </c>
      <c r="B789" s="221" t="s">
        <v>1931</v>
      </c>
      <c r="C789" s="79">
        <v>44359</v>
      </c>
      <c r="D789" s="80">
        <v>44527</v>
      </c>
      <c r="E789" s="41">
        <f>D789-C789</f>
        <v>168</v>
      </c>
      <c r="F789" s="208" t="s">
        <v>1322</v>
      </c>
      <c r="G789" s="81" t="s">
        <v>225</v>
      </c>
      <c r="H789" s="207"/>
      <c r="I789" s="207"/>
      <c r="K789" s="220" t="s">
        <v>1932</v>
      </c>
    </row>
    <row r="790" spans="1:12" s="205" customFormat="1" ht="15.75" customHeight="1">
      <c r="A790" s="87" t="s">
        <v>1933</v>
      </c>
      <c r="B790" s="221" t="s">
        <v>1934</v>
      </c>
      <c r="C790" s="79">
        <v>44474</v>
      </c>
      <c r="D790" s="80">
        <v>44534</v>
      </c>
      <c r="E790" s="41">
        <f>D790-C790</f>
        <v>60</v>
      </c>
      <c r="F790" s="43" t="s">
        <v>0</v>
      </c>
      <c r="G790" s="81" t="s">
        <v>26</v>
      </c>
      <c r="H790" s="207"/>
      <c r="I790" s="207"/>
    </row>
    <row r="791" spans="1:12" s="205" customFormat="1" ht="15.75" customHeight="1">
      <c r="A791" s="42" t="s">
        <v>1817</v>
      </c>
      <c r="B791" s="206" t="s">
        <v>1935</v>
      </c>
      <c r="C791" s="79">
        <v>43898</v>
      </c>
      <c r="D791" s="80">
        <v>44535</v>
      </c>
      <c r="E791" s="41">
        <f>D791-C791</f>
        <v>637</v>
      </c>
      <c r="F791" s="45" t="s">
        <v>0</v>
      </c>
      <c r="G791" s="207"/>
      <c r="H791" s="207"/>
      <c r="I791" s="207"/>
      <c r="K791" s="53" t="s">
        <v>1936</v>
      </c>
      <c r="L791" s="42" t="s">
        <v>1937</v>
      </c>
    </row>
    <row r="792" spans="1:12" s="205" customFormat="1" ht="15.75" customHeight="1">
      <c r="A792" s="42" t="s">
        <v>723</v>
      </c>
      <c r="B792" s="206" t="s">
        <v>1938</v>
      </c>
      <c r="C792" s="39">
        <v>44356</v>
      </c>
      <c r="D792" s="40">
        <v>44536</v>
      </c>
      <c r="E792" s="41">
        <f>D792-C792</f>
        <v>180</v>
      </c>
      <c r="F792" s="43" t="s">
        <v>0</v>
      </c>
      <c r="G792" s="45" t="s">
        <v>26</v>
      </c>
      <c r="H792" s="207"/>
      <c r="I792" s="207"/>
      <c r="K792" s="53" t="s">
        <v>1341</v>
      </c>
      <c r="L792" s="42" t="s">
        <v>1342</v>
      </c>
    </row>
    <row r="793" spans="1:12" s="205" customFormat="1" ht="15.75" customHeight="1">
      <c r="A793" s="87" t="s">
        <v>1854</v>
      </c>
      <c r="B793" s="221" t="s">
        <v>1855</v>
      </c>
      <c r="C793" s="79">
        <v>44488</v>
      </c>
      <c r="D793" s="80">
        <v>44537</v>
      </c>
      <c r="E793" s="41">
        <f>D793-C793</f>
        <v>49</v>
      </c>
      <c r="F793" s="43" t="s">
        <v>0</v>
      </c>
      <c r="G793" s="81" t="s">
        <v>1</v>
      </c>
      <c r="H793" s="207"/>
      <c r="I793" s="207"/>
      <c r="K793" s="220" t="s">
        <v>1856</v>
      </c>
    </row>
    <row r="794" spans="1:12" s="205" customFormat="1" ht="15.75" customHeight="1">
      <c r="A794" s="87" t="s">
        <v>1939</v>
      </c>
      <c r="B794" s="221" t="s">
        <v>1940</v>
      </c>
      <c r="C794" s="79">
        <v>44429</v>
      </c>
      <c r="D794" s="80">
        <v>44540</v>
      </c>
      <c r="E794" s="41">
        <f>D794-C794</f>
        <v>111</v>
      </c>
      <c r="F794" s="83" t="s">
        <v>1797</v>
      </c>
      <c r="G794" s="207"/>
      <c r="H794" s="207"/>
      <c r="I794" s="207"/>
    </row>
    <row r="795" spans="1:12" s="205" customFormat="1" ht="15.75" customHeight="1">
      <c r="A795" s="205" t="s">
        <v>1211</v>
      </c>
      <c r="B795" s="206" t="s">
        <v>1546</v>
      </c>
      <c r="C795" s="39">
        <v>44349</v>
      </c>
      <c r="D795" s="80">
        <v>44541</v>
      </c>
      <c r="E795" s="41">
        <f>D795-C795</f>
        <v>192</v>
      </c>
      <c r="F795" s="43" t="s">
        <v>0</v>
      </c>
      <c r="G795" s="207"/>
      <c r="H795" s="207"/>
      <c r="I795" s="207"/>
      <c r="K795" s="53" t="s">
        <v>1547</v>
      </c>
      <c r="L795" s="42" t="s">
        <v>1548</v>
      </c>
    </row>
    <row r="796" spans="1:12" s="205" customFormat="1" ht="15.75" customHeight="1">
      <c r="A796" s="65" t="s">
        <v>1889</v>
      </c>
      <c r="B796" s="206" t="s">
        <v>1889</v>
      </c>
      <c r="C796" s="79">
        <v>44323</v>
      </c>
      <c r="D796" s="80">
        <v>44541</v>
      </c>
      <c r="E796" s="41">
        <f>D796-C796</f>
        <v>218</v>
      </c>
      <c r="F796" s="208" t="s">
        <v>174</v>
      </c>
      <c r="G796" s="81" t="s">
        <v>942</v>
      </c>
      <c r="H796" s="207"/>
      <c r="I796" s="207"/>
      <c r="K796" s="220" t="s">
        <v>1941</v>
      </c>
      <c r="L796" s="205" t="s">
        <v>1942</v>
      </c>
    </row>
    <row r="797" spans="1:12" s="205" customFormat="1" ht="15.75" customHeight="1">
      <c r="A797" s="87" t="s">
        <v>1943</v>
      </c>
      <c r="B797" s="221" t="s">
        <v>1943</v>
      </c>
      <c r="C797" s="79">
        <v>44469</v>
      </c>
      <c r="D797" s="80">
        <v>44543</v>
      </c>
      <c r="E797" s="41">
        <f>D797-C797</f>
        <v>74</v>
      </c>
      <c r="F797" s="83" t="s">
        <v>196</v>
      </c>
      <c r="G797" s="45" t="s">
        <v>26</v>
      </c>
      <c r="H797" s="207"/>
      <c r="I797" s="207"/>
    </row>
    <row r="798" spans="1:12" s="205" customFormat="1" ht="15.75" customHeight="1">
      <c r="A798" s="205" t="s">
        <v>1944</v>
      </c>
      <c r="B798" s="221" t="s">
        <v>1945</v>
      </c>
      <c r="C798" s="79">
        <v>44364</v>
      </c>
      <c r="D798" s="80">
        <v>44548</v>
      </c>
      <c r="E798" s="41">
        <f>D798-C798</f>
        <v>184</v>
      </c>
      <c r="F798" s="43" t="s">
        <v>0</v>
      </c>
      <c r="G798" s="45" t="s">
        <v>26</v>
      </c>
      <c r="H798" s="207"/>
      <c r="I798" s="207"/>
    </row>
    <row r="799" spans="1:12" s="205" customFormat="1" ht="15.75" customHeight="1">
      <c r="A799" s="87" t="s">
        <v>1946</v>
      </c>
      <c r="B799" s="221" t="s">
        <v>1947</v>
      </c>
      <c r="C799" s="79">
        <v>44479</v>
      </c>
      <c r="D799" s="80">
        <v>44550</v>
      </c>
      <c r="E799" s="41">
        <f>D799-C799</f>
        <v>71</v>
      </c>
      <c r="F799" s="43" t="s">
        <v>0</v>
      </c>
      <c r="G799" s="43" t="s">
        <v>43</v>
      </c>
      <c r="H799" s="208"/>
      <c r="I799" s="207"/>
    </row>
    <row r="800" spans="1:12" s="205" customFormat="1" ht="15.75" customHeight="1">
      <c r="A800" s="205" t="s">
        <v>1948</v>
      </c>
      <c r="B800" s="206" t="s">
        <v>1949</v>
      </c>
      <c r="C800" s="79">
        <v>44200</v>
      </c>
      <c r="D800" s="80">
        <v>44551</v>
      </c>
      <c r="E800" s="41">
        <f>D800-C800</f>
        <v>351</v>
      </c>
      <c r="F800" s="43" t="s">
        <v>0</v>
      </c>
      <c r="G800" s="207"/>
      <c r="H800" s="207"/>
      <c r="I800" s="207"/>
      <c r="K800" s="220" t="s">
        <v>1950</v>
      </c>
    </row>
    <row r="801" spans="1:27" s="205" customFormat="1">
      <c r="A801" s="205" t="s">
        <v>1796</v>
      </c>
      <c r="B801" s="206" t="s">
        <v>1951</v>
      </c>
      <c r="C801" s="79">
        <v>43581</v>
      </c>
      <c r="D801" s="79">
        <v>44555</v>
      </c>
      <c r="E801" s="41">
        <f>D801-C801</f>
        <v>974</v>
      </c>
      <c r="F801" s="83" t="s">
        <v>0</v>
      </c>
      <c r="G801" s="81" t="s">
        <v>805</v>
      </c>
      <c r="H801" s="207"/>
      <c r="I801" s="20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</row>
    <row r="802" spans="1:27" s="205" customFormat="1" ht="15.75" customHeight="1">
      <c r="A802" s="87" t="s">
        <v>1952</v>
      </c>
      <c r="B802" s="221" t="s">
        <v>1953</v>
      </c>
      <c r="C802" s="79">
        <v>44542</v>
      </c>
      <c r="D802" s="80">
        <v>44562</v>
      </c>
      <c r="E802" s="41">
        <f>D802-C802</f>
        <v>20</v>
      </c>
      <c r="F802" s="43" t="s">
        <v>0</v>
      </c>
      <c r="G802" s="207"/>
      <c r="H802" s="207"/>
      <c r="I802" s="81" t="s">
        <v>1954</v>
      </c>
    </row>
    <row r="803" spans="1:27" s="205" customFormat="1" ht="15.75" customHeight="1">
      <c r="A803" s="205" t="s">
        <v>1322</v>
      </c>
      <c r="B803" s="206" t="s">
        <v>1323</v>
      </c>
      <c r="C803" s="79">
        <v>44474</v>
      </c>
      <c r="D803" s="80">
        <v>44562</v>
      </c>
      <c r="E803" s="41">
        <f>D803-C803</f>
        <v>88</v>
      </c>
      <c r="F803" s="208" t="s">
        <v>1570</v>
      </c>
      <c r="G803" s="207"/>
      <c r="H803" s="207"/>
      <c r="I803" s="81" t="s">
        <v>90</v>
      </c>
      <c r="K803" s="220" t="s">
        <v>1324</v>
      </c>
      <c r="L803" s="42" t="s">
        <v>1835</v>
      </c>
    </row>
    <row r="804" spans="1:27" s="205" customFormat="1" ht="15.75" customHeight="1">
      <c r="A804" s="205" t="s">
        <v>1955</v>
      </c>
      <c r="B804" s="206" t="s">
        <v>1956</v>
      </c>
      <c r="C804" s="79">
        <v>44303</v>
      </c>
      <c r="D804" s="80">
        <v>44562</v>
      </c>
      <c r="E804" s="41">
        <f>D804-C804</f>
        <v>259</v>
      </c>
      <c r="F804" s="45" t="s">
        <v>1631</v>
      </c>
      <c r="G804" s="207"/>
      <c r="H804" s="207"/>
      <c r="I804" s="207"/>
      <c r="K804" s="220" t="s">
        <v>1957</v>
      </c>
    </row>
    <row r="805" spans="1:27" s="205" customFormat="1" ht="15.75" customHeight="1">
      <c r="A805" s="87" t="s">
        <v>1958</v>
      </c>
      <c r="B805" s="221" t="s">
        <v>1959</v>
      </c>
      <c r="C805" s="79">
        <v>44547</v>
      </c>
      <c r="D805" s="80">
        <v>44563</v>
      </c>
      <c r="E805" s="41">
        <f>D805-C805</f>
        <v>16</v>
      </c>
      <c r="F805" s="83" t="s">
        <v>305</v>
      </c>
      <c r="G805" s="207"/>
      <c r="H805" s="81" t="s">
        <v>11</v>
      </c>
      <c r="I805" s="81" t="s">
        <v>125</v>
      </c>
    </row>
    <row r="806" spans="1:27" s="205" customFormat="1" ht="15.75" customHeight="1">
      <c r="A806" s="87" t="s">
        <v>1960</v>
      </c>
      <c r="B806" s="221" t="s">
        <v>1961</v>
      </c>
      <c r="C806" s="39">
        <v>44523</v>
      </c>
      <c r="D806" s="80">
        <v>44563</v>
      </c>
      <c r="E806" s="41">
        <f>D806-C806</f>
        <v>40</v>
      </c>
      <c r="F806" s="43" t="s">
        <v>0</v>
      </c>
      <c r="G806" s="207"/>
      <c r="H806" s="81" t="s">
        <v>2</v>
      </c>
      <c r="I806" s="207"/>
      <c r="K806" s="220" t="s">
        <v>1962</v>
      </c>
    </row>
    <row r="807" spans="1:27" s="205" customFormat="1" ht="15.75" customHeight="1">
      <c r="A807" s="87" t="s">
        <v>1963</v>
      </c>
      <c r="B807" s="221" t="s">
        <v>1964</v>
      </c>
      <c r="C807" s="79">
        <v>44500</v>
      </c>
      <c r="D807" s="80">
        <v>44569</v>
      </c>
      <c r="E807" s="41">
        <f>D807-C807</f>
        <v>69</v>
      </c>
      <c r="F807" s="83" t="s">
        <v>1965</v>
      </c>
      <c r="G807" s="207"/>
      <c r="H807" s="83" t="s">
        <v>11</v>
      </c>
      <c r="I807" s="207"/>
    </row>
    <row r="808" spans="1:27" s="205" customFormat="1" ht="15.75" customHeight="1">
      <c r="A808" s="65" t="s">
        <v>1966</v>
      </c>
      <c r="B808" s="206" t="s">
        <v>1967</v>
      </c>
      <c r="C808" s="79">
        <v>44332</v>
      </c>
      <c r="D808" s="80">
        <v>44569</v>
      </c>
      <c r="E808" s="41">
        <f>D808-C808</f>
        <v>237</v>
      </c>
      <c r="F808" s="43" t="s">
        <v>0</v>
      </c>
      <c r="G808" s="81" t="s">
        <v>1</v>
      </c>
      <c r="H808" s="83" t="s">
        <v>11</v>
      </c>
      <c r="I808" s="207"/>
    </row>
    <row r="809" spans="1:27" s="205" customFormat="1" ht="15.75" customHeight="1">
      <c r="A809" s="205" t="s">
        <v>1968</v>
      </c>
      <c r="B809" s="206" t="s">
        <v>1969</v>
      </c>
      <c r="C809" s="79">
        <v>44232</v>
      </c>
      <c r="D809" s="80">
        <v>44570</v>
      </c>
      <c r="E809" s="41">
        <f>D809-C809</f>
        <v>338</v>
      </c>
      <c r="F809" s="83" t="s">
        <v>1970</v>
      </c>
      <c r="G809" s="81" t="s">
        <v>1</v>
      </c>
      <c r="H809" s="83" t="s">
        <v>2</v>
      </c>
      <c r="I809" s="81" t="s">
        <v>1971</v>
      </c>
      <c r="K809" s="220" t="s">
        <v>1972</v>
      </c>
      <c r="L809" s="87" t="s">
        <v>1973</v>
      </c>
    </row>
    <row r="810" spans="1:27" s="205" customFormat="1" ht="15.75" customHeight="1">
      <c r="A810" s="42" t="s">
        <v>1974</v>
      </c>
      <c r="B810" s="206" t="s">
        <v>1975</v>
      </c>
      <c r="C810" s="79">
        <v>44197</v>
      </c>
      <c r="D810" s="80">
        <v>44570</v>
      </c>
      <c r="E810" s="41">
        <f>D810-C810</f>
        <v>373</v>
      </c>
      <c r="F810" s="43" t="s">
        <v>0</v>
      </c>
      <c r="G810" s="45" t="s">
        <v>33</v>
      </c>
      <c r="H810" s="83" t="s">
        <v>2</v>
      </c>
      <c r="I810" s="207"/>
      <c r="K810" s="220" t="s">
        <v>1976</v>
      </c>
      <c r="L810" s="87" t="s">
        <v>1977</v>
      </c>
    </row>
    <row r="811" spans="1:27" s="205" customFormat="1" ht="15.75" customHeight="1">
      <c r="A811" s="205" t="s">
        <v>1978</v>
      </c>
      <c r="B811" s="221" t="s">
        <v>1979</v>
      </c>
      <c r="C811" s="79">
        <v>44555</v>
      </c>
      <c r="D811" s="80">
        <v>44571</v>
      </c>
      <c r="E811" s="41">
        <f>D811-C811</f>
        <v>16</v>
      </c>
      <c r="F811" s="208" t="s">
        <v>1980</v>
      </c>
      <c r="G811" s="207"/>
      <c r="H811" s="41" t="s">
        <v>2</v>
      </c>
      <c r="I811" s="207"/>
      <c r="K811" s="220" t="s">
        <v>1981</v>
      </c>
    </row>
    <row r="812" spans="1:27" s="205" customFormat="1" ht="15.75" customHeight="1">
      <c r="A812" s="87" t="s">
        <v>1982</v>
      </c>
      <c r="B812" s="221" t="s">
        <v>1983</v>
      </c>
      <c r="C812" s="79">
        <v>44395</v>
      </c>
      <c r="D812" s="80">
        <v>44571</v>
      </c>
      <c r="E812" s="41">
        <f>D812-C812</f>
        <v>176</v>
      </c>
      <c r="F812" s="43" t="s">
        <v>0</v>
      </c>
      <c r="G812" s="81" t="s">
        <v>1</v>
      </c>
      <c r="H812" s="83" t="s">
        <v>11</v>
      </c>
      <c r="I812" s="207"/>
      <c r="K812" s="220" t="s">
        <v>1984</v>
      </c>
    </row>
    <row r="813" spans="1:27" s="205" customFormat="1" ht="15.75" customHeight="1">
      <c r="A813" s="205" t="s">
        <v>1985</v>
      </c>
      <c r="B813" s="221" t="s">
        <v>1986</v>
      </c>
      <c r="C813" s="79">
        <v>44480</v>
      </c>
      <c r="D813" s="80">
        <v>44572</v>
      </c>
      <c r="E813" s="41">
        <f>D813-C813</f>
        <v>92</v>
      </c>
      <c r="F813" s="208" t="s">
        <v>174</v>
      </c>
      <c r="G813" s="207"/>
      <c r="H813" s="83" t="s">
        <v>2</v>
      </c>
      <c r="I813" s="81" t="s">
        <v>1987</v>
      </c>
      <c r="K813" s="220" t="s">
        <v>1988</v>
      </c>
    </row>
    <row r="814" spans="1:27" s="205" customFormat="1">
      <c r="A814" s="87" t="s">
        <v>1989</v>
      </c>
      <c r="B814" s="221" t="s">
        <v>1990</v>
      </c>
      <c r="C814" s="79">
        <v>44505</v>
      </c>
      <c r="D814" s="79">
        <v>44576</v>
      </c>
      <c r="E814" s="41">
        <f>D814-C814</f>
        <v>71</v>
      </c>
      <c r="F814" s="43" t="s">
        <v>0</v>
      </c>
      <c r="G814" s="207"/>
      <c r="H814" s="83" t="s">
        <v>11</v>
      </c>
      <c r="I814" s="207"/>
    </row>
    <row r="815" spans="1:27" s="205" customFormat="1" ht="15.75" customHeight="1">
      <c r="A815" s="87" t="s">
        <v>1991</v>
      </c>
      <c r="B815" s="221" t="s">
        <v>1992</v>
      </c>
      <c r="C815" s="79">
        <v>44395</v>
      </c>
      <c r="D815" s="79">
        <v>44576</v>
      </c>
      <c r="E815" s="41">
        <f>D815-C815</f>
        <v>181</v>
      </c>
      <c r="F815" s="43" t="s">
        <v>0</v>
      </c>
      <c r="G815" s="207"/>
      <c r="H815" s="83" t="s">
        <v>11</v>
      </c>
      <c r="I815" s="81" t="s">
        <v>1993</v>
      </c>
    </row>
    <row r="816" spans="1:27" s="205" customFormat="1" ht="15.75" customHeight="1">
      <c r="A816" s="87" t="s">
        <v>777</v>
      </c>
      <c r="B816" s="221" t="s">
        <v>777</v>
      </c>
      <c r="C816" s="79">
        <v>43386</v>
      </c>
      <c r="D816" s="79">
        <v>44576</v>
      </c>
      <c r="E816" s="41">
        <f>D816-C816</f>
        <v>1190</v>
      </c>
      <c r="F816" s="83" t="s">
        <v>0</v>
      </c>
      <c r="G816" s="81" t="s">
        <v>26</v>
      </c>
      <c r="H816" s="81" t="s">
        <v>2</v>
      </c>
      <c r="I816" s="207"/>
      <c r="J816" s="87"/>
      <c r="K816" s="53" t="s">
        <v>1994</v>
      </c>
    </row>
    <row r="817" spans="1:12" s="205" customFormat="1" ht="15.75" customHeight="1">
      <c r="A817" s="205" t="s">
        <v>1980</v>
      </c>
      <c r="B817" s="221" t="s">
        <v>1995</v>
      </c>
      <c r="C817" s="79">
        <v>44452</v>
      </c>
      <c r="D817" s="80">
        <v>44582</v>
      </c>
      <c r="E817" s="41">
        <f>D817-C817</f>
        <v>130</v>
      </c>
      <c r="F817" s="208" t="s">
        <v>177</v>
      </c>
      <c r="G817" s="81" t="s">
        <v>1</v>
      </c>
      <c r="H817" s="83" t="s">
        <v>2</v>
      </c>
      <c r="I817" s="207"/>
      <c r="K817" s="220" t="s">
        <v>1996</v>
      </c>
    </row>
    <row r="818" spans="1:12" s="205" customFormat="1" ht="15.75" customHeight="1">
      <c r="A818" s="87" t="s">
        <v>1997</v>
      </c>
      <c r="B818" s="221" t="s">
        <v>1998</v>
      </c>
      <c r="C818" s="79">
        <v>44561</v>
      </c>
      <c r="D818" s="80">
        <v>44587</v>
      </c>
      <c r="E818" s="41">
        <f>D818-C818</f>
        <v>26</v>
      </c>
      <c r="F818" s="83" t="s">
        <v>196</v>
      </c>
      <c r="H818" s="83" t="s">
        <v>2</v>
      </c>
      <c r="I818" s="81" t="s">
        <v>21</v>
      </c>
    </row>
    <row r="819" spans="1:12" s="205" customFormat="1" ht="15.75" customHeight="1">
      <c r="A819" s="87" t="s">
        <v>1999</v>
      </c>
      <c r="B819" s="221" t="s">
        <v>2000</v>
      </c>
      <c r="C819" s="79">
        <v>44462</v>
      </c>
      <c r="D819" s="80">
        <v>44587</v>
      </c>
      <c r="E819" s="41">
        <f>D819-C819</f>
        <v>125</v>
      </c>
      <c r="F819" s="43" t="s">
        <v>0</v>
      </c>
      <c r="G819" s="81" t="s">
        <v>1612</v>
      </c>
      <c r="H819" s="83" t="s">
        <v>11</v>
      </c>
      <c r="I819" s="207"/>
      <c r="K819" s="220" t="s">
        <v>2001</v>
      </c>
      <c r="L819" s="87" t="s">
        <v>2002</v>
      </c>
    </row>
    <row r="820" spans="1:12" s="205" customFormat="1" ht="15.75" customHeight="1">
      <c r="A820" s="42" t="s">
        <v>2003</v>
      </c>
      <c r="B820" s="206" t="s">
        <v>2004</v>
      </c>
      <c r="C820" s="79">
        <v>44102</v>
      </c>
      <c r="D820" s="80">
        <v>44587</v>
      </c>
      <c r="E820" s="41">
        <f>D820-C820</f>
        <v>485</v>
      </c>
      <c r="F820" s="43" t="s">
        <v>0</v>
      </c>
      <c r="G820" s="81" t="s">
        <v>336</v>
      </c>
      <c r="H820" s="83" t="s">
        <v>2</v>
      </c>
      <c r="I820" s="207"/>
      <c r="K820" s="90" t="s">
        <v>2005</v>
      </c>
    </row>
    <row r="821" spans="1:12" s="205" customFormat="1" ht="15.75" customHeight="1">
      <c r="A821" s="205" t="s">
        <v>2006</v>
      </c>
      <c r="B821" s="221" t="s">
        <v>2007</v>
      </c>
      <c r="C821" s="79">
        <v>44563</v>
      </c>
      <c r="D821" s="80">
        <v>44589</v>
      </c>
      <c r="E821" s="41">
        <f>D821-C821</f>
        <v>26</v>
      </c>
      <c r="F821" s="83" t="s">
        <v>205</v>
      </c>
      <c r="G821" s="207"/>
      <c r="H821" s="41" t="s">
        <v>11</v>
      </c>
      <c r="I821" s="207"/>
    </row>
    <row r="822" spans="1:12" s="205" customFormat="1" ht="15.75" customHeight="1">
      <c r="A822" s="87" t="s">
        <v>2008</v>
      </c>
      <c r="B822" s="221" t="s">
        <v>2009</v>
      </c>
      <c r="C822" s="39">
        <v>44564</v>
      </c>
      <c r="D822" s="39">
        <v>44590</v>
      </c>
      <c r="E822" s="41">
        <f>D822-C822</f>
        <v>26</v>
      </c>
      <c r="F822" s="43" t="s">
        <v>0</v>
      </c>
      <c r="G822" s="207"/>
      <c r="H822" s="83" t="s">
        <v>2</v>
      </c>
      <c r="I822" s="207"/>
      <c r="K822" s="220" t="s">
        <v>2010</v>
      </c>
    </row>
    <row r="823" spans="1:12" s="205" customFormat="1" ht="15.75" customHeight="1">
      <c r="A823" s="87" t="s">
        <v>2011</v>
      </c>
      <c r="B823" s="221" t="s">
        <v>2012</v>
      </c>
      <c r="C823" s="79">
        <v>44513</v>
      </c>
      <c r="D823" s="39">
        <v>44590</v>
      </c>
      <c r="E823" s="41">
        <f>D823-C823</f>
        <v>77</v>
      </c>
      <c r="F823" s="43" t="s">
        <v>0</v>
      </c>
      <c r="G823" s="207"/>
      <c r="H823" s="83" t="s">
        <v>11</v>
      </c>
      <c r="I823" s="81" t="s">
        <v>1450</v>
      </c>
    </row>
    <row r="824" spans="1:12" s="205" customFormat="1" ht="15.75" customHeight="1">
      <c r="A824" s="205" t="s">
        <v>1286</v>
      </c>
      <c r="B824" s="206" t="s">
        <v>1287</v>
      </c>
      <c r="C824" s="39">
        <v>44433</v>
      </c>
      <c r="D824" s="39">
        <v>44590</v>
      </c>
      <c r="E824" s="41">
        <f>D824-C824</f>
        <v>157</v>
      </c>
      <c r="F824" s="43" t="s">
        <v>0</v>
      </c>
      <c r="G824" s="45" t="s">
        <v>33</v>
      </c>
      <c r="H824" s="41" t="s">
        <v>2</v>
      </c>
      <c r="I824" s="207"/>
      <c r="K824" s="53" t="s">
        <v>1288</v>
      </c>
    </row>
    <row r="825" spans="1:12" s="205" customFormat="1" ht="15.75" customHeight="1">
      <c r="A825" s="205" t="s">
        <v>2013</v>
      </c>
      <c r="B825" s="221" t="s">
        <v>2014</v>
      </c>
      <c r="C825" s="79">
        <v>44208</v>
      </c>
      <c r="D825" s="39">
        <v>44590</v>
      </c>
      <c r="E825" s="41">
        <f>D825-C825</f>
        <v>382</v>
      </c>
      <c r="F825" s="208" t="s">
        <v>129</v>
      </c>
      <c r="G825" s="207"/>
      <c r="H825" s="83" t="s">
        <v>2</v>
      </c>
      <c r="I825" s="207"/>
    </row>
    <row r="826" spans="1:12" s="205" customFormat="1" ht="15.75" customHeight="1">
      <c r="A826" s="205" t="s">
        <v>2015</v>
      </c>
      <c r="B826" s="223" t="s">
        <v>2016</v>
      </c>
      <c r="C826" s="79">
        <v>44577</v>
      </c>
      <c r="D826" s="80">
        <v>44591</v>
      </c>
      <c r="E826" s="41">
        <f>D826-C826</f>
        <v>14</v>
      </c>
      <c r="F826" s="43" t="s">
        <v>0</v>
      </c>
      <c r="G826" s="207"/>
      <c r="H826" s="45" t="s">
        <v>11</v>
      </c>
      <c r="I826" s="207"/>
    </row>
    <row r="827" spans="1:12" s="205" customFormat="1" ht="15.75" customHeight="1">
      <c r="A827" s="205" t="s">
        <v>2017</v>
      </c>
      <c r="B827" s="206" t="s">
        <v>2018</v>
      </c>
      <c r="C827" s="79">
        <v>44199</v>
      </c>
      <c r="D827" s="80">
        <v>44591</v>
      </c>
      <c r="E827" s="41">
        <f>D827-C827</f>
        <v>392</v>
      </c>
      <c r="F827" s="43" t="s">
        <v>0</v>
      </c>
      <c r="G827" s="81" t="s">
        <v>1</v>
      </c>
      <c r="H827" s="83" t="s">
        <v>11</v>
      </c>
      <c r="I827" s="207"/>
    </row>
    <row r="828" spans="1:12" s="205" customFormat="1" ht="15.75" customHeight="1">
      <c r="A828" s="87" t="s">
        <v>2019</v>
      </c>
      <c r="B828" s="221" t="s">
        <v>2020</v>
      </c>
      <c r="C828" s="79">
        <v>44569</v>
      </c>
      <c r="D828" s="80">
        <v>44592</v>
      </c>
      <c r="E828" s="41">
        <f>D828-C828</f>
        <v>23</v>
      </c>
      <c r="F828" s="43" t="s">
        <v>0</v>
      </c>
      <c r="G828" s="207"/>
      <c r="H828" s="45" t="s">
        <v>2</v>
      </c>
      <c r="I828" s="207"/>
    </row>
    <row r="829" spans="1:12" s="205" customFormat="1" ht="15.75" customHeight="1">
      <c r="A829" s="87" t="s">
        <v>2021</v>
      </c>
      <c r="B829" s="221" t="s">
        <v>2022</v>
      </c>
      <c r="C829" s="79">
        <v>44528</v>
      </c>
      <c r="D829" s="80">
        <v>44595</v>
      </c>
      <c r="E829" s="41">
        <f>D829-C829</f>
        <v>67</v>
      </c>
      <c r="F829" s="83" t="s">
        <v>2023</v>
      </c>
      <c r="G829" s="207"/>
      <c r="H829" s="83" t="s">
        <v>2</v>
      </c>
      <c r="I829" s="81" t="s">
        <v>21</v>
      </c>
      <c r="K829" s="220" t="s">
        <v>2024</v>
      </c>
    </row>
    <row r="830" spans="1:12" s="205" customFormat="1" ht="15.75" customHeight="1">
      <c r="A830" s="87" t="s">
        <v>2025</v>
      </c>
      <c r="B830" s="221" t="s">
        <v>2026</v>
      </c>
      <c r="C830" s="79">
        <v>44555</v>
      </c>
      <c r="D830" s="80">
        <v>44597</v>
      </c>
      <c r="E830" s="41">
        <f>D830-C830</f>
        <v>42</v>
      </c>
      <c r="F830" s="83" t="s">
        <v>305</v>
      </c>
      <c r="G830" s="207"/>
      <c r="H830" s="41" t="s">
        <v>11</v>
      </c>
      <c r="I830" s="81" t="s">
        <v>85</v>
      </c>
      <c r="K830" s="220" t="s">
        <v>2027</v>
      </c>
      <c r="L830" s="87" t="s">
        <v>2028</v>
      </c>
    </row>
    <row r="831" spans="1:12" s="205" customFormat="1" ht="15.75" customHeight="1">
      <c r="A831" s="87" t="s">
        <v>1879</v>
      </c>
      <c r="B831" s="221" t="s">
        <v>1880</v>
      </c>
      <c r="C831" s="79">
        <v>44514</v>
      </c>
      <c r="D831" s="80">
        <v>44597</v>
      </c>
      <c r="E831" s="41">
        <f>D831-C831</f>
        <v>83</v>
      </c>
      <c r="F831" s="43" t="s">
        <v>0</v>
      </c>
      <c r="G831" s="207"/>
      <c r="H831" s="41" t="s">
        <v>11</v>
      </c>
      <c r="I831" s="207"/>
    </row>
    <row r="832" spans="1:12" s="205" customFormat="1" ht="15.75" customHeight="1">
      <c r="A832" s="205" t="s">
        <v>2029</v>
      </c>
      <c r="B832" s="221" t="s">
        <v>2030</v>
      </c>
      <c r="C832" s="79">
        <v>44476</v>
      </c>
      <c r="D832" s="80">
        <v>44597</v>
      </c>
      <c r="E832" s="41">
        <f>D832-C832</f>
        <v>121</v>
      </c>
      <c r="F832" s="83" t="s">
        <v>196</v>
      </c>
      <c r="G832" s="81" t="s">
        <v>70</v>
      </c>
      <c r="H832" s="83" t="s">
        <v>2</v>
      </c>
      <c r="I832" s="81" t="s">
        <v>21</v>
      </c>
      <c r="K832" s="220" t="s">
        <v>2031</v>
      </c>
      <c r="L832" s="205" t="s">
        <v>2029</v>
      </c>
    </row>
    <row r="833" spans="1:12" s="205" customFormat="1" ht="15.75" customHeight="1">
      <c r="A833" s="87" t="s">
        <v>1189</v>
      </c>
      <c r="B833" s="221" t="s">
        <v>1190</v>
      </c>
      <c r="C833" s="79">
        <v>44461</v>
      </c>
      <c r="D833" s="80">
        <v>44597</v>
      </c>
      <c r="E833" s="41">
        <f>D833-C833</f>
        <v>136</v>
      </c>
      <c r="F833" s="43" t="s">
        <v>0</v>
      </c>
      <c r="G833" s="81" t="s">
        <v>33</v>
      </c>
      <c r="H833" s="83" t="s">
        <v>2</v>
      </c>
      <c r="I833" s="207"/>
    </row>
    <row r="834" spans="1:12" s="205" customFormat="1" ht="15.75" customHeight="1">
      <c r="A834" s="87" t="s">
        <v>2032</v>
      </c>
      <c r="B834" s="221" t="s">
        <v>2033</v>
      </c>
      <c r="C834" s="79">
        <v>44477</v>
      </c>
      <c r="D834" s="80">
        <v>44598</v>
      </c>
      <c r="E834" s="41">
        <f>D834-C834</f>
        <v>121</v>
      </c>
      <c r="F834" s="83" t="s">
        <v>196</v>
      </c>
      <c r="G834" s="207"/>
      <c r="H834" s="83" t="s">
        <v>2</v>
      </c>
      <c r="I834" s="81" t="s">
        <v>21</v>
      </c>
    </row>
    <row r="835" spans="1:12" s="205" customFormat="1" ht="15.75" customHeight="1">
      <c r="A835" s="42" t="s">
        <v>1392</v>
      </c>
      <c r="B835" s="206" t="s">
        <v>1393</v>
      </c>
      <c r="C835" s="39">
        <v>44259</v>
      </c>
      <c r="D835" s="40">
        <v>44603</v>
      </c>
      <c r="E835" s="41">
        <f>D835-C835</f>
        <v>344</v>
      </c>
      <c r="F835" s="43" t="s">
        <v>0</v>
      </c>
      <c r="G835" s="45" t="s">
        <v>1</v>
      </c>
      <c r="H835" s="45" t="s">
        <v>2</v>
      </c>
      <c r="I835" s="207"/>
    </row>
    <row r="836" spans="1:12" s="205" customFormat="1" ht="15.75" customHeight="1">
      <c r="A836" s="205" t="s">
        <v>2034</v>
      </c>
      <c r="B836" s="221" t="s">
        <v>2035</v>
      </c>
      <c r="C836" s="79">
        <v>44549</v>
      </c>
      <c r="D836" s="80">
        <v>44604</v>
      </c>
      <c r="E836" s="41">
        <f>D836-C836</f>
        <v>55</v>
      </c>
      <c r="F836" s="81" t="s">
        <v>221</v>
      </c>
      <c r="G836" s="207"/>
      <c r="H836" s="83" t="s">
        <v>2</v>
      </c>
      <c r="I836" s="81" t="s">
        <v>2036</v>
      </c>
    </row>
    <row r="837" spans="1:12" s="205" customFormat="1" ht="15.75" customHeight="1">
      <c r="A837" s="87" t="s">
        <v>2037</v>
      </c>
      <c r="B837" s="221" t="s">
        <v>2038</v>
      </c>
      <c r="C837" s="79">
        <v>44586</v>
      </c>
      <c r="D837" s="80">
        <v>44608</v>
      </c>
      <c r="E837" s="41">
        <f>D837-C837</f>
        <v>22</v>
      </c>
      <c r="F837" s="43" t="s">
        <v>0</v>
      </c>
      <c r="G837" s="207"/>
      <c r="H837" s="83" t="s">
        <v>11</v>
      </c>
      <c r="I837" s="207"/>
      <c r="L837" s="87" t="s">
        <v>2039</v>
      </c>
    </row>
    <row r="838" spans="1:12" s="205" customFormat="1" ht="15.75" customHeight="1">
      <c r="A838" s="87" t="s">
        <v>2040</v>
      </c>
      <c r="B838" s="221" t="s">
        <v>2041</v>
      </c>
      <c r="C838" s="79">
        <v>44605</v>
      </c>
      <c r="D838" s="80">
        <v>44611</v>
      </c>
      <c r="E838" s="41">
        <f>D838-C838</f>
        <v>6</v>
      </c>
      <c r="F838" s="43" t="s">
        <v>0</v>
      </c>
      <c r="G838" s="207"/>
      <c r="H838" s="83" t="s">
        <v>11</v>
      </c>
      <c r="I838" s="207"/>
    </row>
    <row r="839" spans="1:12" s="205" customFormat="1" ht="15.75" customHeight="1">
      <c r="A839" s="205" t="s">
        <v>2042</v>
      </c>
      <c r="B839" s="221" t="s">
        <v>2043</v>
      </c>
      <c r="C839" s="79">
        <v>44570</v>
      </c>
      <c r="D839" s="80">
        <v>44611</v>
      </c>
      <c r="E839" s="41">
        <f>D839-C839</f>
        <v>41</v>
      </c>
      <c r="F839" s="43" t="s">
        <v>0</v>
      </c>
      <c r="G839" s="207"/>
      <c r="H839" s="45" t="s">
        <v>11</v>
      </c>
      <c r="I839" s="81" t="s">
        <v>1595</v>
      </c>
    </row>
    <row r="840" spans="1:12" s="205" customFormat="1" ht="15.75" customHeight="1">
      <c r="A840" s="87" t="s">
        <v>2044</v>
      </c>
      <c r="B840" s="221" t="s">
        <v>2045</v>
      </c>
      <c r="C840" s="79">
        <v>44537</v>
      </c>
      <c r="D840" s="80">
        <v>44611</v>
      </c>
      <c r="E840" s="41">
        <f>D840-C840</f>
        <v>74</v>
      </c>
      <c r="F840" s="43" t="s">
        <v>0</v>
      </c>
      <c r="G840" s="207"/>
      <c r="H840" s="83" t="s">
        <v>11</v>
      </c>
      <c r="I840" s="207"/>
      <c r="K840" s="220" t="s">
        <v>2046</v>
      </c>
      <c r="L840" s="87" t="s">
        <v>2047</v>
      </c>
    </row>
    <row r="841" spans="1:12" s="205" customFormat="1" ht="15.75" customHeight="1">
      <c r="A841" s="87" t="s">
        <v>2048</v>
      </c>
      <c r="B841" s="221" t="s">
        <v>2049</v>
      </c>
      <c r="C841" s="79">
        <v>44531</v>
      </c>
      <c r="D841" s="80">
        <v>44611</v>
      </c>
      <c r="E841" s="41">
        <f>D841-C841</f>
        <v>80</v>
      </c>
      <c r="F841" s="83" t="s">
        <v>196</v>
      </c>
      <c r="G841" s="207"/>
      <c r="H841" s="83" t="s">
        <v>11</v>
      </c>
      <c r="I841" s="81" t="s">
        <v>21</v>
      </c>
    </row>
    <row r="842" spans="1:12" s="205" customFormat="1" ht="15.75" customHeight="1">
      <c r="A842" s="87" t="s">
        <v>2050</v>
      </c>
      <c r="B842" s="221" t="s">
        <v>2051</v>
      </c>
      <c r="C842" s="79">
        <v>44527</v>
      </c>
      <c r="D842" s="80">
        <v>44611</v>
      </c>
      <c r="E842" s="41">
        <f>D842-C842</f>
        <v>84</v>
      </c>
      <c r="F842" s="43" t="s">
        <v>0</v>
      </c>
      <c r="G842" s="207"/>
      <c r="H842" s="83" t="s">
        <v>11</v>
      </c>
      <c r="I842" s="207"/>
    </row>
    <row r="843" spans="1:12" s="205" customFormat="1" ht="15.75" customHeight="1">
      <c r="A843" s="42" t="s">
        <v>475</v>
      </c>
      <c r="B843" s="206" t="s">
        <v>476</v>
      </c>
      <c r="C843" s="39">
        <v>44355</v>
      </c>
      <c r="D843" s="80">
        <v>44611</v>
      </c>
      <c r="E843" s="41">
        <f>D843-C843</f>
        <v>256</v>
      </c>
      <c r="F843" s="43" t="s">
        <v>0</v>
      </c>
      <c r="G843" s="45" t="s">
        <v>33</v>
      </c>
      <c r="H843" s="47" t="s">
        <v>11</v>
      </c>
      <c r="I843" s="207"/>
      <c r="K843" s="220" t="s">
        <v>2052</v>
      </c>
    </row>
    <row r="844" spans="1:12" s="205" customFormat="1" ht="15.75" customHeight="1">
      <c r="A844" s="87" t="s">
        <v>2053</v>
      </c>
      <c r="B844" s="221" t="s">
        <v>2054</v>
      </c>
      <c r="C844" s="79">
        <v>44571</v>
      </c>
      <c r="D844" s="80">
        <v>44618</v>
      </c>
      <c r="E844" s="41">
        <f>D844-C844</f>
        <v>47</v>
      </c>
      <c r="F844" s="43" t="s">
        <v>0</v>
      </c>
      <c r="G844" s="207"/>
      <c r="H844" s="83" t="s">
        <v>2</v>
      </c>
      <c r="I844" s="207"/>
    </row>
    <row r="845" spans="1:12" s="205" customFormat="1" ht="15.75" customHeight="1">
      <c r="A845" s="205" t="s">
        <v>1883</v>
      </c>
      <c r="B845" s="221" t="s">
        <v>1884</v>
      </c>
      <c r="C845" s="79">
        <v>44560</v>
      </c>
      <c r="D845" s="80">
        <v>44618</v>
      </c>
      <c r="E845" s="41">
        <f>D845-C845</f>
        <v>58</v>
      </c>
      <c r="F845" s="43" t="s">
        <v>0</v>
      </c>
      <c r="G845" s="207"/>
      <c r="H845" s="83" t="s">
        <v>2</v>
      </c>
      <c r="I845" s="207"/>
    </row>
    <row r="846" spans="1:12" s="205" customFormat="1" ht="15.75" customHeight="1">
      <c r="A846" s="205" t="s">
        <v>1944</v>
      </c>
      <c r="B846" s="221" t="s">
        <v>1945</v>
      </c>
      <c r="C846" s="79">
        <v>44560</v>
      </c>
      <c r="D846" s="80">
        <v>44618</v>
      </c>
      <c r="E846" s="41">
        <f>D846-C846</f>
        <v>58</v>
      </c>
      <c r="F846" s="208" t="s">
        <v>1013</v>
      </c>
      <c r="G846" s="45" t="s">
        <v>336</v>
      </c>
      <c r="H846" s="83" t="s">
        <v>11</v>
      </c>
      <c r="I846" s="207"/>
    </row>
    <row r="847" spans="1:12" s="205" customFormat="1" ht="15.75" customHeight="1">
      <c r="A847" s="87" t="s">
        <v>2055</v>
      </c>
      <c r="B847" s="221" t="s">
        <v>2055</v>
      </c>
      <c r="C847" s="79">
        <v>44615</v>
      </c>
      <c r="D847" s="80">
        <v>44625</v>
      </c>
      <c r="E847" s="41">
        <f>D847-C847</f>
        <v>10</v>
      </c>
      <c r="F847" s="208" t="s">
        <v>2056</v>
      </c>
      <c r="G847" s="207"/>
      <c r="H847" s="83" t="s">
        <v>11</v>
      </c>
      <c r="I847" s="207"/>
    </row>
    <row r="848" spans="1:12" s="205" customFormat="1" ht="15.75" customHeight="1">
      <c r="A848" s="205" t="s">
        <v>2057</v>
      </c>
      <c r="B848" s="221" t="s">
        <v>2058</v>
      </c>
      <c r="C848" s="79">
        <v>44597</v>
      </c>
      <c r="D848" s="80">
        <v>44625</v>
      </c>
      <c r="E848" s="41">
        <f>D848-C848</f>
        <v>28</v>
      </c>
      <c r="F848" s="83" t="s">
        <v>144</v>
      </c>
      <c r="G848" s="207"/>
      <c r="H848" s="83" t="s">
        <v>2</v>
      </c>
      <c r="I848" s="207"/>
    </row>
    <row r="849" spans="1:12" s="205" customFormat="1" ht="15.75" customHeight="1">
      <c r="A849" s="87" t="s">
        <v>2059</v>
      </c>
      <c r="B849" s="221" t="s">
        <v>2060</v>
      </c>
      <c r="C849" s="79">
        <v>44571</v>
      </c>
      <c r="D849" s="80">
        <v>44626</v>
      </c>
      <c r="E849" s="41">
        <f>D849-C849</f>
        <v>55</v>
      </c>
      <c r="F849" s="43" t="s">
        <v>0</v>
      </c>
      <c r="G849" s="207"/>
      <c r="H849" s="83" t="s">
        <v>2</v>
      </c>
      <c r="I849" s="207"/>
    </row>
    <row r="850" spans="1:12" s="205" customFormat="1" ht="15.75" customHeight="1">
      <c r="A850" s="87" t="s">
        <v>2061</v>
      </c>
      <c r="B850" s="221" t="s">
        <v>2062</v>
      </c>
      <c r="C850" s="79">
        <v>44591</v>
      </c>
      <c r="D850" s="80">
        <v>44629</v>
      </c>
      <c r="E850" s="41">
        <f>D850-C850</f>
        <v>38</v>
      </c>
      <c r="F850" s="43" t="s">
        <v>0</v>
      </c>
      <c r="G850" s="207"/>
      <c r="H850" s="83" t="s">
        <v>11</v>
      </c>
      <c r="I850" s="207"/>
    </row>
    <row r="851" spans="1:12" s="205" customFormat="1" ht="15.75" customHeight="1">
      <c r="A851" s="87" t="s">
        <v>2063</v>
      </c>
      <c r="B851" s="221" t="s">
        <v>2064</v>
      </c>
      <c r="C851" s="79">
        <v>44605</v>
      </c>
      <c r="D851" s="80">
        <v>44632</v>
      </c>
      <c r="E851" s="41">
        <f>D851-C851</f>
        <v>27</v>
      </c>
      <c r="F851" s="43" t="s">
        <v>0</v>
      </c>
      <c r="G851" s="207"/>
      <c r="H851" s="83" t="s">
        <v>2</v>
      </c>
      <c r="I851" s="207"/>
    </row>
    <row r="852" spans="1:12" s="205" customFormat="1" ht="15.75" customHeight="1">
      <c r="A852" s="87" t="s">
        <v>2065</v>
      </c>
      <c r="B852" s="221" t="s">
        <v>2065</v>
      </c>
      <c r="C852" s="79">
        <v>44563</v>
      </c>
      <c r="D852" s="80">
        <v>44632</v>
      </c>
      <c r="E852" s="41">
        <f>D852-C852</f>
        <v>69</v>
      </c>
      <c r="F852" s="208" t="s">
        <v>1928</v>
      </c>
      <c r="G852" s="207"/>
      <c r="H852" s="41" t="s">
        <v>11</v>
      </c>
      <c r="I852" s="207"/>
    </row>
    <row r="853" spans="1:12" s="205" customFormat="1" ht="15.75" customHeight="1">
      <c r="A853" s="205" t="s">
        <v>2066</v>
      </c>
      <c r="B853" s="221" t="s">
        <v>2067</v>
      </c>
      <c r="C853" s="79">
        <v>44486</v>
      </c>
      <c r="D853" s="80">
        <v>44632</v>
      </c>
      <c r="E853" s="41">
        <f>D853-C853</f>
        <v>146</v>
      </c>
      <c r="F853" s="43" t="s">
        <v>0</v>
      </c>
      <c r="G853" s="207"/>
      <c r="H853" s="83" t="s">
        <v>2</v>
      </c>
      <c r="I853" s="81" t="s">
        <v>2068</v>
      </c>
      <c r="K853" s="220" t="s">
        <v>2069</v>
      </c>
    </row>
    <row r="854" spans="1:12" s="205" customFormat="1" ht="15.75" customHeight="1">
      <c r="A854" s="205" t="s">
        <v>2070</v>
      </c>
      <c r="B854" s="221" t="s">
        <v>2071</v>
      </c>
      <c r="C854" s="79">
        <v>44421</v>
      </c>
      <c r="D854" s="80">
        <v>44632</v>
      </c>
      <c r="E854" s="41">
        <f>D854-C854</f>
        <v>211</v>
      </c>
      <c r="F854" s="83" t="s">
        <v>48</v>
      </c>
      <c r="G854" s="81" t="s">
        <v>1</v>
      </c>
      <c r="H854" s="83" t="s">
        <v>11</v>
      </c>
      <c r="I854" s="81" t="s">
        <v>85</v>
      </c>
      <c r="K854" s="220" t="s">
        <v>2072</v>
      </c>
      <c r="L854" s="220"/>
    </row>
    <row r="855" spans="1:12" s="205" customFormat="1" ht="15.75" customHeight="1">
      <c r="A855" s="205" t="s">
        <v>2073</v>
      </c>
      <c r="B855" s="221" t="s">
        <v>2074</v>
      </c>
      <c r="C855" s="79">
        <v>44595</v>
      </c>
      <c r="D855" s="80">
        <v>44633</v>
      </c>
      <c r="E855" s="41">
        <f>D855-C855</f>
        <v>38</v>
      </c>
      <c r="F855" s="43" t="s">
        <v>0</v>
      </c>
      <c r="G855" s="81" t="s">
        <v>2075</v>
      </c>
      <c r="H855" s="83" t="s">
        <v>2</v>
      </c>
    </row>
    <row r="856" spans="1:12" s="205" customFormat="1" ht="15.75" customHeight="1">
      <c r="A856" s="205" t="s">
        <v>2076</v>
      </c>
      <c r="B856" s="221" t="s">
        <v>2077</v>
      </c>
      <c r="C856" s="79">
        <v>44611</v>
      </c>
      <c r="D856" s="80">
        <v>44634</v>
      </c>
      <c r="E856" s="41">
        <f>D856-C856</f>
        <v>23</v>
      </c>
      <c r="F856" s="83" t="s">
        <v>2023</v>
      </c>
      <c r="G856" s="207"/>
      <c r="H856" s="83" t="s">
        <v>11</v>
      </c>
      <c r="I856" s="81" t="s">
        <v>21</v>
      </c>
    </row>
    <row r="857" spans="1:12" s="205" customFormat="1" ht="15.75" customHeight="1">
      <c r="A857" s="205" t="s">
        <v>1457</v>
      </c>
      <c r="B857" s="206" t="s">
        <v>1458</v>
      </c>
      <c r="C857" s="39">
        <v>44610</v>
      </c>
      <c r="D857" s="40">
        <v>44635</v>
      </c>
      <c r="E857" s="41">
        <f>D857-C857</f>
        <v>25</v>
      </c>
      <c r="F857" s="43" t="s">
        <v>0</v>
      </c>
      <c r="G857" s="81" t="s">
        <v>70</v>
      </c>
      <c r="H857" s="45" t="s">
        <v>11</v>
      </c>
      <c r="I857" s="45" t="s">
        <v>1450</v>
      </c>
      <c r="L857" s="42" t="s">
        <v>1459</v>
      </c>
    </row>
    <row r="858" spans="1:12" s="205" customFormat="1" ht="15.75" customHeight="1">
      <c r="A858" s="87" t="s">
        <v>1879</v>
      </c>
      <c r="B858" s="221" t="s">
        <v>1880</v>
      </c>
      <c r="C858" s="79">
        <v>44628</v>
      </c>
      <c r="D858" s="39">
        <v>44637</v>
      </c>
      <c r="E858" s="41">
        <f>D858-C858</f>
        <v>9</v>
      </c>
      <c r="F858" s="43" t="s">
        <v>0</v>
      </c>
      <c r="G858" s="207"/>
      <c r="H858" s="41" t="s">
        <v>11</v>
      </c>
      <c r="I858" s="207"/>
    </row>
    <row r="859" spans="1:12" s="205" customFormat="1" ht="15.75" customHeight="1">
      <c r="A859" s="42" t="s">
        <v>474</v>
      </c>
      <c r="B859" s="206" t="s">
        <v>630</v>
      </c>
      <c r="C859" s="39">
        <v>44578</v>
      </c>
      <c r="D859" s="39">
        <v>44637</v>
      </c>
      <c r="E859" s="41">
        <f>D859-C859</f>
        <v>59</v>
      </c>
      <c r="F859" s="43" t="s">
        <v>0</v>
      </c>
      <c r="G859" s="45" t="s">
        <v>471</v>
      </c>
      <c r="H859" s="45" t="s">
        <v>11</v>
      </c>
      <c r="I859" s="207"/>
    </row>
    <row r="860" spans="1:12" s="205" customFormat="1" ht="15.75" customHeight="1">
      <c r="A860" s="65" t="s">
        <v>1701</v>
      </c>
      <c r="B860" s="206" t="s">
        <v>1702</v>
      </c>
      <c r="C860" s="39">
        <v>44624</v>
      </c>
      <c r="D860" s="39">
        <v>44638</v>
      </c>
      <c r="E860" s="41">
        <f>D860-C860</f>
        <v>14</v>
      </c>
      <c r="F860" s="43" t="s">
        <v>0</v>
      </c>
      <c r="G860" s="207"/>
      <c r="H860" s="45" t="s">
        <v>2</v>
      </c>
      <c r="I860" s="207"/>
    </row>
    <row r="861" spans="1:12" s="205" customFormat="1" ht="15.75" customHeight="1">
      <c r="A861" s="87" t="s">
        <v>2078</v>
      </c>
      <c r="B861" s="221" t="s">
        <v>2079</v>
      </c>
      <c r="C861" s="79">
        <v>44619</v>
      </c>
      <c r="D861" s="80">
        <v>44639</v>
      </c>
      <c r="E861" s="41">
        <f>D861-C861</f>
        <v>20</v>
      </c>
      <c r="F861" s="208" t="s">
        <v>1570</v>
      </c>
      <c r="G861" s="207"/>
      <c r="H861" s="83" t="s">
        <v>11</v>
      </c>
      <c r="I861" s="207"/>
    </row>
    <row r="862" spans="1:12" s="205" customFormat="1" ht="15.75" customHeight="1">
      <c r="A862" s="205" t="s">
        <v>2080</v>
      </c>
      <c r="B862" s="221" t="s">
        <v>2081</v>
      </c>
      <c r="C862" s="39">
        <v>44564</v>
      </c>
      <c r="D862" s="80">
        <v>44639</v>
      </c>
      <c r="E862" s="41">
        <f>D862-C862</f>
        <v>75</v>
      </c>
      <c r="F862" s="43" t="s">
        <v>0</v>
      </c>
      <c r="G862" s="207"/>
      <c r="H862" s="41" t="s">
        <v>11</v>
      </c>
      <c r="I862" s="207"/>
    </row>
    <row r="863" spans="1:12" s="205" customFormat="1" ht="15.75" customHeight="1">
      <c r="A863" s="205" t="s">
        <v>2082</v>
      </c>
      <c r="B863" s="221" t="s">
        <v>2083</v>
      </c>
      <c r="C863" s="79">
        <v>44510</v>
      </c>
      <c r="D863" s="80">
        <v>44639</v>
      </c>
      <c r="E863" s="41">
        <f>D863-C863</f>
        <v>129</v>
      </c>
      <c r="F863" s="43" t="s">
        <v>0</v>
      </c>
      <c r="G863" s="81" t="s">
        <v>2084</v>
      </c>
      <c r="H863" s="83" t="s">
        <v>11</v>
      </c>
      <c r="I863" s="81" t="s">
        <v>125</v>
      </c>
      <c r="K863" s="220" t="s">
        <v>2085</v>
      </c>
    </row>
    <row r="864" spans="1:12" s="205" customFormat="1" ht="15.75" customHeight="1">
      <c r="A864" s="205" t="s">
        <v>1013</v>
      </c>
      <c r="B864" s="206" t="s">
        <v>1014</v>
      </c>
      <c r="C864" s="79">
        <v>44425</v>
      </c>
      <c r="D864" s="80">
        <v>44639</v>
      </c>
      <c r="E864" s="41">
        <f>D864-C864</f>
        <v>214</v>
      </c>
      <c r="F864" s="43" t="s">
        <v>0</v>
      </c>
      <c r="G864" s="81" t="s">
        <v>1</v>
      </c>
      <c r="H864" s="47" t="s">
        <v>2</v>
      </c>
      <c r="I864" s="207"/>
      <c r="K864" s="220" t="s">
        <v>2086</v>
      </c>
      <c r="L864" s="87" t="s">
        <v>2087</v>
      </c>
    </row>
    <row r="865" spans="1:12" s="205" customFormat="1" ht="15.75" customHeight="1">
      <c r="A865" s="87" t="s">
        <v>2088</v>
      </c>
      <c r="B865" s="221" t="s">
        <v>2089</v>
      </c>
      <c r="C865" s="79">
        <v>44419</v>
      </c>
      <c r="D865" s="80">
        <v>44639</v>
      </c>
      <c r="E865" s="41">
        <f>D865-C865</f>
        <v>220</v>
      </c>
      <c r="F865" s="208" t="s">
        <v>2090</v>
      </c>
      <c r="G865" s="207"/>
      <c r="H865" s="83" t="s">
        <v>11</v>
      </c>
      <c r="I865" s="207"/>
      <c r="K865" s="220" t="s">
        <v>2091</v>
      </c>
      <c r="L865" s="87" t="s">
        <v>2092</v>
      </c>
    </row>
    <row r="866" spans="1:12" s="205" customFormat="1" ht="15.75" customHeight="1">
      <c r="A866" s="42" t="s">
        <v>2093</v>
      </c>
      <c r="B866" s="206" t="s">
        <v>2094</v>
      </c>
      <c r="C866" s="79">
        <v>44296</v>
      </c>
      <c r="D866" s="80">
        <v>44639</v>
      </c>
      <c r="E866" s="41">
        <f>D866-C866</f>
        <v>343</v>
      </c>
      <c r="F866" s="83" t="s">
        <v>68</v>
      </c>
      <c r="G866" s="81" t="s">
        <v>1</v>
      </c>
      <c r="H866" s="83" t="s">
        <v>2</v>
      </c>
      <c r="I866" s="81" t="s">
        <v>3</v>
      </c>
      <c r="K866" s="87" t="s">
        <v>2095</v>
      </c>
    </row>
    <row r="867" spans="1:12" s="205" customFormat="1" ht="15.75" customHeight="1">
      <c r="A867" s="65" t="s">
        <v>2096</v>
      </c>
      <c r="B867" s="217" t="s">
        <v>2096</v>
      </c>
      <c r="C867" s="79">
        <v>44063</v>
      </c>
      <c r="D867" s="80">
        <v>44639</v>
      </c>
      <c r="E867" s="41">
        <f>D867-C867</f>
        <v>576</v>
      </c>
      <c r="F867" s="207" t="s">
        <v>1570</v>
      </c>
      <c r="G867" s="81" t="s">
        <v>33</v>
      </c>
      <c r="H867" s="83" t="s">
        <v>2</v>
      </c>
      <c r="I867" s="81" t="s">
        <v>1993</v>
      </c>
      <c r="K867" s="220" t="s">
        <v>2097</v>
      </c>
    </row>
    <row r="868" spans="1:12" s="205" customFormat="1" ht="15.75" customHeight="1">
      <c r="A868" s="65" t="s">
        <v>1744</v>
      </c>
      <c r="B868" s="206" t="s">
        <v>1745</v>
      </c>
      <c r="C868" s="39">
        <v>44524</v>
      </c>
      <c r="D868" s="80">
        <v>44642</v>
      </c>
      <c r="E868" s="41">
        <f>D868-C868</f>
        <v>118</v>
      </c>
      <c r="F868" s="43" t="s">
        <v>0</v>
      </c>
      <c r="G868" s="207"/>
      <c r="H868" s="83" t="s">
        <v>11</v>
      </c>
      <c r="I868" s="207"/>
    </row>
    <row r="869" spans="1:12" s="205" customFormat="1" ht="15.75" customHeight="1">
      <c r="A869" s="205" t="s">
        <v>363</v>
      </c>
      <c r="B869" s="206" t="s">
        <v>364</v>
      </c>
      <c r="C869" s="79">
        <v>44457</v>
      </c>
      <c r="D869" s="40">
        <v>44643</v>
      </c>
      <c r="E869" s="41">
        <f>D869-C869</f>
        <v>186</v>
      </c>
      <c r="F869" s="43" t="s">
        <v>0</v>
      </c>
      <c r="G869" s="207"/>
      <c r="H869" s="41" t="s">
        <v>11</v>
      </c>
      <c r="I869" s="45" t="s">
        <v>365</v>
      </c>
      <c r="K869" s="53" t="s">
        <v>366</v>
      </c>
    </row>
    <row r="870" spans="1:12" s="205" customFormat="1" ht="15.75" customHeight="1">
      <c r="A870" s="205" t="s">
        <v>2098</v>
      </c>
      <c r="B870" s="221" t="s">
        <v>2099</v>
      </c>
      <c r="C870" s="79">
        <v>44593</v>
      </c>
      <c r="D870" s="80">
        <v>44644</v>
      </c>
      <c r="E870" s="41">
        <f>D870-C870</f>
        <v>51</v>
      </c>
      <c r="F870" s="43" t="s">
        <v>0</v>
      </c>
      <c r="G870" s="207"/>
      <c r="H870" s="83" t="s">
        <v>2</v>
      </c>
      <c r="I870" s="207"/>
    </row>
    <row r="871" spans="1:12" s="205" customFormat="1" ht="15.75" customHeight="1">
      <c r="A871" s="205" t="s">
        <v>1570</v>
      </c>
      <c r="B871" s="206" t="s">
        <v>1864</v>
      </c>
      <c r="C871" s="79">
        <v>44596</v>
      </c>
      <c r="D871" s="80">
        <v>44646</v>
      </c>
      <c r="E871" s="41">
        <f>D871-C871</f>
        <v>50</v>
      </c>
      <c r="F871" s="83" t="s">
        <v>0</v>
      </c>
      <c r="G871" s="81" t="s">
        <v>33</v>
      </c>
      <c r="H871" s="81" t="s">
        <v>11</v>
      </c>
      <c r="I871" s="207"/>
      <c r="K871" s="53" t="s">
        <v>1865</v>
      </c>
      <c r="L871" s="42" t="s">
        <v>1866</v>
      </c>
    </row>
    <row r="872" spans="1:12" s="205" customFormat="1" ht="15.75" customHeight="1">
      <c r="A872" s="42" t="s">
        <v>1635</v>
      </c>
      <c r="B872" s="206" t="s">
        <v>1636</v>
      </c>
      <c r="C872" s="39">
        <v>44554</v>
      </c>
      <c r="D872" s="80">
        <v>44646</v>
      </c>
      <c r="E872" s="41">
        <f>D872-C872</f>
        <v>92</v>
      </c>
      <c r="F872" s="43" t="s">
        <v>0</v>
      </c>
      <c r="G872" s="207"/>
      <c r="H872" s="83" t="s">
        <v>2</v>
      </c>
      <c r="I872" s="207"/>
      <c r="K872" s="220" t="s">
        <v>2100</v>
      </c>
      <c r="L872" s="42" t="s">
        <v>2101</v>
      </c>
    </row>
    <row r="873" spans="1:12" s="205" customFormat="1" ht="15.75" customHeight="1">
      <c r="A873" s="205" t="s">
        <v>1928</v>
      </c>
      <c r="B873" s="221" t="s">
        <v>2102</v>
      </c>
      <c r="C873" s="79">
        <v>44550</v>
      </c>
      <c r="D873" s="80">
        <v>44646</v>
      </c>
      <c r="E873" s="41">
        <f>D873-C873</f>
        <v>96</v>
      </c>
      <c r="F873" s="43" t="s">
        <v>0</v>
      </c>
      <c r="G873" s="81" t="s">
        <v>70</v>
      </c>
      <c r="H873" s="83" t="s">
        <v>11</v>
      </c>
      <c r="I873" s="81" t="s">
        <v>2103</v>
      </c>
    </row>
    <row r="874" spans="1:12" s="205" customFormat="1" ht="15.75" customHeight="1">
      <c r="A874" s="87" t="s">
        <v>2104</v>
      </c>
      <c r="B874" s="221" t="s">
        <v>2105</v>
      </c>
      <c r="C874" s="79">
        <v>44515</v>
      </c>
      <c r="D874" s="80">
        <v>44646</v>
      </c>
      <c r="E874" s="41">
        <f>D874-C874</f>
        <v>131</v>
      </c>
      <c r="F874" s="208" t="s">
        <v>2106</v>
      </c>
      <c r="G874" s="81" t="s">
        <v>1</v>
      </c>
      <c r="H874" s="83" t="s">
        <v>11</v>
      </c>
      <c r="I874" s="81" t="s">
        <v>85</v>
      </c>
      <c r="K874" s="220" t="s">
        <v>2107</v>
      </c>
      <c r="L874" s="87" t="s">
        <v>2108</v>
      </c>
    </row>
    <row r="875" spans="1:12" s="205" customFormat="1" ht="15.75" customHeight="1">
      <c r="A875" s="205" t="s">
        <v>1729</v>
      </c>
      <c r="B875" s="206" t="s">
        <v>1730</v>
      </c>
      <c r="C875" s="79">
        <v>44472</v>
      </c>
      <c r="D875" s="80">
        <v>44646</v>
      </c>
      <c r="E875" s="41">
        <f>D875-C875</f>
        <v>174</v>
      </c>
      <c r="F875" s="43" t="s">
        <v>0</v>
      </c>
      <c r="G875" s="207"/>
      <c r="H875" s="41" t="s">
        <v>11</v>
      </c>
      <c r="I875" s="207"/>
    </row>
    <row r="876" spans="1:12" s="205" customFormat="1" ht="15.75" customHeight="1">
      <c r="A876" s="42" t="s">
        <v>2109</v>
      </c>
      <c r="B876" s="206" t="s">
        <v>2110</v>
      </c>
      <c r="C876" s="79">
        <v>44243</v>
      </c>
      <c r="D876" s="80">
        <v>44646</v>
      </c>
      <c r="E876" s="41">
        <f>D876-C876</f>
        <v>403</v>
      </c>
      <c r="F876" s="43" t="s">
        <v>0</v>
      </c>
      <c r="G876" s="207"/>
      <c r="H876" s="83" t="s">
        <v>2</v>
      </c>
      <c r="I876" s="207"/>
      <c r="K876" s="220" t="s">
        <v>2111</v>
      </c>
    </row>
    <row r="877" spans="1:12" s="205" customFormat="1" ht="15.75" customHeight="1">
      <c r="A877" s="87" t="s">
        <v>2112</v>
      </c>
      <c r="B877" s="221" t="s">
        <v>2112</v>
      </c>
      <c r="C877" s="79">
        <v>44550</v>
      </c>
      <c r="D877" s="80">
        <v>44647</v>
      </c>
      <c r="E877" s="41">
        <f>D877-C877</f>
        <v>97</v>
      </c>
      <c r="F877" s="208" t="s">
        <v>177</v>
      </c>
      <c r="G877" s="207"/>
      <c r="H877" s="41" t="s">
        <v>2</v>
      </c>
      <c r="I877" s="81" t="s">
        <v>135</v>
      </c>
      <c r="K877" s="220" t="s">
        <v>2113</v>
      </c>
      <c r="L877" s="87" t="s">
        <v>2114</v>
      </c>
    </row>
    <row r="878" spans="1:12" s="205" customFormat="1" ht="15.75" customHeight="1">
      <c r="A878" s="87" t="s">
        <v>840</v>
      </c>
      <c r="B878" s="221" t="s">
        <v>2115</v>
      </c>
      <c r="C878" s="79">
        <v>44508</v>
      </c>
      <c r="D878" s="80">
        <v>44647</v>
      </c>
      <c r="E878" s="41">
        <f>D878-C878</f>
        <v>139</v>
      </c>
      <c r="F878" s="43" t="s">
        <v>0</v>
      </c>
      <c r="G878" s="207"/>
      <c r="H878" s="83" t="s">
        <v>11</v>
      </c>
      <c r="I878" s="81" t="s">
        <v>90</v>
      </c>
      <c r="K878" s="220" t="s">
        <v>2116</v>
      </c>
    </row>
    <row r="879" spans="1:12" s="205" customFormat="1" ht="15.75" customHeight="1">
      <c r="A879" s="205" t="s">
        <v>2117</v>
      </c>
      <c r="B879" s="221" t="s">
        <v>2118</v>
      </c>
      <c r="C879" s="79">
        <v>44628</v>
      </c>
      <c r="D879" s="80">
        <v>44653</v>
      </c>
      <c r="E879" s="41">
        <f>D879-C879</f>
        <v>25</v>
      </c>
      <c r="F879" s="43" t="s">
        <v>0</v>
      </c>
      <c r="G879" s="207"/>
      <c r="H879" s="45" t="s">
        <v>2</v>
      </c>
      <c r="I879" s="207"/>
    </row>
    <row r="880" spans="1:12" s="205" customFormat="1" ht="15.75" customHeight="1">
      <c r="A880" s="87" t="s">
        <v>2119</v>
      </c>
      <c r="B880" s="221" t="s">
        <v>2120</v>
      </c>
      <c r="C880" s="79">
        <v>44482</v>
      </c>
      <c r="D880" s="80">
        <v>44653</v>
      </c>
      <c r="E880" s="41">
        <f>D880-C880</f>
        <v>171</v>
      </c>
      <c r="F880" s="43" t="s">
        <v>0</v>
      </c>
      <c r="G880" s="81" t="s">
        <v>33</v>
      </c>
      <c r="H880" s="83" t="s">
        <v>11</v>
      </c>
      <c r="I880" s="207"/>
      <c r="K880" s="220" t="s">
        <v>2121</v>
      </c>
    </row>
    <row r="881" spans="1:27" s="205" customFormat="1" ht="15.75" customHeight="1">
      <c r="A881" s="205" t="s">
        <v>2122</v>
      </c>
      <c r="B881" s="221" t="s">
        <v>2123</v>
      </c>
      <c r="C881" s="79">
        <v>44528</v>
      </c>
      <c r="D881" s="80">
        <v>44654</v>
      </c>
      <c r="E881" s="41">
        <f>D881-C881</f>
        <v>126</v>
      </c>
      <c r="F881" s="43" t="s">
        <v>0</v>
      </c>
      <c r="G881" s="81" t="s">
        <v>995</v>
      </c>
      <c r="H881" s="83" t="s">
        <v>11</v>
      </c>
      <c r="I881" s="207"/>
    </row>
    <row r="882" spans="1:27" s="205" customFormat="1" ht="15.75" customHeight="1">
      <c r="A882" s="87" t="s">
        <v>2124</v>
      </c>
      <c r="B882" s="221" t="s">
        <v>2125</v>
      </c>
      <c r="C882" s="79">
        <v>44549</v>
      </c>
      <c r="D882" s="80">
        <v>44655</v>
      </c>
      <c r="E882" s="41">
        <f>D882-C882</f>
        <v>106</v>
      </c>
      <c r="F882" s="43" t="s">
        <v>0</v>
      </c>
      <c r="G882" s="81" t="s">
        <v>33</v>
      </c>
      <c r="H882" s="83" t="s">
        <v>11</v>
      </c>
      <c r="I882" s="81" t="s">
        <v>125</v>
      </c>
      <c r="K882" s="220" t="s">
        <v>2126</v>
      </c>
      <c r="L882" s="87" t="s">
        <v>2127</v>
      </c>
    </row>
    <row r="883" spans="1:27" s="205" customFormat="1" ht="15.75" customHeight="1">
      <c r="A883" s="205" t="s">
        <v>2128</v>
      </c>
      <c r="B883" s="206" t="s">
        <v>2129</v>
      </c>
      <c r="C883" s="79">
        <v>44196</v>
      </c>
      <c r="D883" s="80">
        <v>44656</v>
      </c>
      <c r="E883" s="41">
        <f>D883-C883</f>
        <v>460</v>
      </c>
      <c r="F883" s="43" t="s">
        <v>0</v>
      </c>
      <c r="G883" s="207"/>
      <c r="H883" s="83" t="s">
        <v>11</v>
      </c>
      <c r="I883" s="207"/>
    </row>
    <row r="884" spans="1:27" s="205" customFormat="1" ht="15.75" customHeight="1">
      <c r="A884" s="205" t="s">
        <v>2130</v>
      </c>
      <c r="B884" s="206" t="s">
        <v>2131</v>
      </c>
      <c r="C884" s="79">
        <v>44262</v>
      </c>
      <c r="D884" s="80">
        <v>44657</v>
      </c>
      <c r="E884" s="41">
        <f>D884-C884</f>
        <v>395</v>
      </c>
      <c r="F884" s="43" t="s">
        <v>0</v>
      </c>
      <c r="G884" s="81" t="s">
        <v>33</v>
      </c>
      <c r="H884" s="83" t="s">
        <v>2</v>
      </c>
      <c r="I884" s="81" t="s">
        <v>2132</v>
      </c>
      <c r="K884" s="220" t="s">
        <v>2133</v>
      </c>
    </row>
    <row r="885" spans="1:27" s="205" customFormat="1" ht="15.75" customHeight="1">
      <c r="A885" s="205" t="s">
        <v>2134</v>
      </c>
      <c r="B885" s="221" t="s">
        <v>2135</v>
      </c>
      <c r="C885" s="79">
        <v>44653</v>
      </c>
      <c r="D885" s="80">
        <v>44659</v>
      </c>
      <c r="E885" s="41">
        <f>D885-C885</f>
        <v>6</v>
      </c>
      <c r="F885" s="81" t="s">
        <v>2136</v>
      </c>
      <c r="G885" s="207"/>
      <c r="H885" s="83" t="s">
        <v>11</v>
      </c>
      <c r="I885" s="207"/>
    </row>
    <row r="886" spans="1:27" s="205" customFormat="1" ht="15.75" customHeight="1">
      <c r="A886" s="57" t="s">
        <v>1371</v>
      </c>
      <c r="B886" s="209" t="s">
        <v>1372</v>
      </c>
      <c r="C886" s="39">
        <v>44601</v>
      </c>
      <c r="D886" s="39">
        <v>44660</v>
      </c>
      <c r="E886" s="41">
        <f>D886-C886</f>
        <v>59</v>
      </c>
      <c r="F886" s="43" t="s">
        <v>0</v>
      </c>
      <c r="H886" s="83" t="s">
        <v>2</v>
      </c>
      <c r="I886" s="207"/>
      <c r="K886" s="53" t="s">
        <v>1373</v>
      </c>
      <c r="L886" s="42" t="s">
        <v>2137</v>
      </c>
    </row>
    <row r="887" spans="1:27" s="205" customFormat="1" ht="15.75" customHeight="1">
      <c r="A887" s="205" t="s">
        <v>2106</v>
      </c>
      <c r="B887" s="221" t="s">
        <v>2138</v>
      </c>
      <c r="C887" s="79">
        <v>43847</v>
      </c>
      <c r="D887" s="39">
        <v>44660</v>
      </c>
      <c r="E887" s="41">
        <f>D887-C887</f>
        <v>813</v>
      </c>
      <c r="F887" s="83" t="s">
        <v>0</v>
      </c>
      <c r="G887" s="45" t="s">
        <v>43</v>
      </c>
      <c r="H887" s="83" t="s">
        <v>11</v>
      </c>
      <c r="I887" s="81" t="s">
        <v>2139</v>
      </c>
      <c r="K887" s="53" t="s">
        <v>2140</v>
      </c>
    </row>
    <row r="888" spans="1:27" s="205" customFormat="1" ht="15.75" customHeight="1">
      <c r="A888" s="87" t="s">
        <v>2141</v>
      </c>
      <c r="B888" s="221" t="s">
        <v>2142</v>
      </c>
      <c r="C888" s="79">
        <v>44475</v>
      </c>
      <c r="D888" s="80">
        <v>44666</v>
      </c>
      <c r="E888" s="41">
        <f>D888-C888</f>
        <v>191</v>
      </c>
      <c r="F888" s="43" t="s">
        <v>0</v>
      </c>
      <c r="G888" s="81" t="s">
        <v>1</v>
      </c>
      <c r="H888" s="83" t="s">
        <v>2</v>
      </c>
      <c r="I888" s="207"/>
      <c r="J888" s="87" t="s">
        <v>817</v>
      </c>
      <c r="K888" s="220" t="s">
        <v>2143</v>
      </c>
    </row>
    <row r="889" spans="1:27" s="205" customFormat="1" ht="15.75" customHeight="1">
      <c r="A889" s="87" t="s">
        <v>764</v>
      </c>
      <c r="B889" s="221" t="s">
        <v>2144</v>
      </c>
      <c r="C889" s="79">
        <v>44649</v>
      </c>
      <c r="D889" s="80">
        <v>44667</v>
      </c>
      <c r="E889" s="41">
        <f>D889-C889</f>
        <v>18</v>
      </c>
      <c r="F889" s="43" t="s">
        <v>0</v>
      </c>
      <c r="G889" s="81" t="s">
        <v>33</v>
      </c>
      <c r="H889" s="81" t="s">
        <v>11</v>
      </c>
      <c r="I889" s="207"/>
    </row>
    <row r="890" spans="1:27" s="205" customFormat="1" ht="15.75" customHeight="1">
      <c r="A890" s="205" t="s">
        <v>2145</v>
      </c>
      <c r="B890" s="221" t="s">
        <v>2146</v>
      </c>
      <c r="C890" s="79">
        <v>44637</v>
      </c>
      <c r="D890" s="80">
        <v>44667</v>
      </c>
      <c r="E890" s="41">
        <f>D890-C890</f>
        <v>30</v>
      </c>
      <c r="F890" s="43" t="s">
        <v>0</v>
      </c>
      <c r="G890" s="81" t="s">
        <v>1357</v>
      </c>
      <c r="H890" s="83" t="s">
        <v>11</v>
      </c>
      <c r="I890" s="207"/>
    </row>
    <row r="891" spans="1:27" s="205" customFormat="1" ht="15.75" customHeight="1">
      <c r="A891" s="205" t="s">
        <v>2147</v>
      </c>
      <c r="B891" s="206" t="s">
        <v>2148</v>
      </c>
      <c r="C891" s="79">
        <v>43959</v>
      </c>
      <c r="D891" s="80">
        <v>44667</v>
      </c>
      <c r="E891" s="41">
        <f>D891-C891</f>
        <v>708</v>
      </c>
      <c r="F891" s="83" t="s">
        <v>595</v>
      </c>
      <c r="G891" s="81" t="s">
        <v>43</v>
      </c>
      <c r="H891" s="83" t="s">
        <v>11</v>
      </c>
      <c r="I891" s="81" t="s">
        <v>2139</v>
      </c>
      <c r="K891" s="53" t="s">
        <v>2149</v>
      </c>
      <c r="L891" s="42" t="s">
        <v>2150</v>
      </c>
    </row>
    <row r="892" spans="1:27" s="205" customFormat="1" ht="15.75" customHeight="1">
      <c r="A892" s="205" t="s">
        <v>2151</v>
      </c>
      <c r="B892" s="221" t="s">
        <v>2152</v>
      </c>
      <c r="C892" s="79">
        <v>44516</v>
      </c>
      <c r="D892" s="80">
        <v>44668</v>
      </c>
      <c r="E892" s="41">
        <f>D892-C892</f>
        <v>152</v>
      </c>
      <c r="F892" s="43" t="s">
        <v>0</v>
      </c>
      <c r="G892" s="81" t="s">
        <v>995</v>
      </c>
      <c r="H892" s="83" t="s">
        <v>2</v>
      </c>
      <c r="I892" s="207"/>
      <c r="K892" s="220" t="s">
        <v>2153</v>
      </c>
    </row>
    <row r="893" spans="1:27" s="205" customFormat="1" ht="15.75" customHeight="1">
      <c r="A893" s="205" t="s">
        <v>2154</v>
      </c>
      <c r="B893" s="221" t="s">
        <v>2155</v>
      </c>
      <c r="C893" s="79">
        <v>44547</v>
      </c>
      <c r="D893" s="80">
        <v>44669</v>
      </c>
      <c r="E893" s="41">
        <f>D893-C893</f>
        <v>122</v>
      </c>
      <c r="F893" s="208" t="s">
        <v>2122</v>
      </c>
      <c r="G893" s="81" t="s">
        <v>805</v>
      </c>
      <c r="H893" s="83" t="s">
        <v>11</v>
      </c>
      <c r="I893" s="81" t="s">
        <v>21</v>
      </c>
      <c r="K893" s="220" t="s">
        <v>2156</v>
      </c>
    </row>
    <row r="894" spans="1:27" s="205" customFormat="1" ht="15.75" customHeight="1">
      <c r="A894" s="87" t="s">
        <v>2157</v>
      </c>
      <c r="B894" s="221" t="s">
        <v>2158</v>
      </c>
      <c r="C894" s="79">
        <v>44629</v>
      </c>
      <c r="D894" s="80">
        <v>44671</v>
      </c>
      <c r="E894" s="41">
        <f>D894-C894</f>
        <v>42</v>
      </c>
      <c r="F894" s="43" t="s">
        <v>0</v>
      </c>
      <c r="G894" s="207"/>
      <c r="H894" s="41" t="s">
        <v>11</v>
      </c>
      <c r="I894" s="207"/>
    </row>
    <row r="895" spans="1:27" s="205" customFormat="1" ht="15.75" customHeight="1">
      <c r="A895" s="205" t="s">
        <v>2159</v>
      </c>
      <c r="B895" s="221" t="s">
        <v>2160</v>
      </c>
      <c r="C895" s="79">
        <v>44644</v>
      </c>
      <c r="D895" s="80">
        <v>44672</v>
      </c>
      <c r="E895" s="41">
        <f>D895-C895</f>
        <v>28</v>
      </c>
      <c r="F895" s="208" t="s">
        <v>2161</v>
      </c>
      <c r="G895" s="207"/>
      <c r="H895" s="83" t="s">
        <v>11</v>
      </c>
      <c r="I895" s="207"/>
    </row>
    <row r="896" spans="1:27" s="205" customFormat="1">
      <c r="A896" s="205" t="s">
        <v>2162</v>
      </c>
      <c r="B896" s="221" t="s">
        <v>2163</v>
      </c>
      <c r="C896" s="79">
        <v>44649</v>
      </c>
      <c r="D896" s="79">
        <v>44674</v>
      </c>
      <c r="E896" s="41">
        <f>D896-C896</f>
        <v>25</v>
      </c>
      <c r="F896" s="43" t="s">
        <v>0</v>
      </c>
      <c r="G896" s="207"/>
      <c r="H896" s="83" t="s">
        <v>2</v>
      </c>
      <c r="I896" s="20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</row>
    <row r="897" spans="1:27" s="205" customFormat="1" ht="15.75" customHeight="1">
      <c r="A897" s="205" t="s">
        <v>2164</v>
      </c>
      <c r="B897" s="206" t="s">
        <v>2165</v>
      </c>
      <c r="C897" s="79">
        <v>44322</v>
      </c>
      <c r="D897" s="79">
        <v>44674</v>
      </c>
      <c r="E897" s="41">
        <f>D897-C897</f>
        <v>352</v>
      </c>
      <c r="F897" s="43" t="s">
        <v>0</v>
      </c>
      <c r="G897" s="81" t="s">
        <v>2166</v>
      </c>
      <c r="H897" s="83" t="s">
        <v>11</v>
      </c>
      <c r="I897" s="207"/>
      <c r="K897" s="220" t="s">
        <v>2167</v>
      </c>
    </row>
    <row r="898" spans="1:27" s="205" customFormat="1" ht="15.75" customHeight="1">
      <c r="A898" s="205" t="s">
        <v>2168</v>
      </c>
      <c r="B898" s="206" t="s">
        <v>2169</v>
      </c>
      <c r="C898" s="79">
        <v>43620</v>
      </c>
      <c r="D898" s="79">
        <v>44674</v>
      </c>
      <c r="E898" s="41">
        <f>D898-C898</f>
        <v>1054</v>
      </c>
      <c r="F898" s="83" t="s">
        <v>0</v>
      </c>
      <c r="G898" s="87"/>
      <c r="H898" s="81" t="s">
        <v>2</v>
      </c>
      <c r="I898" s="81" t="s">
        <v>2170</v>
      </c>
      <c r="J898" s="87"/>
      <c r="K898" s="87"/>
      <c r="L898" s="87" t="s">
        <v>2171</v>
      </c>
      <c r="M898" s="87"/>
    </row>
    <row r="899" spans="1:27" s="205" customFormat="1" ht="15.75" customHeight="1">
      <c r="A899" s="87" t="s">
        <v>2172</v>
      </c>
      <c r="B899" s="221" t="s">
        <v>2173</v>
      </c>
      <c r="C899" s="79">
        <v>44588</v>
      </c>
      <c r="D899" s="80">
        <v>44676</v>
      </c>
      <c r="E899" s="41">
        <f>D899-C899</f>
        <v>88</v>
      </c>
      <c r="F899" s="43" t="s">
        <v>0</v>
      </c>
      <c r="G899" s="81" t="s">
        <v>2174</v>
      </c>
      <c r="H899" s="83" t="s">
        <v>11</v>
      </c>
    </row>
    <row r="900" spans="1:27" s="205" customFormat="1" ht="15.75" customHeight="1">
      <c r="A900" s="87" t="s">
        <v>2175</v>
      </c>
      <c r="B900" s="221" t="s">
        <v>2176</v>
      </c>
      <c r="C900" s="79">
        <v>44647</v>
      </c>
      <c r="D900" s="80">
        <v>44680</v>
      </c>
      <c r="E900" s="41">
        <f>D900-C900</f>
        <v>33</v>
      </c>
      <c r="F900" s="43" t="s">
        <v>0</v>
      </c>
      <c r="G900" s="207"/>
      <c r="H900" s="83" t="s">
        <v>11</v>
      </c>
      <c r="I900" s="207"/>
    </row>
    <row r="901" spans="1:27" s="205" customFormat="1" ht="15.75" customHeight="1">
      <c r="A901" s="42" t="s">
        <v>1563</v>
      </c>
      <c r="B901" s="206" t="s">
        <v>1563</v>
      </c>
      <c r="C901" s="39">
        <v>44543</v>
      </c>
      <c r="D901" s="40">
        <v>44681</v>
      </c>
      <c r="E901" s="41">
        <f>D901-C901</f>
        <v>138</v>
      </c>
      <c r="F901" s="43" t="s">
        <v>0</v>
      </c>
      <c r="G901" s="207"/>
      <c r="H901" s="83" t="s">
        <v>2</v>
      </c>
      <c r="I901" s="207"/>
    </row>
    <row r="902" spans="1:27" s="205" customFormat="1" ht="15.75" customHeight="1">
      <c r="A902" s="205" t="s">
        <v>1211</v>
      </c>
      <c r="B902" s="206" t="s">
        <v>1546</v>
      </c>
      <c r="C902" s="39">
        <v>44564</v>
      </c>
      <c r="D902" s="80">
        <v>44695</v>
      </c>
      <c r="E902" s="41">
        <f>D902-C902</f>
        <v>131</v>
      </c>
      <c r="F902" s="43" t="s">
        <v>0</v>
      </c>
      <c r="G902" s="45" t="s">
        <v>43</v>
      </c>
      <c r="H902" s="41" t="s">
        <v>11</v>
      </c>
      <c r="I902" s="207"/>
      <c r="K902" s="53" t="s">
        <v>1547</v>
      </c>
      <c r="L902" s="42" t="s">
        <v>1548</v>
      </c>
    </row>
    <row r="903" spans="1:27" s="205" customFormat="1" ht="15.75" customHeight="1">
      <c r="A903" s="205" t="s">
        <v>1294</v>
      </c>
      <c r="B903" s="206" t="s">
        <v>1377</v>
      </c>
      <c r="C903" s="39">
        <v>44156</v>
      </c>
      <c r="D903" s="40">
        <v>44695</v>
      </c>
      <c r="E903" s="41">
        <f>D903-C903</f>
        <v>539</v>
      </c>
      <c r="F903" s="43" t="s">
        <v>0</v>
      </c>
      <c r="G903" s="45" t="s">
        <v>1</v>
      </c>
      <c r="H903" s="45" t="s">
        <v>2</v>
      </c>
      <c r="I903" s="45" t="s">
        <v>21</v>
      </c>
      <c r="K903" s="53" t="s">
        <v>1378</v>
      </c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</row>
    <row r="904" spans="1:27" s="205" customFormat="1" ht="15.75" customHeight="1">
      <c r="A904" s="57" t="s">
        <v>2177</v>
      </c>
      <c r="B904" s="222" t="s">
        <v>2178</v>
      </c>
      <c r="C904" s="79">
        <v>43757</v>
      </c>
      <c r="D904" s="80">
        <v>44695</v>
      </c>
      <c r="E904" s="41">
        <f>D904-C904</f>
        <v>938</v>
      </c>
      <c r="F904" s="83" t="s">
        <v>0</v>
      </c>
      <c r="G904" s="81" t="s">
        <v>33</v>
      </c>
      <c r="H904" s="81" t="s">
        <v>2</v>
      </c>
      <c r="I904" s="207"/>
      <c r="J904" s="87"/>
      <c r="K904" s="220" t="s">
        <v>2179</v>
      </c>
      <c r="L904" s="87"/>
      <c r="M904" s="87"/>
    </row>
    <row r="905" spans="1:27" s="205" customFormat="1" ht="15.75" customHeight="1">
      <c r="A905" s="87" t="s">
        <v>2180</v>
      </c>
      <c r="B905" s="221" t="s">
        <v>2181</v>
      </c>
      <c r="C905" s="79">
        <v>44520</v>
      </c>
      <c r="D905" s="80">
        <v>44696</v>
      </c>
      <c r="E905" s="41">
        <f>D905-C905</f>
        <v>176</v>
      </c>
      <c r="F905" s="208" t="s">
        <v>180</v>
      </c>
      <c r="G905" s="81" t="s">
        <v>805</v>
      </c>
      <c r="H905" s="83" t="s">
        <v>2</v>
      </c>
      <c r="I905" s="207"/>
    </row>
    <row r="906" spans="1:27" s="205" customFormat="1" ht="15.75" customHeight="1">
      <c r="A906" s="87" t="s">
        <v>2182</v>
      </c>
      <c r="B906" s="221" t="s">
        <v>2183</v>
      </c>
      <c r="C906" s="79">
        <v>44647</v>
      </c>
      <c r="D906" s="80">
        <v>44702</v>
      </c>
      <c r="E906" s="41">
        <f>D906-C906</f>
        <v>55</v>
      </c>
      <c r="F906" s="43" t="s">
        <v>0</v>
      </c>
      <c r="G906" s="207"/>
      <c r="H906" s="83" t="s">
        <v>2</v>
      </c>
      <c r="I906" s="207"/>
    </row>
    <row r="907" spans="1:27" s="205" customFormat="1" ht="15.75" customHeight="1">
      <c r="A907" s="87" t="s">
        <v>2184</v>
      </c>
      <c r="B907" s="221" t="s">
        <v>2185</v>
      </c>
      <c r="C907" s="79">
        <v>44600</v>
      </c>
      <c r="D907" s="80">
        <v>44702</v>
      </c>
      <c r="E907" s="41">
        <f>D907-C907</f>
        <v>102</v>
      </c>
      <c r="F907" s="43" t="s">
        <v>0</v>
      </c>
      <c r="G907" s="207"/>
      <c r="H907" s="83" t="s">
        <v>2</v>
      </c>
      <c r="I907" s="207"/>
    </row>
    <row r="908" spans="1:27" s="205" customFormat="1" ht="15.75" customHeight="1">
      <c r="A908" s="205" t="s">
        <v>2186</v>
      </c>
      <c r="B908" s="221" t="s">
        <v>2187</v>
      </c>
      <c r="C908" s="79">
        <v>44437</v>
      </c>
      <c r="D908" s="80">
        <v>44702</v>
      </c>
      <c r="E908" s="41">
        <f>D908-C908</f>
        <v>265</v>
      </c>
      <c r="F908" s="83" t="s">
        <v>1358</v>
      </c>
      <c r="G908" s="81" t="s">
        <v>1</v>
      </c>
      <c r="H908" s="83" t="s">
        <v>11</v>
      </c>
      <c r="I908" s="81" t="s">
        <v>154</v>
      </c>
      <c r="L908" s="87" t="s">
        <v>2188</v>
      </c>
    </row>
    <row r="909" spans="1:27" s="205" customFormat="1" ht="15.75" customHeight="1">
      <c r="A909" s="205" t="s">
        <v>2189</v>
      </c>
      <c r="B909" s="221" t="s">
        <v>2190</v>
      </c>
      <c r="C909" s="79">
        <v>44699</v>
      </c>
      <c r="D909" s="80">
        <v>44709</v>
      </c>
      <c r="E909" s="41">
        <f>D909-C909</f>
        <v>10</v>
      </c>
      <c r="F909" s="83" t="s">
        <v>144</v>
      </c>
      <c r="G909" s="207"/>
      <c r="H909" s="83" t="s">
        <v>2</v>
      </c>
      <c r="I909" s="207"/>
    </row>
    <row r="910" spans="1:27" s="205" customFormat="1" ht="15.75" customHeight="1">
      <c r="A910" s="87" t="s">
        <v>2191</v>
      </c>
      <c r="B910" s="221" t="s">
        <v>2192</v>
      </c>
      <c r="C910" s="79">
        <v>44576</v>
      </c>
      <c r="D910" s="80">
        <v>44709</v>
      </c>
      <c r="E910" s="41">
        <f>D910-C910</f>
        <v>133</v>
      </c>
      <c r="F910" s="43" t="s">
        <v>0</v>
      </c>
      <c r="G910" s="81" t="s">
        <v>1</v>
      </c>
      <c r="H910" s="83" t="s">
        <v>2</v>
      </c>
      <c r="I910" s="81" t="s">
        <v>21</v>
      </c>
      <c r="K910" s="220" t="s">
        <v>2193</v>
      </c>
    </row>
    <row r="911" spans="1:27" s="205" customFormat="1" ht="15.75" customHeight="1">
      <c r="A911" s="87" t="s">
        <v>2194</v>
      </c>
      <c r="B911" s="221" t="s">
        <v>2195</v>
      </c>
      <c r="C911" s="79">
        <v>44495</v>
      </c>
      <c r="D911" s="80">
        <v>44709</v>
      </c>
      <c r="E911" s="41">
        <f>D911-C911</f>
        <v>214</v>
      </c>
      <c r="F911" s="43" t="s">
        <v>0</v>
      </c>
      <c r="G911" s="81" t="s">
        <v>33</v>
      </c>
      <c r="H911" s="83" t="s">
        <v>11</v>
      </c>
      <c r="I911" s="81" t="s">
        <v>71</v>
      </c>
      <c r="K911" s="220" t="s">
        <v>2196</v>
      </c>
    </row>
    <row r="912" spans="1:27" s="205" customFormat="1" ht="15.75" customHeight="1">
      <c r="A912" s="205" t="s">
        <v>2056</v>
      </c>
      <c r="B912" s="221" t="s">
        <v>2197</v>
      </c>
      <c r="C912" s="79">
        <v>44353</v>
      </c>
      <c r="D912" s="80">
        <v>44709</v>
      </c>
      <c r="E912" s="41">
        <f>D912-C912</f>
        <v>356</v>
      </c>
      <c r="F912" s="83" t="s">
        <v>1889</v>
      </c>
      <c r="G912" s="81" t="s">
        <v>225</v>
      </c>
      <c r="H912" s="83" t="s">
        <v>11</v>
      </c>
      <c r="I912" s="81" t="s">
        <v>1987</v>
      </c>
      <c r="K912" s="220" t="s">
        <v>2198</v>
      </c>
      <c r="L912" s="205" t="s">
        <v>2199</v>
      </c>
    </row>
    <row r="913" spans="1:12" s="205" customFormat="1" ht="15.75" customHeight="1">
      <c r="A913" s="87" t="s">
        <v>2200</v>
      </c>
      <c r="B913" s="221" t="s">
        <v>2201</v>
      </c>
      <c r="C913" s="79">
        <v>44346</v>
      </c>
      <c r="D913" s="80">
        <v>44711</v>
      </c>
      <c r="E913" s="41">
        <f>D913-C913</f>
        <v>365</v>
      </c>
      <c r="F913" s="207" t="s">
        <v>1871</v>
      </c>
      <c r="G913" s="207"/>
      <c r="H913" s="83" t="s">
        <v>11</v>
      </c>
      <c r="I913" s="207"/>
      <c r="K913" s="220" t="s">
        <v>2202</v>
      </c>
    </row>
    <row r="914" spans="1:12" s="205" customFormat="1" ht="15.75" customHeight="1">
      <c r="A914" s="42" t="s">
        <v>1804</v>
      </c>
      <c r="B914" s="206" t="s">
        <v>2203</v>
      </c>
      <c r="C914" s="79">
        <v>44141</v>
      </c>
      <c r="D914" s="80">
        <v>44716</v>
      </c>
      <c r="E914" s="41">
        <f>D914-C914</f>
        <v>575</v>
      </c>
      <c r="F914" s="43" t="s">
        <v>0</v>
      </c>
      <c r="G914" s="81" t="s">
        <v>805</v>
      </c>
      <c r="H914" s="83" t="s">
        <v>2</v>
      </c>
      <c r="I914" s="207"/>
      <c r="K914" s="220" t="s">
        <v>2204</v>
      </c>
    </row>
    <row r="915" spans="1:12" s="205" customFormat="1" ht="15.75" customHeight="1">
      <c r="A915" s="42" t="s">
        <v>1635</v>
      </c>
      <c r="B915" s="206" t="s">
        <v>1636</v>
      </c>
      <c r="C915" s="39">
        <v>44665</v>
      </c>
      <c r="D915" s="80">
        <v>44717</v>
      </c>
      <c r="E915" s="41">
        <f>D915-C915</f>
        <v>52</v>
      </c>
      <c r="F915" s="43" t="s">
        <v>0</v>
      </c>
      <c r="G915" s="45" t="s">
        <v>2205</v>
      </c>
      <c r="H915" s="83" t="s">
        <v>2</v>
      </c>
      <c r="I915" s="207"/>
      <c r="K915" s="220" t="s">
        <v>2100</v>
      </c>
      <c r="L915" s="42" t="s">
        <v>2101</v>
      </c>
    </row>
    <row r="916" spans="1:12" s="205" customFormat="1" ht="15.75" customHeight="1">
      <c r="A916" s="205" t="s">
        <v>647</v>
      </c>
      <c r="B916" s="206" t="s">
        <v>2206</v>
      </c>
      <c r="C916" s="39">
        <v>44678</v>
      </c>
      <c r="D916" s="39">
        <v>44721</v>
      </c>
      <c r="E916" s="41">
        <f>D916-C916</f>
        <v>43</v>
      </c>
      <c r="F916" s="43" t="s">
        <v>0</v>
      </c>
      <c r="G916" s="45" t="s">
        <v>2207</v>
      </c>
      <c r="H916" s="83" t="s">
        <v>11</v>
      </c>
      <c r="I916" s="207"/>
      <c r="K916" s="220" t="s">
        <v>2208</v>
      </c>
    </row>
    <row r="917" spans="1:12" s="205" customFormat="1" ht="15.75" customHeight="1">
      <c r="A917" s="87" t="s">
        <v>2172</v>
      </c>
      <c r="B917" s="221" t="s">
        <v>2173</v>
      </c>
      <c r="C917" s="79">
        <v>44689</v>
      </c>
      <c r="D917" s="80">
        <v>44722</v>
      </c>
      <c r="E917" s="41">
        <f>D917-C917</f>
        <v>33</v>
      </c>
      <c r="F917" s="43" t="s">
        <v>0</v>
      </c>
      <c r="G917" s="81" t="s">
        <v>2174</v>
      </c>
      <c r="H917" s="83" t="s">
        <v>11</v>
      </c>
    </row>
    <row r="918" spans="1:12" s="205" customFormat="1" ht="15.75" customHeight="1">
      <c r="A918" s="205" t="s">
        <v>2015</v>
      </c>
      <c r="B918" s="223" t="s">
        <v>2016</v>
      </c>
      <c r="C918" s="79">
        <v>44667</v>
      </c>
      <c r="D918" s="80">
        <v>44724</v>
      </c>
      <c r="E918" s="41">
        <f>D918-C918</f>
        <v>57</v>
      </c>
      <c r="F918" s="43" t="s">
        <v>0</v>
      </c>
      <c r="G918" s="207"/>
      <c r="H918" s="45" t="s">
        <v>11</v>
      </c>
      <c r="I918" s="207"/>
    </row>
    <row r="919" spans="1:12" s="205" customFormat="1" ht="15.75" customHeight="1">
      <c r="A919" s="87" t="s">
        <v>2209</v>
      </c>
      <c r="B919" s="221" t="s">
        <v>2210</v>
      </c>
      <c r="C919" s="79">
        <v>44638</v>
      </c>
      <c r="D919" s="80">
        <v>44724</v>
      </c>
      <c r="E919" s="41">
        <f>D919-C919</f>
        <v>86</v>
      </c>
      <c r="F919" s="83" t="s">
        <v>196</v>
      </c>
      <c r="G919" s="207"/>
      <c r="H919" s="83" t="s">
        <v>11</v>
      </c>
      <c r="I919" s="207"/>
    </row>
    <row r="920" spans="1:12" s="205" customFormat="1" ht="15.75" customHeight="1">
      <c r="A920" s="42" t="s">
        <v>1480</v>
      </c>
      <c r="B920" s="206" t="s">
        <v>1481</v>
      </c>
      <c r="C920" s="39">
        <v>44682</v>
      </c>
      <c r="D920" s="80">
        <v>44730</v>
      </c>
      <c r="E920" s="41">
        <f>D920-C920</f>
        <v>48</v>
      </c>
      <c r="F920" s="43" t="s">
        <v>0</v>
      </c>
      <c r="G920" s="207"/>
      <c r="H920" s="45" t="s">
        <v>2</v>
      </c>
      <c r="I920" s="207"/>
      <c r="L920" s="205" t="s">
        <v>1482</v>
      </c>
    </row>
    <row r="921" spans="1:12" s="205" customFormat="1" ht="15.75" customHeight="1">
      <c r="A921" s="87" t="s">
        <v>2211</v>
      </c>
      <c r="B921" s="221" t="s">
        <v>2212</v>
      </c>
      <c r="C921" s="79">
        <v>44592</v>
      </c>
      <c r="D921" s="80">
        <v>44730</v>
      </c>
      <c r="E921" s="41">
        <f>D921-C921</f>
        <v>138</v>
      </c>
      <c r="F921" s="208" t="s">
        <v>211</v>
      </c>
      <c r="G921" s="81" t="s">
        <v>1</v>
      </c>
      <c r="H921" s="83" t="s">
        <v>2</v>
      </c>
      <c r="I921" s="207"/>
    </row>
    <row r="922" spans="1:12" s="205" customFormat="1" ht="15.75" customHeight="1">
      <c r="A922" s="205" t="s">
        <v>1322</v>
      </c>
      <c r="B922" s="206" t="s">
        <v>2213</v>
      </c>
      <c r="C922" s="79">
        <v>44588</v>
      </c>
      <c r="D922" s="80">
        <v>44730</v>
      </c>
      <c r="E922" s="41">
        <f>D922-C922</f>
        <v>142</v>
      </c>
      <c r="F922" s="43" t="s">
        <v>0</v>
      </c>
      <c r="G922" s="207"/>
      <c r="H922" s="81" t="s">
        <v>2</v>
      </c>
      <c r="I922" s="81" t="s">
        <v>90</v>
      </c>
      <c r="K922" s="220" t="s">
        <v>1324</v>
      </c>
      <c r="L922" s="42" t="s">
        <v>1835</v>
      </c>
    </row>
    <row r="923" spans="1:12" s="205" customFormat="1" ht="15.75" customHeight="1">
      <c r="A923" s="205" t="s">
        <v>2214</v>
      </c>
      <c r="B923" s="221" t="s">
        <v>2215</v>
      </c>
      <c r="C923" s="79">
        <v>44569</v>
      </c>
      <c r="D923" s="80">
        <v>44730</v>
      </c>
      <c r="E923" s="41">
        <f>D923-C923</f>
        <v>161</v>
      </c>
      <c r="F923" s="208" t="s">
        <v>219</v>
      </c>
      <c r="G923" s="207"/>
      <c r="H923" s="83" t="s">
        <v>11</v>
      </c>
      <c r="I923" s="81" t="s">
        <v>2036</v>
      </c>
    </row>
    <row r="924" spans="1:12" s="205" customFormat="1" ht="15.75" customHeight="1">
      <c r="A924" s="42" t="s">
        <v>1345</v>
      </c>
      <c r="B924" s="209" t="s">
        <v>1346</v>
      </c>
      <c r="C924" s="39">
        <v>44657</v>
      </c>
      <c r="D924" s="40">
        <v>44733</v>
      </c>
      <c r="E924" s="41">
        <f>D924-C924</f>
        <v>76</v>
      </c>
      <c r="F924" s="43" t="s">
        <v>0</v>
      </c>
      <c r="G924" s="45" t="s">
        <v>26</v>
      </c>
      <c r="H924" s="45" t="s">
        <v>2</v>
      </c>
      <c r="I924" s="207"/>
      <c r="K924" s="53" t="s">
        <v>1347</v>
      </c>
    </row>
    <row r="925" spans="1:12" s="205" customFormat="1" ht="15.75" customHeight="1">
      <c r="A925" s="205" t="s">
        <v>2216</v>
      </c>
      <c r="B925" s="221" t="s">
        <v>2217</v>
      </c>
      <c r="C925" s="79">
        <v>44597</v>
      </c>
      <c r="D925" s="80">
        <v>44735</v>
      </c>
      <c r="E925" s="41">
        <f>D925-C925</f>
        <v>138</v>
      </c>
      <c r="F925" s="43" t="s">
        <v>0</v>
      </c>
      <c r="G925" s="81" t="s">
        <v>1641</v>
      </c>
      <c r="H925" s="83" t="s">
        <v>2</v>
      </c>
      <c r="I925" s="207"/>
      <c r="K925" s="220" t="s">
        <v>2218</v>
      </c>
      <c r="L925" s="87" t="s">
        <v>2219</v>
      </c>
    </row>
    <row r="926" spans="1:12" s="205" customFormat="1" ht="15.75" customHeight="1">
      <c r="A926" s="205" t="s">
        <v>1284</v>
      </c>
      <c r="B926" s="206" t="s">
        <v>1756</v>
      </c>
      <c r="C926" s="39">
        <v>43906</v>
      </c>
      <c r="D926" s="80">
        <v>44735</v>
      </c>
      <c r="E926" s="41">
        <f>D926-C926</f>
        <v>829</v>
      </c>
      <c r="F926" s="43" t="s">
        <v>0</v>
      </c>
      <c r="G926" s="81" t="s">
        <v>106</v>
      </c>
      <c r="H926" s="83" t="s">
        <v>11</v>
      </c>
      <c r="I926" s="207"/>
      <c r="K926" s="53" t="s">
        <v>2220</v>
      </c>
      <c r="L926" s="42" t="s">
        <v>2221</v>
      </c>
    </row>
    <row r="927" spans="1:12" s="205" customFormat="1" ht="15.75" customHeight="1">
      <c r="A927" s="87" t="s">
        <v>2222</v>
      </c>
      <c r="B927" s="221" t="s">
        <v>2223</v>
      </c>
      <c r="C927" s="39">
        <v>44573</v>
      </c>
      <c r="D927" s="80">
        <v>44736</v>
      </c>
      <c r="E927" s="41">
        <f>D927-C927</f>
        <v>163</v>
      </c>
      <c r="F927" s="43" t="s">
        <v>0</v>
      </c>
      <c r="G927" s="207"/>
      <c r="H927" s="83" t="s">
        <v>2</v>
      </c>
      <c r="I927" s="81" t="s">
        <v>85</v>
      </c>
    </row>
    <row r="928" spans="1:12" s="205" customFormat="1" ht="15.75" customHeight="1">
      <c r="A928" s="42" t="s">
        <v>263</v>
      </c>
      <c r="B928" s="206" t="s">
        <v>263</v>
      </c>
      <c r="C928" s="39">
        <v>44352</v>
      </c>
      <c r="D928" s="80">
        <v>44736</v>
      </c>
      <c r="E928" s="41">
        <f>D928-C928</f>
        <v>384</v>
      </c>
      <c r="F928" s="43" t="s">
        <v>0</v>
      </c>
      <c r="G928" s="207"/>
      <c r="H928" s="41" t="s">
        <v>11</v>
      </c>
      <c r="I928" s="45" t="s">
        <v>21</v>
      </c>
      <c r="K928" s="220" t="s">
        <v>265</v>
      </c>
      <c r="L928" s="205" t="s">
        <v>266</v>
      </c>
    </row>
    <row r="929" spans="1:12" s="205" customFormat="1" ht="15.75" customHeight="1">
      <c r="A929" s="87" t="s">
        <v>2224</v>
      </c>
      <c r="B929" s="221" t="s">
        <v>2225</v>
      </c>
      <c r="C929" s="79">
        <v>44572</v>
      </c>
      <c r="D929" s="80">
        <v>44737</v>
      </c>
      <c r="E929" s="41">
        <f>D929-C929</f>
        <v>165</v>
      </c>
      <c r="F929" s="83" t="s">
        <v>196</v>
      </c>
      <c r="G929" s="81" t="s">
        <v>26</v>
      </c>
      <c r="H929" s="83" t="s">
        <v>2</v>
      </c>
      <c r="I929" s="81" t="s">
        <v>1595</v>
      </c>
    </row>
    <row r="930" spans="1:12" s="205" customFormat="1" ht="15.75" customHeight="1">
      <c r="A930" s="42" t="s">
        <v>705</v>
      </c>
      <c r="B930" s="206" t="s">
        <v>1812</v>
      </c>
      <c r="C930" s="39">
        <v>44450</v>
      </c>
      <c r="D930" s="80">
        <v>44737</v>
      </c>
      <c r="E930" s="41">
        <f>D930-C930</f>
        <v>287</v>
      </c>
      <c r="F930" s="43" t="s">
        <v>0</v>
      </c>
      <c r="G930" s="45" t="s">
        <v>942</v>
      </c>
      <c r="H930" s="47" t="s">
        <v>11</v>
      </c>
      <c r="I930" s="81" t="s">
        <v>3</v>
      </c>
      <c r="K930" s="220" t="s">
        <v>2226</v>
      </c>
    </row>
    <row r="931" spans="1:12" s="205" customFormat="1" ht="15.75" customHeight="1">
      <c r="A931" s="205" t="s">
        <v>2227</v>
      </c>
      <c r="B931" s="221" t="s">
        <v>2228</v>
      </c>
      <c r="C931" s="79">
        <v>44339</v>
      </c>
      <c r="D931" s="80">
        <v>44737</v>
      </c>
      <c r="E931" s="41">
        <f>D931-C931</f>
        <v>398</v>
      </c>
      <c r="F931" s="43" t="s">
        <v>0</v>
      </c>
      <c r="G931" s="81" t="s">
        <v>805</v>
      </c>
      <c r="H931" s="83" t="s">
        <v>11</v>
      </c>
      <c r="I931" s="207"/>
      <c r="K931" s="220" t="s">
        <v>2229</v>
      </c>
    </row>
    <row r="932" spans="1:12" s="205" customFormat="1" ht="15.75" customHeight="1">
      <c r="A932" s="205" t="s">
        <v>1928</v>
      </c>
      <c r="B932" s="221" t="s">
        <v>2102</v>
      </c>
      <c r="C932" s="79">
        <v>44722</v>
      </c>
      <c r="D932" s="80">
        <v>44740</v>
      </c>
      <c r="E932" s="41">
        <f>D932-C932</f>
        <v>18</v>
      </c>
      <c r="F932" s="43" t="s">
        <v>0</v>
      </c>
      <c r="G932" s="81" t="s">
        <v>70</v>
      </c>
      <c r="H932" s="83" t="s">
        <v>11</v>
      </c>
      <c r="I932" s="81" t="s">
        <v>2103</v>
      </c>
    </row>
    <row r="933" spans="1:12" s="205" customFormat="1" ht="15.75" customHeight="1">
      <c r="A933" s="205" t="s">
        <v>2082</v>
      </c>
      <c r="B933" s="221" t="s">
        <v>2083</v>
      </c>
      <c r="C933" s="79">
        <v>44696</v>
      </c>
      <c r="D933" s="80">
        <v>44740</v>
      </c>
      <c r="E933" s="41">
        <f>D933-C933</f>
        <v>44</v>
      </c>
      <c r="F933" s="43" t="s">
        <v>0</v>
      </c>
      <c r="G933" s="81" t="s">
        <v>1</v>
      </c>
      <c r="H933" s="83" t="s">
        <v>11</v>
      </c>
      <c r="I933" s="81" t="s">
        <v>125</v>
      </c>
      <c r="K933" s="220" t="s">
        <v>2085</v>
      </c>
    </row>
    <row r="934" spans="1:12" s="205" customFormat="1" ht="15.75" customHeight="1">
      <c r="A934" s="205" t="s">
        <v>2161</v>
      </c>
      <c r="B934" s="206" t="s">
        <v>2230</v>
      </c>
      <c r="C934" s="39">
        <v>44477</v>
      </c>
      <c r="D934" s="40">
        <v>44743</v>
      </c>
      <c r="E934" s="41">
        <f>D934-C934</f>
        <v>266</v>
      </c>
      <c r="F934" s="43" t="s">
        <v>196</v>
      </c>
      <c r="G934" s="207"/>
      <c r="H934" s="43" t="s">
        <v>2</v>
      </c>
      <c r="I934" s="45" t="s">
        <v>85</v>
      </c>
    </row>
    <row r="935" spans="1:12" s="205" customFormat="1" ht="15.75" customHeight="1">
      <c r="A935" s="87" t="s">
        <v>2231</v>
      </c>
      <c r="B935" s="221" t="s">
        <v>2232</v>
      </c>
      <c r="C935" s="79">
        <v>44723</v>
      </c>
      <c r="D935" s="80">
        <v>44744</v>
      </c>
      <c r="E935" s="41">
        <f>D935-C935</f>
        <v>21</v>
      </c>
      <c r="F935" s="43" t="s">
        <v>0</v>
      </c>
      <c r="G935" s="81" t="s">
        <v>70</v>
      </c>
      <c r="H935" s="83" t="s">
        <v>2</v>
      </c>
      <c r="I935" s="207"/>
    </row>
    <row r="936" spans="1:12" s="205" customFormat="1" ht="15.75" customHeight="1">
      <c r="A936" s="205" t="s">
        <v>2233</v>
      </c>
      <c r="B936" s="221" t="s">
        <v>2234</v>
      </c>
      <c r="C936" s="79">
        <v>44629</v>
      </c>
      <c r="D936" s="80">
        <v>44744</v>
      </c>
      <c r="E936" s="41">
        <f>D936-C936</f>
        <v>115</v>
      </c>
      <c r="F936" s="43" t="s">
        <v>0</v>
      </c>
      <c r="G936" s="207"/>
      <c r="H936" s="45" t="s">
        <v>2</v>
      </c>
      <c r="I936" s="207"/>
    </row>
    <row r="937" spans="1:12" s="205" customFormat="1" ht="15.75" customHeight="1">
      <c r="A937" s="205" t="s">
        <v>1362</v>
      </c>
      <c r="B937" s="206" t="s">
        <v>1363</v>
      </c>
      <c r="C937" s="39">
        <v>44573</v>
      </c>
      <c r="D937" s="80">
        <v>44744</v>
      </c>
      <c r="E937" s="41">
        <f>D937-C937</f>
        <v>171</v>
      </c>
      <c r="F937" s="43" t="s">
        <v>0</v>
      </c>
      <c r="G937" s="45" t="s">
        <v>33</v>
      </c>
      <c r="H937" s="45" t="s">
        <v>11</v>
      </c>
      <c r="I937" s="207"/>
      <c r="K937" s="220" t="s">
        <v>1905</v>
      </c>
      <c r="L937" s="42" t="s">
        <v>1904</v>
      </c>
    </row>
    <row r="938" spans="1:12" s="205" customFormat="1" ht="15.75" customHeight="1">
      <c r="A938" s="205" t="s">
        <v>2235</v>
      </c>
      <c r="B938" s="221" t="s">
        <v>2236</v>
      </c>
      <c r="C938" s="79">
        <v>44339</v>
      </c>
      <c r="D938" s="80">
        <v>44747</v>
      </c>
      <c r="E938" s="41">
        <f>D938-C938</f>
        <v>408</v>
      </c>
      <c r="F938" s="43" t="s">
        <v>0</v>
      </c>
      <c r="G938" s="45" t="s">
        <v>33</v>
      </c>
      <c r="H938" s="83" t="s">
        <v>11</v>
      </c>
      <c r="I938" s="207"/>
      <c r="K938" s="220" t="s">
        <v>2237</v>
      </c>
    </row>
    <row r="939" spans="1:12" s="205" customFormat="1" ht="15.75" customHeight="1">
      <c r="A939" s="87" t="s">
        <v>2093</v>
      </c>
      <c r="B939" s="221" t="s">
        <v>2238</v>
      </c>
      <c r="C939" s="79">
        <v>44461</v>
      </c>
      <c r="D939" s="80">
        <v>44749</v>
      </c>
      <c r="E939" s="41">
        <f>D939-C939</f>
        <v>288</v>
      </c>
      <c r="F939" s="83" t="s">
        <v>2239</v>
      </c>
      <c r="G939" s="81" t="s">
        <v>2240</v>
      </c>
      <c r="H939" s="83" t="s">
        <v>2</v>
      </c>
      <c r="I939" s="81" t="s">
        <v>2241</v>
      </c>
    </row>
    <row r="940" spans="1:12" s="205" customFormat="1" ht="15.75" customHeight="1">
      <c r="A940" s="42" t="s">
        <v>672</v>
      </c>
      <c r="B940" s="206" t="s">
        <v>673</v>
      </c>
      <c r="C940" s="39">
        <v>44704</v>
      </c>
      <c r="D940" s="80">
        <v>44751</v>
      </c>
      <c r="E940" s="41">
        <f>D940-C940</f>
        <v>47</v>
      </c>
      <c r="F940" s="43" t="s">
        <v>0</v>
      </c>
      <c r="G940" s="81" t="s">
        <v>70</v>
      </c>
      <c r="H940" s="45" t="s">
        <v>2</v>
      </c>
      <c r="I940" s="207"/>
    </row>
    <row r="941" spans="1:12" s="205" customFormat="1" ht="15.75" customHeight="1">
      <c r="A941" s="87" t="s">
        <v>1933</v>
      </c>
      <c r="B941" s="221" t="s">
        <v>1934</v>
      </c>
      <c r="C941" s="79">
        <v>44650</v>
      </c>
      <c r="D941" s="80">
        <v>44751</v>
      </c>
      <c r="E941" s="41">
        <f>D941-C941</f>
        <v>101</v>
      </c>
      <c r="F941" s="43" t="s">
        <v>0</v>
      </c>
      <c r="G941" s="81" t="s">
        <v>26</v>
      </c>
      <c r="H941" s="81" t="s">
        <v>2</v>
      </c>
      <c r="I941" s="207"/>
      <c r="K941" s="220" t="s">
        <v>2242</v>
      </c>
    </row>
    <row r="942" spans="1:12" s="205" customFormat="1" ht="15.75" customHeight="1">
      <c r="A942" s="205" t="s">
        <v>1374</v>
      </c>
      <c r="B942" s="206" t="s">
        <v>2243</v>
      </c>
      <c r="C942" s="39">
        <v>44523</v>
      </c>
      <c r="D942" s="80">
        <v>44751</v>
      </c>
      <c r="E942" s="41">
        <f>D942-C942</f>
        <v>228</v>
      </c>
      <c r="F942" s="43" t="s">
        <v>0</v>
      </c>
      <c r="G942" s="45" t="s">
        <v>995</v>
      </c>
      <c r="H942" s="41" t="s">
        <v>11</v>
      </c>
      <c r="I942" s="207"/>
      <c r="K942" s="220" t="s">
        <v>2244</v>
      </c>
      <c r="L942" s="42" t="s">
        <v>1690</v>
      </c>
    </row>
    <row r="943" spans="1:12" s="205" customFormat="1" ht="15.75" customHeight="1">
      <c r="A943" s="205" t="s">
        <v>1732</v>
      </c>
      <c r="B943" s="221" t="s">
        <v>2245</v>
      </c>
      <c r="C943" s="79">
        <v>44321</v>
      </c>
      <c r="D943" s="80">
        <v>44751</v>
      </c>
      <c r="E943" s="41">
        <f>D943-C943</f>
        <v>430</v>
      </c>
      <c r="F943" s="43" t="s">
        <v>0</v>
      </c>
      <c r="G943" s="45" t="s">
        <v>1</v>
      </c>
      <c r="H943" s="83" t="s">
        <v>2</v>
      </c>
      <c r="I943" s="207"/>
      <c r="K943" s="220" t="s">
        <v>2246</v>
      </c>
    </row>
    <row r="944" spans="1:12" s="205" customFormat="1" ht="15.75" customHeight="1">
      <c r="A944" s="87" t="s">
        <v>2247</v>
      </c>
      <c r="B944" s="221" t="s">
        <v>2248</v>
      </c>
      <c r="C944" s="79">
        <v>44606</v>
      </c>
      <c r="D944" s="80">
        <v>44755</v>
      </c>
      <c r="E944" s="41">
        <f>D944-C944</f>
        <v>149</v>
      </c>
      <c r="F944" s="208" t="s">
        <v>174</v>
      </c>
      <c r="G944" s="207"/>
      <c r="H944" s="83" t="s">
        <v>2</v>
      </c>
      <c r="I944" s="81" t="s">
        <v>21</v>
      </c>
    </row>
    <row r="945" spans="1:11" s="205" customFormat="1" ht="15.75" customHeight="1">
      <c r="A945" s="205" t="s">
        <v>2249</v>
      </c>
      <c r="B945" s="221" t="s">
        <v>2250</v>
      </c>
      <c r="C945" s="79">
        <v>44702</v>
      </c>
      <c r="D945" s="80">
        <v>44756</v>
      </c>
      <c r="E945" s="41">
        <f>D945-C945</f>
        <v>54</v>
      </c>
      <c r="F945" s="43" t="s">
        <v>0</v>
      </c>
      <c r="G945" s="207"/>
      <c r="H945" s="83" t="s">
        <v>2</v>
      </c>
      <c r="I945" s="207"/>
    </row>
    <row r="946" spans="1:11" s="205" customFormat="1" ht="15.75" customHeight="1">
      <c r="A946" s="205" t="s">
        <v>2251</v>
      </c>
      <c r="B946" s="221" t="s">
        <v>2252</v>
      </c>
      <c r="C946" s="79">
        <v>44684</v>
      </c>
      <c r="D946" s="80">
        <v>44758</v>
      </c>
      <c r="E946" s="41">
        <f>D946-C946</f>
        <v>74</v>
      </c>
      <c r="F946" s="43" t="s">
        <v>0</v>
      </c>
      <c r="G946" s="207"/>
      <c r="H946" s="83" t="s">
        <v>2</v>
      </c>
      <c r="I946" s="207"/>
    </row>
    <row r="947" spans="1:11" s="205" customFormat="1" ht="15.75" customHeight="1">
      <c r="A947" s="87" t="s">
        <v>2253</v>
      </c>
      <c r="B947" s="221" t="s">
        <v>2254</v>
      </c>
      <c r="C947" s="79">
        <v>44726</v>
      </c>
      <c r="D947" s="80">
        <v>44759</v>
      </c>
      <c r="E947" s="41">
        <f>D947-C947</f>
        <v>33</v>
      </c>
      <c r="F947" s="83" t="s">
        <v>309</v>
      </c>
      <c r="G947" s="207"/>
      <c r="H947" s="83" t="s">
        <v>11</v>
      </c>
      <c r="I947" s="207"/>
    </row>
    <row r="948" spans="1:11" s="205" customFormat="1" ht="15.75" customHeight="1">
      <c r="A948" s="87" t="s">
        <v>2255</v>
      </c>
      <c r="B948" s="221" t="s">
        <v>2256</v>
      </c>
      <c r="C948" s="79">
        <v>44468</v>
      </c>
      <c r="D948" s="80">
        <v>44760</v>
      </c>
      <c r="E948" s="41">
        <f>D948-C948</f>
        <v>292</v>
      </c>
      <c r="F948" s="43" t="s">
        <v>0</v>
      </c>
      <c r="G948" s="81" t="s">
        <v>33</v>
      </c>
      <c r="H948" s="83" t="s">
        <v>2</v>
      </c>
      <c r="I948" s="207"/>
    </row>
    <row r="949" spans="1:11" s="205" customFormat="1" ht="15.75" customHeight="1">
      <c r="A949" s="87" t="s">
        <v>1963</v>
      </c>
      <c r="B949" s="221" t="s">
        <v>1964</v>
      </c>
      <c r="C949" s="79">
        <v>44685</v>
      </c>
      <c r="D949" s="80">
        <v>44762</v>
      </c>
      <c r="E949" s="41">
        <f>D949-C949</f>
        <v>77</v>
      </c>
      <c r="F949" s="43" t="s">
        <v>0</v>
      </c>
      <c r="G949" s="207"/>
      <c r="H949" s="83" t="s">
        <v>11</v>
      </c>
      <c r="I949" s="207"/>
    </row>
    <row r="950" spans="1:11" s="205" customFormat="1" ht="15.75" customHeight="1">
      <c r="A950" s="42" t="s">
        <v>475</v>
      </c>
      <c r="B950" s="206" t="s">
        <v>476</v>
      </c>
      <c r="C950" s="79">
        <v>44742</v>
      </c>
      <c r="D950" s="80">
        <v>44766</v>
      </c>
      <c r="E950" s="41">
        <f>D950-C950</f>
        <v>24</v>
      </c>
      <c r="F950" s="43" t="s">
        <v>0</v>
      </c>
      <c r="G950" s="45" t="s">
        <v>33</v>
      </c>
      <c r="H950" s="47" t="s">
        <v>11</v>
      </c>
      <c r="I950" s="207"/>
      <c r="K950" s="220" t="s">
        <v>2052</v>
      </c>
    </row>
    <row r="951" spans="1:11" s="205" customFormat="1" ht="15.75" customHeight="1">
      <c r="A951" s="205" t="s">
        <v>2257</v>
      </c>
      <c r="B951" s="221" t="s">
        <v>2258</v>
      </c>
      <c r="C951" s="79">
        <v>44769</v>
      </c>
      <c r="D951" s="40">
        <v>44772</v>
      </c>
      <c r="E951" s="41">
        <f>D951-C951</f>
        <v>3</v>
      </c>
      <c r="F951" s="43" t="s">
        <v>0</v>
      </c>
      <c r="G951" s="207"/>
      <c r="H951" s="83" t="s">
        <v>11</v>
      </c>
      <c r="I951" s="207"/>
    </row>
    <row r="952" spans="1:11" s="205" customFormat="1" ht="15.75" customHeight="1">
      <c r="A952" s="42" t="s">
        <v>1605</v>
      </c>
      <c r="B952" s="206" t="s">
        <v>1605</v>
      </c>
      <c r="C952" s="79">
        <v>44759</v>
      </c>
      <c r="D952" s="40">
        <v>44772</v>
      </c>
      <c r="E952" s="41">
        <f>D952-C952</f>
        <v>13</v>
      </c>
      <c r="F952" s="43" t="s">
        <v>0</v>
      </c>
      <c r="G952" s="45" t="s">
        <v>1</v>
      </c>
      <c r="H952" s="45" t="s">
        <v>2</v>
      </c>
      <c r="I952" s="207"/>
      <c r="K952" s="220" t="s">
        <v>1606</v>
      </c>
    </row>
    <row r="953" spans="1:11" s="205" customFormat="1" ht="15.75" customHeight="1">
      <c r="A953" s="205" t="s">
        <v>1662</v>
      </c>
      <c r="B953" s="206" t="s">
        <v>1663</v>
      </c>
      <c r="C953" s="39">
        <v>44654</v>
      </c>
      <c r="D953" s="40">
        <v>44772</v>
      </c>
      <c r="E953" s="41">
        <f>D953-C953</f>
        <v>118</v>
      </c>
      <c r="F953" s="43" t="s">
        <v>0</v>
      </c>
      <c r="G953" s="207"/>
      <c r="H953" s="45" t="s">
        <v>2</v>
      </c>
      <c r="I953" s="207"/>
      <c r="K953" s="220" t="s">
        <v>1664</v>
      </c>
    </row>
    <row r="954" spans="1:11" s="205" customFormat="1" ht="15.75" customHeight="1">
      <c r="A954" s="42" t="s">
        <v>536</v>
      </c>
      <c r="B954" s="206" t="s">
        <v>537</v>
      </c>
      <c r="C954" s="79">
        <v>44597</v>
      </c>
      <c r="D954" s="39">
        <v>44773</v>
      </c>
      <c r="E954" s="41">
        <f>D954-C954</f>
        <v>176</v>
      </c>
      <c r="F954" s="43" t="s">
        <v>0</v>
      </c>
      <c r="G954" s="45" t="s">
        <v>33</v>
      </c>
      <c r="H954" s="45" t="s">
        <v>11</v>
      </c>
      <c r="I954" s="45" t="s">
        <v>90</v>
      </c>
      <c r="K954" s="53" t="s">
        <v>538</v>
      </c>
    </row>
    <row r="955" spans="1:11" s="205" customFormat="1" ht="15.75" customHeight="1">
      <c r="A955" s="87" t="s">
        <v>2259</v>
      </c>
      <c r="B955" s="221" t="s">
        <v>2260</v>
      </c>
      <c r="C955" s="79">
        <v>44745</v>
      </c>
      <c r="D955" s="80">
        <v>44774</v>
      </c>
      <c r="E955" s="41">
        <f>D955-C955</f>
        <v>29</v>
      </c>
      <c r="F955" s="43" t="s">
        <v>0</v>
      </c>
      <c r="G955" s="207"/>
      <c r="H955" s="83" t="s">
        <v>2</v>
      </c>
      <c r="I955" s="207"/>
    </row>
    <row r="956" spans="1:11" s="87" customFormat="1" ht="15.75" customHeight="1">
      <c r="A956" s="87" t="s">
        <v>2261</v>
      </c>
      <c r="B956" s="221" t="s">
        <v>2262</v>
      </c>
      <c r="C956" s="79">
        <v>44691</v>
      </c>
      <c r="D956" s="80">
        <v>44779</v>
      </c>
      <c r="E956" s="41">
        <f>D956-C956</f>
        <v>88</v>
      </c>
      <c r="F956" s="43" t="s">
        <v>0</v>
      </c>
      <c r="G956" s="81"/>
      <c r="H956" s="83" t="s">
        <v>2</v>
      </c>
      <c r="I956" s="81"/>
    </row>
    <row r="957" spans="1:11" s="87" customFormat="1" ht="15.75" customHeight="1">
      <c r="A957" s="205" t="s">
        <v>2263</v>
      </c>
      <c r="B957" s="221" t="s">
        <v>2264</v>
      </c>
      <c r="C957" s="79">
        <v>44735</v>
      </c>
      <c r="D957" s="80">
        <v>44781</v>
      </c>
      <c r="E957" s="41">
        <f>D957-C957</f>
        <v>46</v>
      </c>
      <c r="F957" s="83" t="s">
        <v>2265</v>
      </c>
      <c r="G957" s="81"/>
      <c r="H957" s="83" t="s">
        <v>2</v>
      </c>
      <c r="I957" s="81"/>
    </row>
    <row r="958" spans="1:11" s="87" customFormat="1" ht="15.75" customHeight="1">
      <c r="A958" s="205" t="s">
        <v>1955</v>
      </c>
      <c r="B958" s="206" t="s">
        <v>1956</v>
      </c>
      <c r="C958" s="79">
        <v>44655</v>
      </c>
      <c r="D958" s="80">
        <v>44783</v>
      </c>
      <c r="E958" s="41">
        <f>D958-C958</f>
        <v>128</v>
      </c>
      <c r="F958" s="43" t="s">
        <v>0</v>
      </c>
      <c r="G958" s="81" t="s">
        <v>1357</v>
      </c>
      <c r="H958" s="83" t="s">
        <v>11</v>
      </c>
      <c r="I958" s="81"/>
      <c r="K958" s="220" t="s">
        <v>1957</v>
      </c>
    </row>
    <row r="959" spans="1:11" s="87" customFormat="1" ht="15.75" customHeight="1">
      <c r="A959" s="205" t="s">
        <v>219</v>
      </c>
      <c r="B959" s="221" t="s">
        <v>2266</v>
      </c>
      <c r="C959" s="79">
        <v>44454</v>
      </c>
      <c r="D959" s="80">
        <v>44785</v>
      </c>
      <c r="E959" s="41">
        <f>D959-C959</f>
        <v>331</v>
      </c>
      <c r="F959" s="83" t="s">
        <v>144</v>
      </c>
      <c r="G959" s="81" t="s">
        <v>70</v>
      </c>
      <c r="H959" s="83" t="s">
        <v>2</v>
      </c>
      <c r="I959" s="81"/>
      <c r="K959" s="220" t="s">
        <v>2267</v>
      </c>
    </row>
    <row r="960" spans="1:11" s="87" customFormat="1" ht="15.75" customHeight="1">
      <c r="A960" s="87" t="s">
        <v>2268</v>
      </c>
      <c r="B960" s="221" t="s">
        <v>2269</v>
      </c>
      <c r="C960" s="79">
        <v>44660</v>
      </c>
      <c r="D960" s="80">
        <v>44789</v>
      </c>
      <c r="E960" s="41">
        <f>D960-C960</f>
        <v>129</v>
      </c>
      <c r="F960" s="208" t="s">
        <v>2270</v>
      </c>
      <c r="G960" s="81"/>
      <c r="H960" s="83" t="s">
        <v>11</v>
      </c>
      <c r="I960" s="81"/>
    </row>
    <row r="961" spans="1:27" s="87" customFormat="1" ht="15.75" customHeight="1">
      <c r="A961" s="87" t="s">
        <v>2247</v>
      </c>
      <c r="B961" s="221" t="s">
        <v>2248</v>
      </c>
      <c r="C961" s="79">
        <v>44774</v>
      </c>
      <c r="D961" s="80">
        <v>44792</v>
      </c>
      <c r="E961" s="41">
        <f>D961-C961</f>
        <v>18</v>
      </c>
      <c r="F961" s="43" t="s">
        <v>0</v>
      </c>
      <c r="G961" s="81"/>
      <c r="H961" s="83" t="s">
        <v>2</v>
      </c>
      <c r="I961" s="81" t="s">
        <v>21</v>
      </c>
    </row>
    <row r="962" spans="1:27" s="87" customFormat="1" ht="15.75" customHeight="1">
      <c r="A962" s="205" t="s">
        <v>1861</v>
      </c>
      <c r="B962" s="221" t="s">
        <v>1862</v>
      </c>
      <c r="C962" s="79">
        <v>44647</v>
      </c>
      <c r="D962" s="80">
        <v>44793</v>
      </c>
      <c r="E962" s="41">
        <f>D962-C962</f>
        <v>146</v>
      </c>
      <c r="F962" s="43" t="s">
        <v>0</v>
      </c>
      <c r="G962" s="81" t="s">
        <v>70</v>
      </c>
      <c r="H962" s="81" t="s">
        <v>11</v>
      </c>
      <c r="I962" s="81"/>
      <c r="K962" s="220" t="s">
        <v>1863</v>
      </c>
    </row>
    <row r="963" spans="1:27" s="87" customFormat="1" ht="15.75" customHeight="1">
      <c r="A963" s="87" t="s">
        <v>2271</v>
      </c>
      <c r="B963" s="221" t="s">
        <v>2272</v>
      </c>
      <c r="C963" s="79">
        <v>44580</v>
      </c>
      <c r="D963" s="80">
        <v>44793</v>
      </c>
      <c r="E963" s="41">
        <f>D963-C963</f>
        <v>213</v>
      </c>
      <c r="F963" s="43" t="s">
        <v>0</v>
      </c>
      <c r="G963" s="81"/>
      <c r="H963" s="83" t="s">
        <v>11</v>
      </c>
      <c r="I963" s="81"/>
    </row>
    <row r="964" spans="1:27" s="87" customFormat="1" ht="15.75" customHeight="1">
      <c r="A964" s="87" t="s">
        <v>2273</v>
      </c>
      <c r="B964" s="221" t="s">
        <v>2274</v>
      </c>
      <c r="C964" s="79">
        <v>44748</v>
      </c>
      <c r="D964" s="80">
        <v>44796</v>
      </c>
      <c r="E964" s="41">
        <f>D964-C964</f>
        <v>48</v>
      </c>
      <c r="F964" s="83" t="s">
        <v>2275</v>
      </c>
      <c r="G964" s="81"/>
      <c r="H964" s="83" t="s">
        <v>2</v>
      </c>
      <c r="I964" s="81"/>
    </row>
    <row r="965" spans="1:27" s="87" customFormat="1" ht="15.75" customHeight="1">
      <c r="A965" s="87" t="s">
        <v>2157</v>
      </c>
      <c r="B965" s="221" t="s">
        <v>2158</v>
      </c>
      <c r="C965" s="79">
        <v>44724</v>
      </c>
      <c r="D965" s="80">
        <v>44798</v>
      </c>
      <c r="E965" s="41">
        <f>D965-C965</f>
        <v>74</v>
      </c>
      <c r="F965" s="43" t="s">
        <v>0</v>
      </c>
      <c r="G965" s="81"/>
      <c r="H965" s="41" t="s">
        <v>11</v>
      </c>
      <c r="I965" s="81"/>
    </row>
    <row r="966" spans="1:27" s="87" customFormat="1" ht="15.75" customHeight="1">
      <c r="A966" s="87" t="s">
        <v>2276</v>
      </c>
      <c r="B966" s="221" t="s">
        <v>2276</v>
      </c>
      <c r="C966" s="79">
        <v>44674</v>
      </c>
      <c r="D966" s="80">
        <v>44800</v>
      </c>
      <c r="E966" s="41">
        <f>D966-C966</f>
        <v>126</v>
      </c>
      <c r="F966" s="43" t="s">
        <v>0</v>
      </c>
      <c r="G966" s="81"/>
      <c r="H966" s="83" t="s">
        <v>11</v>
      </c>
      <c r="I966" s="81"/>
    </row>
    <row r="967" spans="1:27" s="87" customFormat="1" ht="15.75" customHeight="1">
      <c r="A967" s="87" t="s">
        <v>2277</v>
      </c>
      <c r="B967" s="221" t="s">
        <v>2278</v>
      </c>
      <c r="C967" s="79">
        <v>44783</v>
      </c>
      <c r="D967" s="80">
        <v>44804</v>
      </c>
      <c r="E967" s="41">
        <f>D967-C967</f>
        <v>21</v>
      </c>
      <c r="F967" s="43" t="s">
        <v>217</v>
      </c>
      <c r="G967" s="81"/>
      <c r="H967" s="83" t="s">
        <v>2</v>
      </c>
      <c r="I967" s="81"/>
    </row>
    <row r="968" spans="1:27" s="87" customFormat="1" ht="15.75" customHeight="1">
      <c r="A968" s="205" t="s">
        <v>1417</v>
      </c>
      <c r="B968" s="206" t="s">
        <v>1418</v>
      </c>
      <c r="C968" s="39">
        <v>44465</v>
      </c>
      <c r="D968" s="40">
        <v>44806</v>
      </c>
      <c r="E968" s="41">
        <f>D968-C968</f>
        <v>341</v>
      </c>
      <c r="F968" s="43" t="s">
        <v>0</v>
      </c>
      <c r="G968" s="45" t="s">
        <v>1089</v>
      </c>
      <c r="H968" s="41" t="s">
        <v>11</v>
      </c>
      <c r="I968" s="45" t="s">
        <v>90</v>
      </c>
      <c r="J968" s="205"/>
      <c r="K968" s="205"/>
      <c r="L968" s="205" t="s">
        <v>1419</v>
      </c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</row>
    <row r="969" spans="1:27" s="87" customFormat="1" ht="15.75" customHeight="1">
      <c r="A969" s="87" t="s">
        <v>2019</v>
      </c>
      <c r="B969" s="221" t="s">
        <v>2020</v>
      </c>
      <c r="C969" s="79">
        <v>44770</v>
      </c>
      <c r="D969" s="80">
        <v>44809</v>
      </c>
      <c r="E969" s="41">
        <f>D969-C969</f>
        <v>39</v>
      </c>
      <c r="F969" s="43" t="s">
        <v>0</v>
      </c>
      <c r="G969" s="81"/>
      <c r="H969" s="45" t="s">
        <v>2</v>
      </c>
      <c r="I969" s="81"/>
    </row>
    <row r="970" spans="1:27" s="87" customFormat="1" ht="15.75" customHeight="1">
      <c r="A970" s="42" t="s">
        <v>2279</v>
      </c>
      <c r="B970" s="206" t="s">
        <v>2280</v>
      </c>
      <c r="C970" s="79">
        <v>44243</v>
      </c>
      <c r="D970" s="80">
        <v>44814</v>
      </c>
      <c r="E970" s="41">
        <f>D970-C970</f>
        <v>571</v>
      </c>
      <c r="F970" s="43" t="s">
        <v>0</v>
      </c>
      <c r="G970" s="81" t="s">
        <v>1</v>
      </c>
      <c r="H970" s="83" t="s">
        <v>2</v>
      </c>
      <c r="I970" s="81" t="s">
        <v>1595</v>
      </c>
      <c r="K970" s="220" t="s">
        <v>2281</v>
      </c>
    </row>
    <row r="971" spans="1:27" s="87" customFormat="1" ht="15.75" customHeight="1">
      <c r="A971" s="87" t="s">
        <v>2282</v>
      </c>
      <c r="B971" s="221" t="s">
        <v>2283</v>
      </c>
      <c r="C971" s="79">
        <v>44644</v>
      </c>
      <c r="D971" s="80">
        <v>44822</v>
      </c>
      <c r="E971" s="41">
        <f>D971-C971</f>
        <v>178</v>
      </c>
      <c r="F971" s="83" t="s">
        <v>196</v>
      </c>
      <c r="G971" s="81"/>
      <c r="H971" s="83" t="s">
        <v>2</v>
      </c>
      <c r="I971" s="81" t="s">
        <v>21</v>
      </c>
    </row>
    <row r="972" spans="1:27" s="87" customFormat="1">
      <c r="A972" s="42" t="s">
        <v>1037</v>
      </c>
      <c r="B972" s="206" t="s">
        <v>2284</v>
      </c>
      <c r="C972" s="79">
        <v>43620</v>
      </c>
      <c r="D972" s="79">
        <v>44824</v>
      </c>
      <c r="E972" s="41">
        <f>D972-C972</f>
        <v>1204</v>
      </c>
      <c r="F972" s="45" t="s">
        <v>723</v>
      </c>
      <c r="G972" s="81" t="s">
        <v>153</v>
      </c>
      <c r="H972" s="81" t="s">
        <v>2</v>
      </c>
      <c r="I972" s="81"/>
      <c r="K972" s="53" t="s">
        <v>2285</v>
      </c>
      <c r="L972" s="87" t="s">
        <v>2286</v>
      </c>
    </row>
    <row r="973" spans="1:27" s="87" customFormat="1" ht="15.75" customHeight="1">
      <c r="A973" s="205" t="s">
        <v>2287</v>
      </c>
      <c r="B973" s="221" t="s">
        <v>2288</v>
      </c>
      <c r="C973" s="79">
        <v>44540</v>
      </c>
      <c r="D973" s="80">
        <v>44825</v>
      </c>
      <c r="E973" s="41">
        <f>D973-C973</f>
        <v>285</v>
      </c>
      <c r="F973" s="43" t="s">
        <v>0</v>
      </c>
      <c r="G973" s="81" t="s">
        <v>70</v>
      </c>
      <c r="H973" s="41" t="s">
        <v>2</v>
      </c>
      <c r="I973" s="81"/>
    </row>
    <row r="974" spans="1:27" s="87" customFormat="1" ht="15.75" customHeight="1">
      <c r="A974" s="205" t="s">
        <v>2066</v>
      </c>
      <c r="B974" s="221" t="s">
        <v>2067</v>
      </c>
      <c r="C974" s="79">
        <v>44773</v>
      </c>
      <c r="D974" s="80">
        <v>44828</v>
      </c>
      <c r="E974" s="41">
        <f>D974-C974</f>
        <v>55</v>
      </c>
      <c r="F974" s="43" t="s">
        <v>0</v>
      </c>
      <c r="G974" s="81" t="s">
        <v>33</v>
      </c>
      <c r="H974" s="83" t="s">
        <v>2</v>
      </c>
      <c r="I974" s="81" t="s">
        <v>2068</v>
      </c>
      <c r="K974" s="220" t="s">
        <v>2069</v>
      </c>
    </row>
    <row r="975" spans="1:27" s="87" customFormat="1" ht="15.75" customHeight="1">
      <c r="A975" s="65" t="s">
        <v>2289</v>
      </c>
      <c r="B975" s="206" t="s">
        <v>335</v>
      </c>
      <c r="C975" s="39">
        <v>44324</v>
      </c>
      <c r="D975" s="80">
        <v>44828</v>
      </c>
      <c r="E975" s="41">
        <f>D975-C975</f>
        <v>504</v>
      </c>
      <c r="F975" s="207" t="s">
        <v>334</v>
      </c>
      <c r="G975" s="81" t="s">
        <v>43</v>
      </c>
      <c r="H975" s="83" t="s">
        <v>11</v>
      </c>
      <c r="I975" s="81"/>
      <c r="K975" s="220" t="s">
        <v>2290</v>
      </c>
    </row>
    <row r="976" spans="1:27" s="87" customFormat="1" ht="15.75" customHeight="1">
      <c r="A976" s="205" t="s">
        <v>1840</v>
      </c>
      <c r="B976" s="221" t="s">
        <v>1890</v>
      </c>
      <c r="C976" s="79">
        <v>44661</v>
      </c>
      <c r="D976" s="80">
        <v>44835</v>
      </c>
      <c r="E976" s="41">
        <f>D976-C976</f>
        <v>174</v>
      </c>
      <c r="F976" s="43" t="s">
        <v>0</v>
      </c>
      <c r="G976" s="81" t="s">
        <v>33</v>
      </c>
      <c r="H976" s="81" t="s">
        <v>2</v>
      </c>
      <c r="I976" s="81"/>
      <c r="K976" s="220" t="s">
        <v>1891</v>
      </c>
    </row>
    <row r="977" spans="1:13" s="87" customFormat="1" ht="15.75" customHeight="1">
      <c r="A977" s="37" t="s">
        <v>2291</v>
      </c>
      <c r="B977" s="221" t="s">
        <v>2292</v>
      </c>
      <c r="C977" s="79">
        <v>44798</v>
      </c>
      <c r="D977" s="80">
        <v>44837</v>
      </c>
      <c r="E977" s="41">
        <f>D977-C977</f>
        <v>39</v>
      </c>
      <c r="F977" s="43" t="s">
        <v>305</v>
      </c>
      <c r="G977" s="81"/>
      <c r="H977" s="83" t="s">
        <v>11</v>
      </c>
      <c r="I977" s="81"/>
    </row>
    <row r="978" spans="1:13" s="87" customFormat="1" ht="15.75" customHeight="1">
      <c r="A978" s="87" t="s">
        <v>305</v>
      </c>
      <c r="B978" s="221" t="s">
        <v>306</v>
      </c>
      <c r="C978" s="79">
        <v>44495</v>
      </c>
      <c r="D978" s="80">
        <v>44837</v>
      </c>
      <c r="E978" s="41">
        <f>D978-C978</f>
        <v>342</v>
      </c>
      <c r="F978" s="43" t="s">
        <v>0</v>
      </c>
      <c r="G978" s="81"/>
      <c r="H978" s="83" t="s">
        <v>11</v>
      </c>
      <c r="I978" s="81" t="s">
        <v>125</v>
      </c>
    </row>
    <row r="979" spans="1:13" s="87" customFormat="1" ht="15.75" customHeight="1">
      <c r="A979" s="87" t="s">
        <v>2293</v>
      </c>
      <c r="B979" s="221" t="s">
        <v>2294</v>
      </c>
      <c r="C979" s="79">
        <v>44835</v>
      </c>
      <c r="D979" s="80">
        <v>44840</v>
      </c>
      <c r="E979" s="41">
        <f>D979-C979</f>
        <v>5</v>
      </c>
      <c r="F979" s="48" t="s">
        <v>2295</v>
      </c>
      <c r="G979" s="81"/>
      <c r="H979" s="83" t="s">
        <v>11</v>
      </c>
      <c r="I979" s="81"/>
    </row>
    <row r="980" spans="1:13" s="87" customFormat="1" ht="15.75" customHeight="1">
      <c r="A980" s="87" t="s">
        <v>2296</v>
      </c>
      <c r="B980" s="221" t="s">
        <v>2297</v>
      </c>
      <c r="C980" s="79">
        <v>44775</v>
      </c>
      <c r="D980" s="80">
        <v>44841</v>
      </c>
      <c r="E980" s="41">
        <f>D980-C980</f>
        <v>66</v>
      </c>
      <c r="F980" s="208" t="s">
        <v>258</v>
      </c>
      <c r="G980" s="81" t="s">
        <v>1612</v>
      </c>
      <c r="H980" s="83" t="s">
        <v>11</v>
      </c>
      <c r="I980" s="81"/>
    </row>
    <row r="981" spans="1:13" s="87" customFormat="1" ht="15.75" customHeight="1">
      <c r="A981" s="87" t="s">
        <v>2298</v>
      </c>
      <c r="B981" s="221" t="s">
        <v>2298</v>
      </c>
      <c r="C981" s="79">
        <v>44731</v>
      </c>
      <c r="D981" s="80">
        <v>44841</v>
      </c>
      <c r="E981" s="41">
        <f>D981-C981</f>
        <v>110</v>
      </c>
      <c r="F981" s="83" t="s">
        <v>2299</v>
      </c>
      <c r="G981" s="81"/>
      <c r="H981" s="83" t="s">
        <v>11</v>
      </c>
      <c r="I981" s="81"/>
    </row>
    <row r="982" spans="1:13" s="87" customFormat="1" ht="15.75" customHeight="1">
      <c r="A982" s="37" t="s">
        <v>2300</v>
      </c>
      <c r="B982" s="221" t="s">
        <v>2301</v>
      </c>
      <c r="C982" s="79">
        <v>44813</v>
      </c>
      <c r="D982" s="80">
        <v>44842</v>
      </c>
      <c r="E982" s="41">
        <f>D982-C982</f>
        <v>29</v>
      </c>
      <c r="F982" s="48" t="s">
        <v>2302</v>
      </c>
      <c r="G982" s="81"/>
      <c r="H982" s="83" t="s">
        <v>11</v>
      </c>
      <c r="I982" s="81"/>
    </row>
    <row r="983" spans="1:13" s="87" customFormat="1" ht="15.75" customHeight="1">
      <c r="A983" s="87" t="s">
        <v>2303</v>
      </c>
      <c r="B983" s="221" t="s">
        <v>2304</v>
      </c>
      <c r="C983" s="79">
        <v>44732</v>
      </c>
      <c r="D983" s="80">
        <v>44842</v>
      </c>
      <c r="E983" s="41">
        <f>D983-C983</f>
        <v>110</v>
      </c>
      <c r="F983" s="43" t="s">
        <v>0</v>
      </c>
      <c r="G983" s="81" t="s">
        <v>2305</v>
      </c>
      <c r="H983" s="83" t="s">
        <v>2</v>
      </c>
      <c r="I983" s="81"/>
    </row>
    <row r="984" spans="1:13" s="87" customFormat="1" ht="15.75" customHeight="1">
      <c r="A984" s="205" t="s">
        <v>2306</v>
      </c>
      <c r="B984" s="221" t="s">
        <v>2307</v>
      </c>
      <c r="C984" s="79">
        <v>44724</v>
      </c>
      <c r="D984" s="80">
        <v>44842</v>
      </c>
      <c r="E984" s="41">
        <f>D984-C984</f>
        <v>118</v>
      </c>
      <c r="F984" s="43" t="s">
        <v>0</v>
      </c>
      <c r="G984" s="81"/>
      <c r="H984" s="83" t="s">
        <v>2</v>
      </c>
      <c r="I984" s="81"/>
    </row>
    <row r="985" spans="1:13" s="87" customFormat="1" ht="15.75" customHeight="1">
      <c r="A985" s="205" t="s">
        <v>2308</v>
      </c>
      <c r="B985" s="221" t="s">
        <v>2309</v>
      </c>
      <c r="C985" s="79">
        <v>44696</v>
      </c>
      <c r="D985" s="80">
        <v>44842</v>
      </c>
      <c r="E985" s="41">
        <f>D985-C985</f>
        <v>146</v>
      </c>
      <c r="F985" s="43" t="s">
        <v>705</v>
      </c>
      <c r="G985" s="81"/>
      <c r="H985" s="83" t="s">
        <v>2</v>
      </c>
      <c r="I985" s="81"/>
    </row>
    <row r="986" spans="1:13" s="87" customFormat="1" ht="15.75" customHeight="1">
      <c r="A986" s="205" t="s">
        <v>2310</v>
      </c>
      <c r="B986" s="221" t="s">
        <v>2311</v>
      </c>
      <c r="C986" s="79">
        <v>44676</v>
      </c>
      <c r="D986" s="80">
        <v>44846</v>
      </c>
      <c r="E986" s="41">
        <f>D986-C986</f>
        <v>170</v>
      </c>
      <c r="F986" s="83" t="s">
        <v>0</v>
      </c>
      <c r="G986" s="81" t="s">
        <v>26</v>
      </c>
      <c r="H986" s="83" t="s">
        <v>11</v>
      </c>
      <c r="I986" s="81"/>
    </row>
    <row r="987" spans="1:13" s="87" customFormat="1" ht="15.75" customHeight="1">
      <c r="A987" s="205" t="s">
        <v>2270</v>
      </c>
      <c r="B987" s="221" t="s">
        <v>2312</v>
      </c>
      <c r="C987" s="79">
        <v>44447</v>
      </c>
      <c r="D987" s="80">
        <v>44846</v>
      </c>
      <c r="E987" s="41">
        <f>D987-C987</f>
        <v>399</v>
      </c>
      <c r="F987" s="83" t="s">
        <v>144</v>
      </c>
      <c r="G987" s="81" t="s">
        <v>2313</v>
      </c>
      <c r="H987" s="83" t="s">
        <v>11</v>
      </c>
      <c r="I987" s="81" t="s">
        <v>1450</v>
      </c>
    </row>
    <row r="988" spans="1:13" s="87" customFormat="1" ht="15.75" customHeight="1">
      <c r="A988" s="87" t="s">
        <v>2314</v>
      </c>
      <c r="B988" s="221" t="s">
        <v>2315</v>
      </c>
      <c r="C988" s="79">
        <v>44647</v>
      </c>
      <c r="D988" s="80">
        <v>44848</v>
      </c>
      <c r="E988" s="41">
        <f>D988-C988</f>
        <v>201</v>
      </c>
      <c r="F988" s="43" t="s">
        <v>0</v>
      </c>
      <c r="G988" s="81" t="s">
        <v>2316</v>
      </c>
      <c r="H988" s="83" t="s">
        <v>11</v>
      </c>
      <c r="I988" s="81"/>
    </row>
    <row r="989" spans="1:13" s="205" customFormat="1" ht="15.75" customHeight="1">
      <c r="A989" s="205" t="s">
        <v>2317</v>
      </c>
      <c r="B989" s="221" t="s">
        <v>2318</v>
      </c>
      <c r="C989" s="79">
        <v>44731</v>
      </c>
      <c r="D989" s="40">
        <v>44849</v>
      </c>
      <c r="E989" s="41">
        <f>D989-C989</f>
        <v>118</v>
      </c>
      <c r="F989" s="43" t="s">
        <v>0</v>
      </c>
      <c r="G989" s="81" t="s">
        <v>512</v>
      </c>
      <c r="H989" s="83" t="s">
        <v>2</v>
      </c>
      <c r="I989" s="81"/>
      <c r="J989" s="87"/>
      <c r="K989" s="87"/>
      <c r="L989" s="87"/>
      <c r="M989" s="87"/>
    </row>
    <row r="990" spans="1:13" s="87" customFormat="1" ht="15.75" customHeight="1">
      <c r="A990" s="205" t="s">
        <v>330</v>
      </c>
      <c r="B990" s="221" t="s">
        <v>331</v>
      </c>
      <c r="C990" s="79">
        <v>44598</v>
      </c>
      <c r="D990" s="40">
        <v>44849</v>
      </c>
      <c r="E990" s="41">
        <f>D990-C990</f>
        <v>251</v>
      </c>
      <c r="F990" s="43" t="s">
        <v>0</v>
      </c>
      <c r="G990" s="81"/>
      <c r="H990" s="45" t="s">
        <v>11</v>
      </c>
      <c r="I990" s="81"/>
    </row>
    <row r="991" spans="1:13" s="87" customFormat="1" ht="15.75" customHeight="1">
      <c r="A991" s="205" t="s">
        <v>1420</v>
      </c>
      <c r="B991" s="206" t="s">
        <v>1421</v>
      </c>
      <c r="C991" s="79">
        <v>44563</v>
      </c>
      <c r="D991" s="40">
        <v>44849</v>
      </c>
      <c r="E991" s="41">
        <f>D991-C991</f>
        <v>286</v>
      </c>
      <c r="F991" s="43" t="s">
        <v>0</v>
      </c>
      <c r="G991" s="45" t="s">
        <v>312</v>
      </c>
      <c r="H991" s="83" t="s">
        <v>2</v>
      </c>
      <c r="I991" s="207"/>
      <c r="J991" s="205"/>
      <c r="K991" s="53" t="s">
        <v>1422</v>
      </c>
      <c r="L991" s="205"/>
      <c r="M991" s="205"/>
    </row>
    <row r="992" spans="1:13" s="87" customFormat="1" ht="15.75" customHeight="1">
      <c r="A992" s="87" t="s">
        <v>2319</v>
      </c>
      <c r="B992" s="221" t="s">
        <v>2320</v>
      </c>
      <c r="C992" s="79">
        <v>44836</v>
      </c>
      <c r="D992" s="80">
        <v>44851</v>
      </c>
      <c r="E992" s="41">
        <f>D992-C992</f>
        <v>15</v>
      </c>
      <c r="F992" s="83" t="s">
        <v>2321</v>
      </c>
      <c r="G992" s="81"/>
      <c r="H992" s="83" t="s">
        <v>2</v>
      </c>
      <c r="I992" s="81"/>
    </row>
    <row r="993" spans="1:27" s="87" customFormat="1" ht="15.75" customHeight="1">
      <c r="A993" s="87" t="s">
        <v>2088</v>
      </c>
      <c r="B993" s="221" t="s">
        <v>2089</v>
      </c>
      <c r="C993" s="79">
        <v>44742</v>
      </c>
      <c r="D993" s="80">
        <v>44853</v>
      </c>
      <c r="E993" s="41">
        <f>D993-C993</f>
        <v>111</v>
      </c>
      <c r="F993" s="43" t="s">
        <v>0</v>
      </c>
      <c r="G993" s="81"/>
      <c r="H993" s="83" t="s">
        <v>11</v>
      </c>
      <c r="I993" s="81"/>
      <c r="K993" s="220" t="s">
        <v>2091</v>
      </c>
      <c r="L993" s="87" t="s">
        <v>2092</v>
      </c>
    </row>
    <row r="994" spans="1:27" s="87" customFormat="1" ht="15.75" customHeight="1">
      <c r="A994" s="205" t="s">
        <v>2322</v>
      </c>
      <c r="B994" s="221" t="s">
        <v>2323</v>
      </c>
      <c r="C994" s="79">
        <v>44651</v>
      </c>
      <c r="D994" s="80">
        <v>44854</v>
      </c>
      <c r="E994" s="41">
        <f>D994-C994</f>
        <v>203</v>
      </c>
      <c r="F994" s="43" t="s">
        <v>0</v>
      </c>
      <c r="G994" s="81" t="s">
        <v>644</v>
      </c>
      <c r="H994" s="83" t="s">
        <v>11</v>
      </c>
      <c r="I994" s="81"/>
    </row>
    <row r="995" spans="1:27" s="87" customFormat="1" ht="15.75" customHeight="1">
      <c r="A995" s="87" t="s">
        <v>2324</v>
      </c>
      <c r="B995" s="221" t="s">
        <v>2325</v>
      </c>
      <c r="C995" s="39">
        <v>44832</v>
      </c>
      <c r="D995" s="80">
        <v>44855</v>
      </c>
      <c r="E995" s="41">
        <f>D995-C995</f>
        <v>23</v>
      </c>
      <c r="F995" s="43" t="s">
        <v>0</v>
      </c>
      <c r="G995" s="81"/>
      <c r="H995" s="83" t="s">
        <v>2</v>
      </c>
      <c r="I995" s="81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</row>
    <row r="996" spans="1:27" s="87" customFormat="1" ht="15.75" customHeight="1">
      <c r="A996" s="87" t="s">
        <v>1854</v>
      </c>
      <c r="B996" s="221" t="s">
        <v>1855</v>
      </c>
      <c r="C996" s="39">
        <v>44766</v>
      </c>
      <c r="D996" s="80">
        <v>44855</v>
      </c>
      <c r="E996" s="41">
        <f>D996-C996</f>
        <v>89</v>
      </c>
      <c r="F996" s="43" t="s">
        <v>0</v>
      </c>
      <c r="G996" s="81" t="s">
        <v>1</v>
      </c>
      <c r="H996" s="81" t="s">
        <v>2</v>
      </c>
      <c r="I996" s="81"/>
      <c r="K996" s="220" t="s">
        <v>1856</v>
      </c>
    </row>
    <row r="997" spans="1:27" s="87" customFormat="1" ht="15.75" customHeight="1">
      <c r="A997" s="205" t="s">
        <v>619</v>
      </c>
      <c r="B997" s="206" t="s">
        <v>620</v>
      </c>
      <c r="C997" s="39">
        <v>44523</v>
      </c>
      <c r="D997" s="80">
        <v>44855</v>
      </c>
      <c r="E997" s="41">
        <f>D997-C997</f>
        <v>332</v>
      </c>
      <c r="F997" s="43" t="s">
        <v>0</v>
      </c>
      <c r="G997" s="45" t="s">
        <v>2326</v>
      </c>
      <c r="H997" s="47" t="s">
        <v>11</v>
      </c>
      <c r="I997" s="207"/>
      <c r="J997" s="205"/>
      <c r="K997" s="53" t="s">
        <v>1370</v>
      </c>
      <c r="L997" s="205"/>
      <c r="M997" s="205"/>
    </row>
    <row r="998" spans="1:27" s="87" customFormat="1" ht="15.75" customHeight="1">
      <c r="A998" s="87" t="s">
        <v>2247</v>
      </c>
      <c r="B998" s="221" t="s">
        <v>2248</v>
      </c>
      <c r="C998" s="79">
        <v>44810</v>
      </c>
      <c r="D998" s="80">
        <v>44856</v>
      </c>
      <c r="E998" s="41">
        <f>D998-C998</f>
        <v>46</v>
      </c>
      <c r="F998" s="48" t="s">
        <v>174</v>
      </c>
      <c r="G998" s="81"/>
      <c r="H998" s="83" t="s">
        <v>2</v>
      </c>
      <c r="I998" s="81" t="s">
        <v>21</v>
      </c>
    </row>
    <row r="999" spans="1:27" s="87" customFormat="1" ht="15.75" customHeight="1">
      <c r="A999" s="87" t="s">
        <v>2327</v>
      </c>
      <c r="B999" s="221" t="s">
        <v>2328</v>
      </c>
      <c r="C999" s="79">
        <v>44616</v>
      </c>
      <c r="D999" s="80">
        <v>44856</v>
      </c>
      <c r="E999" s="41">
        <f>D999-C999</f>
        <v>240</v>
      </c>
      <c r="F999" s="83" t="s">
        <v>144</v>
      </c>
      <c r="G999" s="81"/>
      <c r="H999" s="83" t="s">
        <v>11</v>
      </c>
      <c r="I999" s="81" t="s">
        <v>90</v>
      </c>
      <c r="K999" s="220" t="s">
        <v>2329</v>
      </c>
    </row>
    <row r="1000" spans="1:27" s="87" customFormat="1" ht="15.75" customHeight="1">
      <c r="A1000" s="205" t="s">
        <v>2330</v>
      </c>
      <c r="B1000" s="206" t="s">
        <v>1965</v>
      </c>
      <c r="C1000" s="79">
        <v>43912</v>
      </c>
      <c r="D1000" s="80">
        <v>44857</v>
      </c>
      <c r="E1000" s="41">
        <f>D1000-C1000</f>
        <v>945</v>
      </c>
      <c r="F1000" s="83" t="s">
        <v>0</v>
      </c>
      <c r="G1000" s="81" t="s">
        <v>26</v>
      </c>
      <c r="H1000" s="83" t="s">
        <v>11</v>
      </c>
      <c r="I1000" s="81" t="s">
        <v>2139</v>
      </c>
      <c r="K1000" s="53" t="s">
        <v>2331</v>
      </c>
      <c r="L1000" s="205" t="s">
        <v>2330</v>
      </c>
    </row>
    <row r="1001" spans="1:27" s="87" customFormat="1" ht="15.75" customHeight="1">
      <c r="A1001" s="87" t="s">
        <v>2025</v>
      </c>
      <c r="B1001" s="221" t="s">
        <v>2026</v>
      </c>
      <c r="C1001" s="79">
        <v>44777</v>
      </c>
      <c r="D1001" s="80">
        <v>44859</v>
      </c>
      <c r="E1001" s="41">
        <f>D1001-C1001</f>
        <v>82</v>
      </c>
      <c r="F1001" s="83" t="s">
        <v>305</v>
      </c>
      <c r="G1001" s="81"/>
      <c r="H1001" s="41" t="s">
        <v>11</v>
      </c>
      <c r="I1001" s="81" t="s">
        <v>85</v>
      </c>
      <c r="K1001" s="220" t="s">
        <v>2027</v>
      </c>
      <c r="L1001" s="87" t="s">
        <v>2028</v>
      </c>
    </row>
    <row r="1002" spans="1:27" s="87" customFormat="1" ht="15.75" customHeight="1">
      <c r="A1002" s="205" t="s">
        <v>219</v>
      </c>
      <c r="B1002" s="221" t="s">
        <v>2266</v>
      </c>
      <c r="C1002" s="79">
        <v>44842</v>
      </c>
      <c r="D1002" s="80">
        <v>44860</v>
      </c>
      <c r="E1002" s="41">
        <f>D1002-C1002</f>
        <v>18</v>
      </c>
      <c r="F1002" s="48" t="s">
        <v>2332</v>
      </c>
      <c r="G1002" s="81" t="s">
        <v>2313</v>
      </c>
      <c r="H1002" s="83" t="s">
        <v>2</v>
      </c>
      <c r="I1002" s="81"/>
      <c r="K1002" s="220" t="s">
        <v>2267</v>
      </c>
    </row>
    <row r="1003" spans="1:27" s="87" customFormat="1" ht="15.75" customHeight="1">
      <c r="A1003" s="205" t="s">
        <v>285</v>
      </c>
      <c r="B1003" s="206" t="s">
        <v>286</v>
      </c>
      <c r="C1003" s="39">
        <v>43906</v>
      </c>
      <c r="D1003" s="80">
        <v>44861</v>
      </c>
      <c r="E1003" s="41">
        <f>D1003-C1003</f>
        <v>955</v>
      </c>
      <c r="F1003" s="43" t="s">
        <v>0</v>
      </c>
      <c r="G1003" s="81"/>
      <c r="H1003" s="83" t="s">
        <v>2</v>
      </c>
      <c r="I1003" s="81"/>
      <c r="K1003" s="220" t="s">
        <v>287</v>
      </c>
    </row>
    <row r="1004" spans="1:27" s="87" customFormat="1" ht="15.75" customHeight="1">
      <c r="A1004" s="87" t="s">
        <v>2333</v>
      </c>
      <c r="B1004" s="221" t="s">
        <v>2334</v>
      </c>
      <c r="C1004" s="79">
        <v>44807</v>
      </c>
      <c r="D1004" s="80">
        <v>44863</v>
      </c>
      <c r="E1004" s="41">
        <f>D1004-C1004</f>
        <v>56</v>
      </c>
      <c r="F1004" s="43" t="s">
        <v>0</v>
      </c>
      <c r="G1004" s="81"/>
      <c r="H1004" s="83" t="s">
        <v>11</v>
      </c>
      <c r="I1004" s="81"/>
    </row>
    <row r="1005" spans="1:27" s="87" customFormat="1" ht="15.75" customHeight="1">
      <c r="A1005" s="205" t="s">
        <v>2335</v>
      </c>
      <c r="B1005" s="221" t="s">
        <v>2336</v>
      </c>
      <c r="C1005" s="79">
        <v>44400</v>
      </c>
      <c r="D1005" s="80">
        <v>44863</v>
      </c>
      <c r="E1005" s="41">
        <f>D1005-C1005</f>
        <v>463</v>
      </c>
      <c r="F1005" s="43" t="s">
        <v>0</v>
      </c>
      <c r="G1005" s="81"/>
      <c r="H1005" s="83" t="s">
        <v>2</v>
      </c>
      <c r="I1005" s="81"/>
      <c r="K1005" s="220" t="s">
        <v>2337</v>
      </c>
    </row>
    <row r="1006" spans="1:27" s="87" customFormat="1" ht="15.75" customHeight="1">
      <c r="A1006" s="42" t="s">
        <v>2239</v>
      </c>
      <c r="B1006" s="206" t="s">
        <v>2338</v>
      </c>
      <c r="C1006" s="79">
        <v>44199</v>
      </c>
      <c r="D1006" s="80">
        <v>44863</v>
      </c>
      <c r="E1006" s="41">
        <f>D1006-C1006</f>
        <v>664</v>
      </c>
      <c r="F1006" s="43" t="s">
        <v>0</v>
      </c>
      <c r="G1006" s="81" t="s">
        <v>1357</v>
      </c>
      <c r="H1006" s="83" t="s">
        <v>11</v>
      </c>
      <c r="I1006" s="81"/>
      <c r="K1006" s="220" t="s">
        <v>2339</v>
      </c>
    </row>
    <row r="1007" spans="1:27" s="87" customFormat="1" ht="15.75" customHeight="1">
      <c r="A1007" s="205" t="s">
        <v>2340</v>
      </c>
      <c r="B1007" s="221" t="s">
        <v>2341</v>
      </c>
      <c r="C1007" s="79">
        <v>44643</v>
      </c>
      <c r="D1007" s="80">
        <v>44864</v>
      </c>
      <c r="E1007" s="41">
        <f>D1007-C1007</f>
        <v>221</v>
      </c>
      <c r="F1007" s="43" t="s">
        <v>0</v>
      </c>
      <c r="G1007" s="81" t="s">
        <v>2342</v>
      </c>
      <c r="H1007" s="83" t="s">
        <v>11</v>
      </c>
      <c r="I1007" s="81"/>
      <c r="K1007" s="220" t="s">
        <v>2343</v>
      </c>
    </row>
    <row r="1008" spans="1:27" s="87" customFormat="1" ht="15.75" customHeight="1">
      <c r="A1008" s="42" t="s">
        <v>668</v>
      </c>
      <c r="B1008" s="206" t="s">
        <v>669</v>
      </c>
      <c r="C1008" s="39">
        <v>44539</v>
      </c>
      <c r="D1008" s="80">
        <v>44869</v>
      </c>
      <c r="E1008" s="41">
        <f>D1008-C1008</f>
        <v>330</v>
      </c>
      <c r="F1008" s="43" t="s">
        <v>0</v>
      </c>
      <c r="G1008" s="207"/>
      <c r="H1008" s="83" t="s">
        <v>2</v>
      </c>
      <c r="I1008" s="207"/>
      <c r="J1008" s="205"/>
      <c r="K1008" s="220" t="s">
        <v>2344</v>
      </c>
      <c r="L1008" s="205"/>
      <c r="M1008" s="205"/>
    </row>
    <row r="1009" spans="1:27" s="205" customFormat="1" ht="15.75" customHeight="1">
      <c r="A1009" s="65" t="s">
        <v>2023</v>
      </c>
      <c r="B1009" s="206" t="s">
        <v>2023</v>
      </c>
      <c r="C1009" s="79">
        <v>44318</v>
      </c>
      <c r="D1009" s="80">
        <v>44869</v>
      </c>
      <c r="E1009" s="41">
        <f>D1009-C1009</f>
        <v>551</v>
      </c>
      <c r="F1009" s="43" t="s">
        <v>0</v>
      </c>
      <c r="G1009" s="81" t="s">
        <v>1119</v>
      </c>
      <c r="H1009" s="83" t="s">
        <v>11</v>
      </c>
      <c r="I1009" s="81" t="s">
        <v>21</v>
      </c>
      <c r="J1009" s="87"/>
      <c r="K1009" s="87"/>
      <c r="L1009" s="87" t="s">
        <v>2345</v>
      </c>
      <c r="M1009" s="87"/>
    </row>
    <row r="1010" spans="1:27" s="87" customFormat="1" ht="15.75" customHeight="1">
      <c r="A1010" s="87" t="s">
        <v>305</v>
      </c>
      <c r="B1010" s="221" t="s">
        <v>306</v>
      </c>
      <c r="C1010" s="79">
        <v>44866</v>
      </c>
      <c r="D1010" s="80">
        <v>44870</v>
      </c>
      <c r="E1010" s="41">
        <f>D1010-C1010</f>
        <v>4</v>
      </c>
      <c r="F1010" s="43" t="s">
        <v>0</v>
      </c>
      <c r="G1010" s="81"/>
      <c r="H1010" s="83" t="s">
        <v>11</v>
      </c>
      <c r="I1010" s="81" t="s">
        <v>125</v>
      </c>
    </row>
    <row r="1011" spans="1:27" s="87" customFormat="1" ht="15.75" customHeight="1">
      <c r="A1011" s="205" t="s">
        <v>314</v>
      </c>
      <c r="B1011" s="206" t="s">
        <v>315</v>
      </c>
      <c r="C1011" s="79">
        <v>44199</v>
      </c>
      <c r="D1011" s="80">
        <v>44870</v>
      </c>
      <c r="E1011" s="41">
        <f>D1011-C1011</f>
        <v>671</v>
      </c>
      <c r="F1011" s="43" t="s">
        <v>0</v>
      </c>
      <c r="G1011" s="81" t="s">
        <v>316</v>
      </c>
      <c r="H1011" s="83" t="s">
        <v>11</v>
      </c>
      <c r="I1011" s="81" t="s">
        <v>85</v>
      </c>
      <c r="K1011" s="220" t="s">
        <v>317</v>
      </c>
    </row>
    <row r="1012" spans="1:27" s="87" customFormat="1" ht="15.75" customHeight="1">
      <c r="A1012" s="205" t="s">
        <v>1201</v>
      </c>
      <c r="B1012" s="206" t="s">
        <v>1202</v>
      </c>
      <c r="C1012" s="79">
        <v>44843</v>
      </c>
      <c r="D1012" s="40">
        <v>44875</v>
      </c>
      <c r="E1012" s="41">
        <f>D1012-C1012</f>
        <v>32</v>
      </c>
      <c r="F1012" s="43" t="s">
        <v>0</v>
      </c>
      <c r="G1012" s="45" t="s">
        <v>2346</v>
      </c>
      <c r="H1012" s="45" t="s">
        <v>11</v>
      </c>
      <c r="I1012" s="45"/>
      <c r="J1012" s="205"/>
      <c r="K1012" s="205"/>
      <c r="L1012" s="205"/>
      <c r="M1012" s="205"/>
      <c r="N1012" s="205"/>
      <c r="O1012" s="205"/>
      <c r="P1012" s="205"/>
      <c r="Q1012" s="205"/>
      <c r="R1012" s="205"/>
      <c r="S1012" s="205"/>
      <c r="T1012" s="205"/>
      <c r="U1012" s="205"/>
      <c r="V1012" s="205"/>
      <c r="W1012" s="205"/>
      <c r="X1012" s="205"/>
      <c r="Y1012" s="205"/>
      <c r="Z1012" s="205"/>
      <c r="AA1012" s="205"/>
    </row>
    <row r="1013" spans="1:27" s="205" customFormat="1" ht="15.75" customHeight="1">
      <c r="A1013" s="205" t="s">
        <v>2151</v>
      </c>
      <c r="B1013" s="221" t="s">
        <v>2152</v>
      </c>
      <c r="C1013" s="79">
        <v>44843</v>
      </c>
      <c r="D1013" s="40">
        <v>44875</v>
      </c>
      <c r="E1013" s="41">
        <f>D1013-C1013</f>
        <v>32</v>
      </c>
      <c r="F1013" s="43" t="s">
        <v>0</v>
      </c>
      <c r="G1013" s="81" t="s">
        <v>995</v>
      </c>
      <c r="H1013" s="83" t="s">
        <v>2</v>
      </c>
      <c r="I1013" s="207"/>
      <c r="K1013" s="220" t="s">
        <v>2153</v>
      </c>
    </row>
    <row r="1014" spans="1:27" s="87" customFormat="1" ht="15.75" customHeight="1">
      <c r="A1014" s="205" t="s">
        <v>2347</v>
      </c>
      <c r="B1014" s="206" t="s">
        <v>2348</v>
      </c>
      <c r="C1014" s="79">
        <v>44860</v>
      </c>
      <c r="D1014" s="80">
        <v>44876</v>
      </c>
      <c r="E1014" s="41">
        <f>D1014-C1014</f>
        <v>16</v>
      </c>
      <c r="F1014" s="43" t="s">
        <v>0</v>
      </c>
      <c r="G1014" s="45"/>
      <c r="H1014" s="83" t="s">
        <v>2</v>
      </c>
      <c r="I1014" s="207"/>
      <c r="J1014" s="205"/>
      <c r="K1014" s="53"/>
      <c r="L1014" s="205"/>
      <c r="M1014" s="205"/>
      <c r="N1014" s="205"/>
      <c r="O1014" s="205"/>
      <c r="P1014" s="205"/>
      <c r="Q1014" s="205"/>
      <c r="R1014" s="205"/>
      <c r="S1014" s="205"/>
      <c r="T1014" s="205"/>
      <c r="U1014" s="205"/>
      <c r="V1014" s="205"/>
      <c r="W1014" s="205"/>
      <c r="X1014" s="205"/>
      <c r="Y1014" s="205"/>
      <c r="Z1014" s="205"/>
      <c r="AA1014" s="205"/>
    </row>
    <row r="1015" spans="1:27" s="87" customFormat="1" ht="15.75" customHeight="1">
      <c r="A1015" s="37" t="s">
        <v>2349</v>
      </c>
      <c r="B1015" s="221" t="s">
        <v>2350</v>
      </c>
      <c r="C1015" s="79">
        <v>44805</v>
      </c>
      <c r="D1015" s="80">
        <v>44877</v>
      </c>
      <c r="E1015" s="41">
        <f>D1015-C1015</f>
        <v>72</v>
      </c>
      <c r="F1015" s="83" t="s">
        <v>2351</v>
      </c>
      <c r="G1015" s="81" t="s">
        <v>2352</v>
      </c>
      <c r="H1015" s="83" t="s">
        <v>2</v>
      </c>
      <c r="I1015" s="81"/>
    </row>
    <row r="1016" spans="1:27" s="205" customFormat="1" ht="15.75" customHeight="1">
      <c r="A1016" s="205" t="s">
        <v>1506</v>
      </c>
      <c r="B1016" s="206" t="s">
        <v>1507</v>
      </c>
      <c r="C1016" s="39">
        <v>44654</v>
      </c>
      <c r="D1016" s="40">
        <v>44878</v>
      </c>
      <c r="E1016" s="41">
        <f>D1016-C1016</f>
        <v>224</v>
      </c>
      <c r="F1016" s="43" t="s">
        <v>0</v>
      </c>
      <c r="G1016" s="45" t="s">
        <v>70</v>
      </c>
      <c r="H1016" s="83" t="s">
        <v>11</v>
      </c>
      <c r="I1016" s="207"/>
      <c r="K1016" s="53" t="s">
        <v>1508</v>
      </c>
    </row>
    <row r="1017" spans="1:27" s="87" customFormat="1" ht="15.75" customHeight="1">
      <c r="A1017" s="205" t="s">
        <v>2353</v>
      </c>
      <c r="B1017" s="221" t="s">
        <v>2354</v>
      </c>
      <c r="C1017" s="79">
        <v>44580</v>
      </c>
      <c r="D1017" s="40">
        <v>44878</v>
      </c>
      <c r="E1017" s="41">
        <f>D1017-C1017</f>
        <v>298</v>
      </c>
      <c r="F1017" s="43" t="s">
        <v>0</v>
      </c>
      <c r="G1017" s="81" t="s">
        <v>1</v>
      </c>
      <c r="H1017" s="83" t="s">
        <v>2</v>
      </c>
      <c r="I1017" s="81"/>
      <c r="K1017" s="220" t="s">
        <v>2355</v>
      </c>
      <c r="L1017" s="87" t="s">
        <v>2356</v>
      </c>
    </row>
    <row r="1018" spans="1:27" s="87" customFormat="1" ht="15.75" customHeight="1">
      <c r="A1018" s="87" t="s">
        <v>2265</v>
      </c>
      <c r="B1018" s="221" t="s">
        <v>2265</v>
      </c>
      <c r="C1018" s="79">
        <v>44511</v>
      </c>
      <c r="D1018" s="80">
        <v>44879</v>
      </c>
      <c r="E1018" s="41">
        <f>D1018-C1018</f>
        <v>368</v>
      </c>
      <c r="F1018" s="83" t="s">
        <v>205</v>
      </c>
      <c r="G1018" s="81"/>
      <c r="H1018" s="83" t="s">
        <v>11</v>
      </c>
      <c r="I1018" s="81"/>
      <c r="K1018" s="220" t="s">
        <v>2357</v>
      </c>
    </row>
    <row r="1019" spans="1:27" s="87" customFormat="1" ht="15.75" customHeight="1">
      <c r="A1019" s="205" t="s">
        <v>2358</v>
      </c>
      <c r="B1019" s="221" t="s">
        <v>2359</v>
      </c>
      <c r="C1019" s="79">
        <v>44689</v>
      </c>
      <c r="D1019" s="80">
        <v>44882</v>
      </c>
      <c r="E1019" s="41">
        <f>D1019-C1019</f>
        <v>193</v>
      </c>
      <c r="F1019" s="43" t="s">
        <v>0</v>
      </c>
      <c r="G1019" s="81" t="s">
        <v>213</v>
      </c>
      <c r="H1019" s="83" t="s">
        <v>2</v>
      </c>
      <c r="I1019" s="81"/>
    </row>
    <row r="1020" spans="1:27" s="205" customFormat="1" ht="15.75" customHeight="1">
      <c r="A1020" s="42" t="s">
        <v>506</v>
      </c>
      <c r="B1020" s="206" t="s">
        <v>507</v>
      </c>
      <c r="C1020" s="39">
        <v>44845</v>
      </c>
      <c r="D1020" s="39">
        <v>44884</v>
      </c>
      <c r="E1020" s="41">
        <f>D1020-C1020</f>
        <v>39</v>
      </c>
      <c r="F1020" s="43" t="s">
        <v>0</v>
      </c>
      <c r="G1020" s="45" t="s">
        <v>26</v>
      </c>
      <c r="H1020" s="83" t="s">
        <v>2</v>
      </c>
      <c r="I1020" s="207"/>
      <c r="K1020" s="53" t="s">
        <v>1588</v>
      </c>
      <c r="L1020" s="210" t="s">
        <v>509</v>
      </c>
    </row>
    <row r="1021" spans="1:27" s="87" customFormat="1" ht="15.75" customHeight="1">
      <c r="A1021" s="42" t="s">
        <v>970</v>
      </c>
      <c r="B1021" s="206" t="s">
        <v>971</v>
      </c>
      <c r="C1021" s="39">
        <v>44766</v>
      </c>
      <c r="D1021" s="39">
        <v>44886</v>
      </c>
      <c r="E1021" s="41">
        <f>D1021-C1021</f>
        <v>120</v>
      </c>
      <c r="F1021" s="43" t="s">
        <v>0</v>
      </c>
      <c r="G1021" s="45" t="s">
        <v>1</v>
      </c>
      <c r="H1021" s="45" t="s">
        <v>11</v>
      </c>
      <c r="I1021" s="54"/>
      <c r="J1021" s="205"/>
      <c r="K1021" s="205"/>
      <c r="L1021" s="205"/>
      <c r="M1021" s="205"/>
      <c r="N1021" s="205"/>
      <c r="O1021" s="205"/>
      <c r="P1021" s="205"/>
      <c r="Q1021" s="205"/>
      <c r="R1021" s="205"/>
      <c r="S1021" s="205"/>
      <c r="T1021" s="205"/>
      <c r="U1021" s="205"/>
      <c r="V1021" s="205"/>
      <c r="W1021" s="205"/>
      <c r="X1021" s="205"/>
      <c r="Y1021" s="205"/>
      <c r="Z1021" s="205"/>
      <c r="AA1021" s="205"/>
    </row>
    <row r="1022" spans="1:27" s="87" customFormat="1" ht="15.75" customHeight="1">
      <c r="A1022" s="37" t="s">
        <v>2360</v>
      </c>
      <c r="B1022" s="221" t="s">
        <v>2361</v>
      </c>
      <c r="C1022" s="79">
        <v>44839</v>
      </c>
      <c r="D1022" s="80">
        <v>44888</v>
      </c>
      <c r="E1022" s="41">
        <f>D1022-C1022</f>
        <v>49</v>
      </c>
      <c r="F1022" s="83" t="s">
        <v>144</v>
      </c>
      <c r="G1022" s="81"/>
      <c r="H1022" s="83" t="s">
        <v>11</v>
      </c>
      <c r="I1022" s="81"/>
    </row>
    <row r="1023" spans="1:27" s="205" customFormat="1" ht="15.75" customHeight="1">
      <c r="A1023" s="205" t="s">
        <v>1662</v>
      </c>
      <c r="B1023" s="206" t="s">
        <v>1663</v>
      </c>
      <c r="C1023" s="39">
        <v>44832</v>
      </c>
      <c r="D1023" s="40">
        <v>44890</v>
      </c>
      <c r="E1023" s="41">
        <f>D1023-C1023</f>
        <v>58</v>
      </c>
      <c r="F1023" s="43" t="s">
        <v>0</v>
      </c>
      <c r="G1023" s="207"/>
      <c r="H1023" s="45" t="s">
        <v>2</v>
      </c>
      <c r="I1023" s="207"/>
      <c r="K1023" s="220" t="s">
        <v>1664</v>
      </c>
    </row>
    <row r="1024" spans="1:27" s="87" customFormat="1" ht="15.75" customHeight="1">
      <c r="A1024" s="87" t="s">
        <v>2136</v>
      </c>
      <c r="B1024" s="221" t="s">
        <v>2136</v>
      </c>
      <c r="C1024" s="79">
        <v>44647</v>
      </c>
      <c r="D1024" s="80">
        <v>44891</v>
      </c>
      <c r="E1024" s="41">
        <f>D1024-C1024</f>
        <v>244</v>
      </c>
      <c r="F1024" s="208" t="s">
        <v>133</v>
      </c>
      <c r="G1024" s="81" t="s">
        <v>2362</v>
      </c>
      <c r="H1024" s="83" t="s">
        <v>11</v>
      </c>
      <c r="I1024" s="81" t="s">
        <v>21</v>
      </c>
      <c r="K1024" s="220" t="s">
        <v>2363</v>
      </c>
    </row>
    <row r="1025" spans="1:27" s="87" customFormat="1" ht="15.75" customHeight="1">
      <c r="A1025" s="205" t="s">
        <v>2364</v>
      </c>
      <c r="B1025" s="221" t="s">
        <v>2365</v>
      </c>
      <c r="C1025" s="81">
        <v>44751</v>
      </c>
      <c r="D1025" s="80">
        <v>44891</v>
      </c>
      <c r="E1025" s="41">
        <f>D1025-C1025</f>
        <v>140</v>
      </c>
      <c r="F1025" s="43" t="s">
        <v>0</v>
      </c>
      <c r="G1025" s="81" t="s">
        <v>1357</v>
      </c>
      <c r="H1025" s="83" t="s">
        <v>2</v>
      </c>
      <c r="I1025" s="81"/>
      <c r="L1025" s="205" t="s">
        <v>2366</v>
      </c>
    </row>
    <row r="1026" spans="1:27" s="87" customFormat="1" ht="15.75" customHeight="1">
      <c r="A1026" s="87" t="s">
        <v>2321</v>
      </c>
      <c r="B1026" s="221" t="s">
        <v>2321</v>
      </c>
      <c r="C1026" s="79">
        <v>44728</v>
      </c>
      <c r="D1026" s="80">
        <v>44891</v>
      </c>
      <c r="E1026" s="41">
        <f>D1026-C1026</f>
        <v>163</v>
      </c>
      <c r="F1026" s="83" t="s">
        <v>63</v>
      </c>
      <c r="G1026" s="81" t="s">
        <v>2367</v>
      </c>
      <c r="H1026" s="83" t="s">
        <v>11</v>
      </c>
      <c r="I1026" s="81"/>
    </row>
    <row r="1027" spans="1:27" s="87" customFormat="1" ht="15.75" customHeight="1">
      <c r="A1027" s="42" t="s">
        <v>2275</v>
      </c>
      <c r="B1027" s="206" t="s">
        <v>2368</v>
      </c>
      <c r="C1027" s="79">
        <v>44743</v>
      </c>
      <c r="D1027" s="80">
        <v>44895</v>
      </c>
      <c r="E1027" s="41">
        <f>D1027-C1027</f>
        <v>152</v>
      </c>
      <c r="F1027" s="43" t="s">
        <v>0</v>
      </c>
      <c r="G1027" s="81"/>
      <c r="H1027" s="47" t="s">
        <v>11</v>
      </c>
      <c r="I1027" s="81"/>
    </row>
    <row r="1028" spans="1:27" s="87" customFormat="1" ht="15.75" customHeight="1">
      <c r="A1028" s="37" t="s">
        <v>2369</v>
      </c>
      <c r="B1028" s="221" t="s">
        <v>2370</v>
      </c>
      <c r="C1028" s="79">
        <v>44823</v>
      </c>
      <c r="D1028" s="80">
        <v>44898</v>
      </c>
      <c r="E1028" s="41">
        <f>D1028-C1028</f>
        <v>75</v>
      </c>
      <c r="F1028" s="43" t="s">
        <v>0</v>
      </c>
      <c r="G1028" s="81"/>
      <c r="H1028" s="83" t="s">
        <v>11</v>
      </c>
      <c r="I1028" s="81"/>
    </row>
    <row r="1029" spans="1:27" s="87" customFormat="1" ht="15.75" customHeight="1">
      <c r="A1029" s="87" t="s">
        <v>2371</v>
      </c>
      <c r="B1029" s="221" t="s">
        <v>2372</v>
      </c>
      <c r="C1029" s="79">
        <v>44756</v>
      </c>
      <c r="D1029" s="80">
        <v>44898</v>
      </c>
      <c r="E1029" s="41">
        <f>D1029-C1029</f>
        <v>142</v>
      </c>
      <c r="F1029" s="43" t="s">
        <v>0</v>
      </c>
      <c r="G1029" s="81"/>
      <c r="H1029" s="83" t="s">
        <v>2</v>
      </c>
      <c r="I1029" s="81"/>
      <c r="L1029" s="205" t="s">
        <v>2373</v>
      </c>
    </row>
    <row r="1030" spans="1:27" s="205" customFormat="1" ht="15.75" customHeight="1">
      <c r="A1030" s="205" t="s">
        <v>1883</v>
      </c>
      <c r="B1030" s="221" t="s">
        <v>1884</v>
      </c>
      <c r="C1030" s="79">
        <v>44865</v>
      </c>
      <c r="D1030" s="80">
        <v>44898</v>
      </c>
      <c r="E1030" s="41">
        <f>D1030-C1030</f>
        <v>33</v>
      </c>
      <c r="F1030" s="43" t="s">
        <v>0</v>
      </c>
      <c r="G1030" s="207"/>
      <c r="H1030" s="83" t="s">
        <v>11</v>
      </c>
      <c r="I1030" s="207"/>
    </row>
    <row r="1031" spans="1:27" s="87" customFormat="1" ht="15" customHeight="1">
      <c r="A1031" s="87" t="s">
        <v>2374</v>
      </c>
      <c r="B1031" s="221" t="s">
        <v>2375</v>
      </c>
      <c r="C1031" s="79">
        <v>44743</v>
      </c>
      <c r="D1031" s="80">
        <v>44898</v>
      </c>
      <c r="E1031" s="41">
        <f>D1031-C1031</f>
        <v>155</v>
      </c>
      <c r="F1031" s="83" t="s">
        <v>309</v>
      </c>
      <c r="H1031" s="47" t="s">
        <v>11</v>
      </c>
    </row>
    <row r="1032" spans="1:27" s="205" customFormat="1" ht="15.75" customHeight="1">
      <c r="A1032" s="205" t="s">
        <v>2214</v>
      </c>
      <c r="B1032" s="221" t="s">
        <v>2215</v>
      </c>
      <c r="C1032" s="79">
        <v>44805</v>
      </c>
      <c r="D1032" s="80">
        <v>44898</v>
      </c>
      <c r="E1032" s="41">
        <f>D1032-C1032</f>
        <v>93</v>
      </c>
      <c r="F1032" s="43" t="s">
        <v>0</v>
      </c>
      <c r="G1032" s="207" t="s">
        <v>1119</v>
      </c>
      <c r="H1032" s="83" t="s">
        <v>11</v>
      </c>
      <c r="I1032" s="81" t="s">
        <v>2036</v>
      </c>
    </row>
    <row r="1033" spans="1:27" s="87" customFormat="1" ht="15.75" customHeight="1">
      <c r="A1033" s="37" t="s">
        <v>2376</v>
      </c>
      <c r="B1033" s="221" t="s">
        <v>2377</v>
      </c>
      <c r="C1033" s="79">
        <v>44799</v>
      </c>
      <c r="D1033" s="80">
        <v>44901</v>
      </c>
      <c r="E1033" s="41">
        <f>D1033-C1033</f>
        <v>102</v>
      </c>
      <c r="F1033" s="48" t="s">
        <v>2378</v>
      </c>
      <c r="G1033" s="81"/>
      <c r="H1033" s="83" t="s">
        <v>2</v>
      </c>
      <c r="I1033" s="81"/>
    </row>
    <row r="1034" spans="1:27" s="87" customFormat="1" ht="15.75" customHeight="1">
      <c r="A1034" s="87" t="s">
        <v>2379</v>
      </c>
      <c r="B1034" s="221" t="s">
        <v>2379</v>
      </c>
      <c r="C1034" s="79">
        <v>44865</v>
      </c>
      <c r="D1034" s="80">
        <v>44902</v>
      </c>
      <c r="E1034" s="41">
        <f>D1034-C1034</f>
        <v>37</v>
      </c>
      <c r="F1034" s="43" t="s">
        <v>0</v>
      </c>
      <c r="G1034" s="81"/>
      <c r="H1034" s="83" t="s">
        <v>2</v>
      </c>
      <c r="I1034" s="81"/>
    </row>
    <row r="1035" spans="1:27" s="87" customFormat="1" ht="15.75" customHeight="1">
      <c r="A1035" s="205" t="s">
        <v>2080</v>
      </c>
      <c r="B1035" s="221" t="s">
        <v>2081</v>
      </c>
      <c r="C1035" s="39">
        <v>44749</v>
      </c>
      <c r="D1035" s="80">
        <v>44904</v>
      </c>
      <c r="E1035" s="41">
        <f>D1035-C1035</f>
        <v>155</v>
      </c>
      <c r="F1035" s="43" t="s">
        <v>0</v>
      </c>
      <c r="G1035" s="81" t="s">
        <v>2380</v>
      </c>
      <c r="H1035" s="41" t="s">
        <v>11</v>
      </c>
      <c r="I1035" s="81"/>
    </row>
    <row r="1036" spans="1:27" s="205" customFormat="1" ht="15.75" customHeight="1">
      <c r="A1036" s="205" t="s">
        <v>1211</v>
      </c>
      <c r="B1036" s="206" t="s">
        <v>1546</v>
      </c>
      <c r="C1036" s="39">
        <v>44874</v>
      </c>
      <c r="D1036" s="80">
        <v>44905</v>
      </c>
      <c r="E1036" s="41">
        <f>D1036-C1036</f>
        <v>31</v>
      </c>
      <c r="F1036" s="43" t="s">
        <v>0</v>
      </c>
      <c r="G1036" s="45" t="s">
        <v>720</v>
      </c>
      <c r="H1036" s="41" t="s">
        <v>11</v>
      </c>
      <c r="I1036" s="207"/>
      <c r="K1036" s="53" t="s">
        <v>1547</v>
      </c>
      <c r="L1036" s="42" t="s">
        <v>1548</v>
      </c>
    </row>
    <row r="1037" spans="1:27" s="87" customFormat="1" ht="15.75" customHeight="1">
      <c r="A1037" s="87" t="s">
        <v>2381</v>
      </c>
      <c r="B1037" s="221" t="s">
        <v>2382</v>
      </c>
      <c r="C1037" s="79">
        <v>44667</v>
      </c>
      <c r="D1037" s="80">
        <v>44906</v>
      </c>
      <c r="E1037" s="41">
        <f>D1037-C1037</f>
        <v>239</v>
      </c>
      <c r="F1037" s="43" t="s">
        <v>217</v>
      </c>
      <c r="G1037" s="81"/>
      <c r="H1037" s="83" t="s">
        <v>11</v>
      </c>
      <c r="I1037" s="81"/>
    </row>
    <row r="1038" spans="1:27" s="87" customFormat="1" ht="15.75" customHeight="1">
      <c r="A1038" s="87" t="s">
        <v>2383</v>
      </c>
      <c r="B1038" s="221" t="s">
        <v>2384</v>
      </c>
      <c r="C1038" s="79">
        <v>44683</v>
      </c>
      <c r="D1038" s="80">
        <v>44910</v>
      </c>
      <c r="E1038" s="41">
        <f>D1038-C1038</f>
        <v>227</v>
      </c>
      <c r="F1038" s="43" t="s">
        <v>0</v>
      </c>
      <c r="G1038" s="81" t="s">
        <v>1</v>
      </c>
      <c r="H1038" s="83" t="s">
        <v>11</v>
      </c>
      <c r="I1038" s="81"/>
    </row>
    <row r="1039" spans="1:27" s="87" customFormat="1" ht="15.75" customHeight="1">
      <c r="A1039" s="57" t="s">
        <v>1334</v>
      </c>
      <c r="B1039" s="206" t="s">
        <v>1335</v>
      </c>
      <c r="C1039" s="39">
        <v>44874</v>
      </c>
      <c r="D1039" s="80">
        <v>44910</v>
      </c>
      <c r="E1039" s="41">
        <f>D1039-C1039</f>
        <v>36</v>
      </c>
      <c r="F1039" s="43" t="s">
        <v>0</v>
      </c>
      <c r="G1039" s="207" t="s">
        <v>2385</v>
      </c>
      <c r="H1039" s="207" t="s">
        <v>2</v>
      </c>
      <c r="I1039" s="207"/>
      <c r="J1039" s="205"/>
      <c r="K1039" s="53" t="s">
        <v>1336</v>
      </c>
      <c r="L1039" s="205"/>
      <c r="M1039" s="205"/>
      <c r="N1039" s="205"/>
      <c r="O1039" s="205"/>
      <c r="P1039" s="205"/>
      <c r="Q1039" s="205"/>
      <c r="R1039" s="205"/>
      <c r="S1039" s="205"/>
      <c r="T1039" s="205"/>
      <c r="U1039" s="205"/>
      <c r="V1039" s="205"/>
      <c r="W1039" s="205"/>
      <c r="X1039" s="205"/>
      <c r="Y1039" s="205"/>
      <c r="Z1039" s="205"/>
      <c r="AA1039" s="205"/>
    </row>
    <row r="1040" spans="1:27" s="87" customFormat="1" ht="15.75" customHeight="1">
      <c r="A1040" s="87" t="s">
        <v>2386</v>
      </c>
      <c r="B1040" s="221" t="s">
        <v>2386</v>
      </c>
      <c r="C1040" s="79">
        <v>44890</v>
      </c>
      <c r="D1040" s="80">
        <v>44911</v>
      </c>
      <c r="E1040" s="41">
        <f>D1040-C1040</f>
        <v>21</v>
      </c>
      <c r="F1040" s="48" t="s">
        <v>2332</v>
      </c>
      <c r="G1040" s="81"/>
      <c r="H1040" s="83" t="s">
        <v>11</v>
      </c>
      <c r="I1040" s="81"/>
    </row>
    <row r="1041" spans="1:27" s="87" customFormat="1" ht="15.75" customHeight="1">
      <c r="A1041" s="205" t="s">
        <v>2029</v>
      </c>
      <c r="B1041" s="221" t="s">
        <v>2030</v>
      </c>
      <c r="C1041" s="79">
        <v>44729</v>
      </c>
      <c r="D1041" s="80">
        <v>44912</v>
      </c>
      <c r="E1041" s="41">
        <f>D1041-C1041</f>
        <v>183</v>
      </c>
      <c r="F1041" s="43" t="s">
        <v>0</v>
      </c>
      <c r="G1041" s="81" t="s">
        <v>70</v>
      </c>
      <c r="H1041" s="83" t="s">
        <v>2</v>
      </c>
      <c r="I1041" s="81" t="s">
        <v>21</v>
      </c>
      <c r="K1041" s="220" t="s">
        <v>2031</v>
      </c>
      <c r="L1041" s="205" t="s">
        <v>2029</v>
      </c>
    </row>
    <row r="1042" spans="1:27" s="87" customFormat="1" ht="15.75" customHeight="1">
      <c r="A1042" s="37" t="s">
        <v>2387</v>
      </c>
      <c r="B1042" s="221" t="s">
        <v>2388</v>
      </c>
      <c r="C1042" s="79">
        <v>44858</v>
      </c>
      <c r="D1042" s="80">
        <v>44912</v>
      </c>
      <c r="E1042" s="41">
        <f>D1042-C1042</f>
        <v>54</v>
      </c>
      <c r="F1042" s="48" t="s">
        <v>219</v>
      </c>
      <c r="G1042" s="81"/>
      <c r="H1042" s="83" t="s">
        <v>2</v>
      </c>
      <c r="I1042" s="81"/>
    </row>
    <row r="1043" spans="1:27" s="87" customFormat="1" ht="15.75" customHeight="1">
      <c r="A1043" s="205" t="s">
        <v>2389</v>
      </c>
      <c r="B1043" s="221" t="s">
        <v>2390</v>
      </c>
      <c r="C1043" s="79">
        <v>44566</v>
      </c>
      <c r="D1043" s="80">
        <v>44913</v>
      </c>
      <c r="E1043" s="41">
        <f>D1043-C1043</f>
        <v>347</v>
      </c>
      <c r="F1043" s="83" t="s">
        <v>144</v>
      </c>
      <c r="G1043" s="81"/>
      <c r="H1043" s="83" t="s">
        <v>11</v>
      </c>
      <c r="I1043" s="81"/>
    </row>
    <row r="1044" spans="1:27" s="87" customFormat="1" ht="15.75" customHeight="1">
      <c r="A1044" s="87" t="s">
        <v>2391</v>
      </c>
      <c r="B1044" s="221" t="s">
        <v>2392</v>
      </c>
      <c r="C1044" s="79">
        <v>44730</v>
      </c>
      <c r="D1044" s="80">
        <v>44919</v>
      </c>
      <c r="E1044" s="41">
        <f>D1044-C1044</f>
        <v>189</v>
      </c>
      <c r="F1044" s="83" t="s">
        <v>2265</v>
      </c>
      <c r="G1044" s="81"/>
      <c r="H1044" s="83" t="s">
        <v>2</v>
      </c>
      <c r="I1044" s="81"/>
    </row>
    <row r="1045" spans="1:27" s="87" customFormat="1" ht="15.75" customHeight="1">
      <c r="A1045" s="37" t="s">
        <v>2393</v>
      </c>
      <c r="B1045" s="221" t="s">
        <v>2394</v>
      </c>
      <c r="C1045" s="79">
        <v>44793</v>
      </c>
      <c r="D1045" s="80">
        <v>44919</v>
      </c>
      <c r="E1045" s="41">
        <f>D1045-C1045</f>
        <v>126</v>
      </c>
      <c r="F1045" s="43" t="s">
        <v>0</v>
      </c>
      <c r="G1045" s="81"/>
      <c r="H1045" s="83" t="s">
        <v>2</v>
      </c>
      <c r="I1045" s="81"/>
    </row>
    <row r="1046" spans="1:27" s="87" customFormat="1" ht="15.75" customHeight="1">
      <c r="A1046" s="37" t="s">
        <v>2395</v>
      </c>
      <c r="B1046" s="221" t="s">
        <v>2396</v>
      </c>
      <c r="C1046" s="79">
        <v>44867</v>
      </c>
      <c r="D1046" s="80">
        <v>44919</v>
      </c>
      <c r="E1046" s="41">
        <f>D1046-C1046</f>
        <v>52</v>
      </c>
      <c r="F1046" s="43" t="s">
        <v>0</v>
      </c>
      <c r="G1046" s="81"/>
      <c r="H1046" s="83" t="s">
        <v>2</v>
      </c>
      <c r="I1046" s="81"/>
    </row>
    <row r="1047" spans="1:27" s="87" customFormat="1" ht="15.75" customHeight="1">
      <c r="A1047" s="87" t="s">
        <v>2397</v>
      </c>
      <c r="B1047" s="221" t="s">
        <v>2398</v>
      </c>
      <c r="C1047" s="79">
        <v>44757</v>
      </c>
      <c r="D1047" s="80">
        <v>44919</v>
      </c>
      <c r="E1047" s="41">
        <f>D1047-C1047</f>
        <v>162</v>
      </c>
      <c r="F1047" s="43" t="s">
        <v>0</v>
      </c>
      <c r="G1047" s="81"/>
      <c r="H1047" s="83" t="s">
        <v>2</v>
      </c>
      <c r="I1047" s="81"/>
    </row>
    <row r="1048" spans="1:27" s="87" customFormat="1" ht="15.75" customHeight="1">
      <c r="A1048" s="87" t="s">
        <v>2399</v>
      </c>
      <c r="B1048" s="221" t="s">
        <v>2400</v>
      </c>
      <c r="C1048" s="79">
        <v>44916</v>
      </c>
      <c r="D1048" s="80">
        <v>44924</v>
      </c>
      <c r="E1048" s="41">
        <f>D1048-C1048</f>
        <v>8</v>
      </c>
      <c r="F1048" s="43" t="s">
        <v>0</v>
      </c>
      <c r="G1048" s="81"/>
      <c r="H1048" s="83" t="s">
        <v>11</v>
      </c>
      <c r="I1048" s="81"/>
    </row>
    <row r="1049" spans="1:27" s="87" customFormat="1" ht="15.75" customHeight="1">
      <c r="A1049" s="57" t="s">
        <v>773</v>
      </c>
      <c r="B1049" s="206" t="s">
        <v>774</v>
      </c>
      <c r="C1049" s="39">
        <v>44874</v>
      </c>
      <c r="D1049" s="39">
        <v>44925</v>
      </c>
      <c r="E1049" s="41">
        <f>D1049-C1049</f>
        <v>51</v>
      </c>
      <c r="F1049" s="43" t="s">
        <v>0</v>
      </c>
      <c r="G1049" s="45" t="s">
        <v>312</v>
      </c>
      <c r="H1049" s="45" t="s">
        <v>11</v>
      </c>
      <c r="I1049" s="45"/>
      <c r="J1049" s="42"/>
      <c r="K1049" s="42"/>
    </row>
    <row r="1050" spans="1:27" s="87" customFormat="1" ht="15.75" customHeight="1">
      <c r="A1050" s="205" t="s">
        <v>641</v>
      </c>
      <c r="B1050" s="206" t="s">
        <v>1021</v>
      </c>
      <c r="C1050" s="39">
        <v>44881</v>
      </c>
      <c r="D1050" s="40">
        <v>44926</v>
      </c>
      <c r="E1050" s="41">
        <f>D1050-C1050</f>
        <v>45</v>
      </c>
      <c r="F1050" s="43" t="s">
        <v>0</v>
      </c>
      <c r="G1050" s="45" t="s">
        <v>1</v>
      </c>
      <c r="H1050" s="207" t="s">
        <v>2</v>
      </c>
      <c r="I1050" s="207"/>
      <c r="J1050" s="205"/>
      <c r="K1050" s="53" t="s">
        <v>1022</v>
      </c>
      <c r="L1050" s="205"/>
      <c r="M1050" s="205"/>
      <c r="N1050" s="205"/>
      <c r="O1050" s="205"/>
      <c r="P1050" s="205"/>
      <c r="Q1050" s="205"/>
      <c r="R1050" s="205"/>
      <c r="S1050" s="205"/>
      <c r="T1050" s="205"/>
      <c r="U1050" s="205"/>
      <c r="V1050" s="205"/>
      <c r="W1050" s="205"/>
      <c r="X1050" s="205"/>
      <c r="Y1050" s="205"/>
      <c r="Z1050" s="205"/>
      <c r="AA1050" s="205"/>
    </row>
    <row r="1051" spans="1:27" s="87" customFormat="1" ht="15.75" customHeight="1">
      <c r="A1051" s="87" t="s">
        <v>2401</v>
      </c>
      <c r="B1051" s="221" t="s">
        <v>2402</v>
      </c>
      <c r="C1051" s="79">
        <v>44780</v>
      </c>
      <c r="D1051" s="40">
        <v>44926</v>
      </c>
      <c r="E1051" s="41">
        <f>D1051-C1051</f>
        <v>146</v>
      </c>
      <c r="F1051" s="207" t="s">
        <v>2317</v>
      </c>
      <c r="G1051" s="81"/>
      <c r="H1051" s="83" t="s">
        <v>2</v>
      </c>
      <c r="I1051" s="81"/>
      <c r="K1051" s="220"/>
    </row>
    <row r="1052" spans="1:27" s="87" customFormat="1" ht="15.75" customHeight="1">
      <c r="A1052" s="205" t="s">
        <v>2335</v>
      </c>
      <c r="B1052" s="221" t="s">
        <v>2336</v>
      </c>
      <c r="C1052" s="79">
        <v>44863</v>
      </c>
      <c r="D1052" s="40">
        <v>44926</v>
      </c>
      <c r="E1052" s="41">
        <f>D1052-C1052</f>
        <v>63</v>
      </c>
      <c r="F1052" s="43" t="s">
        <v>0</v>
      </c>
      <c r="G1052" s="81" t="s">
        <v>1357</v>
      </c>
      <c r="H1052" s="83" t="s">
        <v>2</v>
      </c>
      <c r="I1052" s="81"/>
      <c r="K1052" s="220" t="s">
        <v>2337</v>
      </c>
    </row>
    <row r="1053" spans="1:27" s="87" customFormat="1" ht="15.75" customHeight="1">
      <c r="A1053" s="87" t="s">
        <v>2403</v>
      </c>
      <c r="B1053" s="221" t="s">
        <v>2404</v>
      </c>
      <c r="C1053" s="79">
        <v>44318</v>
      </c>
      <c r="D1053" s="40">
        <v>44926</v>
      </c>
      <c r="E1053" s="41">
        <f>D1053-C1053</f>
        <v>608</v>
      </c>
      <c r="F1053" s="117" t="s">
        <v>0</v>
      </c>
      <c r="G1053" s="81"/>
      <c r="H1053" s="83" t="s">
        <v>11</v>
      </c>
      <c r="I1053" s="81" t="s">
        <v>3</v>
      </c>
      <c r="K1053" s="220" t="s">
        <v>2405</v>
      </c>
    </row>
    <row r="1054" spans="1:27" s="87" customFormat="1" ht="15.75" customHeight="1">
      <c r="A1054" s="87" t="s">
        <v>1854</v>
      </c>
      <c r="B1054" s="221" t="s">
        <v>1855</v>
      </c>
      <c r="C1054" s="39">
        <v>44871</v>
      </c>
      <c r="D1054" s="40">
        <v>44930</v>
      </c>
      <c r="E1054" s="41">
        <f>D1054-C1054</f>
        <v>59</v>
      </c>
      <c r="F1054" s="43" t="s">
        <v>0</v>
      </c>
      <c r="G1054" s="81" t="s">
        <v>1</v>
      </c>
      <c r="H1054" s="81" t="s">
        <v>2</v>
      </c>
      <c r="I1054" s="81"/>
      <c r="K1054" s="220" t="s">
        <v>1856</v>
      </c>
    </row>
    <row r="1055" spans="1:27" s="87" customFormat="1" ht="15.75" customHeight="1">
      <c r="A1055" s="37" t="s">
        <v>2406</v>
      </c>
      <c r="B1055" s="221" t="s">
        <v>2407</v>
      </c>
      <c r="C1055" s="79">
        <v>44927</v>
      </c>
      <c r="D1055" s="80">
        <v>44940</v>
      </c>
      <c r="E1055" s="41">
        <f>D1055-C1055</f>
        <v>13</v>
      </c>
      <c r="F1055" s="83" t="s">
        <v>2351</v>
      </c>
      <c r="G1055" s="81"/>
      <c r="H1055" s="83" t="s">
        <v>290</v>
      </c>
      <c r="I1055" s="81"/>
    </row>
    <row r="1056" spans="1:27" s="87" customFormat="1" ht="15.75" customHeight="1">
      <c r="A1056" s="87" t="s">
        <v>2408</v>
      </c>
      <c r="B1056" s="221" t="s">
        <v>298</v>
      </c>
      <c r="C1056" s="79">
        <v>44583</v>
      </c>
      <c r="D1056" s="80">
        <v>44935</v>
      </c>
      <c r="E1056" s="41">
        <f>D1056-C1056</f>
        <v>352</v>
      </c>
      <c r="F1056" s="48" t="s">
        <v>219</v>
      </c>
      <c r="G1056" s="81"/>
      <c r="H1056" s="83" t="s">
        <v>11</v>
      </c>
      <c r="I1056" s="81" t="s">
        <v>3</v>
      </c>
    </row>
    <row r="1057" spans="1:27" s="87" customFormat="1" ht="15.75" customHeight="1">
      <c r="A1057" s="205" t="s">
        <v>2056</v>
      </c>
      <c r="B1057" s="221" t="s">
        <v>2197</v>
      </c>
      <c r="C1057" s="79">
        <v>44772</v>
      </c>
      <c r="D1057" s="80">
        <v>44941</v>
      </c>
      <c r="E1057" s="41">
        <f>D1057-C1057</f>
        <v>169</v>
      </c>
      <c r="F1057" s="43" t="s">
        <v>0</v>
      </c>
      <c r="G1057" s="81" t="s">
        <v>225</v>
      </c>
      <c r="H1057" s="83" t="s">
        <v>11</v>
      </c>
      <c r="I1057" s="81" t="s">
        <v>1987</v>
      </c>
      <c r="K1057" s="220" t="s">
        <v>2198</v>
      </c>
      <c r="L1057" s="205" t="s">
        <v>2199</v>
      </c>
    </row>
    <row r="1058" spans="1:27" s="205" customFormat="1" ht="15.75" customHeight="1">
      <c r="A1058" s="205" t="s">
        <v>1980</v>
      </c>
      <c r="B1058" s="221" t="s">
        <v>1995</v>
      </c>
      <c r="C1058" s="79">
        <v>44900</v>
      </c>
      <c r="D1058" s="80">
        <v>44946</v>
      </c>
      <c r="E1058" s="41">
        <f>D1058-C1058</f>
        <v>46</v>
      </c>
      <c r="F1058" s="208" t="s">
        <v>177</v>
      </c>
      <c r="G1058" s="81" t="s">
        <v>1</v>
      </c>
      <c r="H1058" s="83" t="s">
        <v>2</v>
      </c>
      <c r="I1058" s="207"/>
      <c r="K1058" s="220" t="s">
        <v>1996</v>
      </c>
    </row>
    <row r="1059" spans="1:27" s="87" customFormat="1" ht="15.75" customHeight="1">
      <c r="A1059" s="87" t="s">
        <v>2409</v>
      </c>
      <c r="B1059" s="221" t="s">
        <v>2410</v>
      </c>
      <c r="C1059" s="79">
        <v>44515</v>
      </c>
      <c r="D1059" s="80">
        <v>44948</v>
      </c>
      <c r="E1059" s="41">
        <f>D1059-C1059</f>
        <v>433</v>
      </c>
      <c r="F1059" s="43" t="s">
        <v>0</v>
      </c>
      <c r="G1059" s="81"/>
      <c r="H1059" s="83" t="s">
        <v>11</v>
      </c>
      <c r="I1059" s="81" t="s">
        <v>3</v>
      </c>
    </row>
    <row r="1060" spans="1:27" s="87" customFormat="1" ht="15.75" customHeight="1">
      <c r="A1060" s="205" t="s">
        <v>174</v>
      </c>
      <c r="B1060" s="221" t="s">
        <v>2411</v>
      </c>
      <c r="C1060" s="79">
        <v>43681</v>
      </c>
      <c r="D1060" s="79">
        <v>44953</v>
      </c>
      <c r="E1060" s="41">
        <f>D1060-C1060</f>
        <v>1272</v>
      </c>
      <c r="F1060" s="83" t="s">
        <v>0</v>
      </c>
      <c r="G1060" s="81"/>
      <c r="H1060" s="81" t="s">
        <v>2</v>
      </c>
      <c r="I1060" s="81" t="s">
        <v>3</v>
      </c>
      <c r="K1060" s="53" t="s">
        <v>2412</v>
      </c>
    </row>
    <row r="1061" spans="1:27" s="87" customFormat="1" ht="15.75" customHeight="1">
      <c r="A1061" s="87" t="s">
        <v>2413</v>
      </c>
      <c r="B1061" s="221" t="s">
        <v>2414</v>
      </c>
      <c r="C1061" s="79">
        <v>44917</v>
      </c>
      <c r="D1061" s="80">
        <v>44961</v>
      </c>
      <c r="E1061" s="41">
        <f>D1061-C1061</f>
        <v>44</v>
      </c>
      <c r="F1061" s="43" t="s">
        <v>0</v>
      </c>
      <c r="G1061" s="81"/>
      <c r="H1061" s="83" t="s">
        <v>2</v>
      </c>
      <c r="I1061" s="81"/>
    </row>
    <row r="1062" spans="1:27" s="87" customFormat="1" ht="15.75" customHeight="1">
      <c r="A1062" s="205" t="s">
        <v>2415</v>
      </c>
      <c r="B1062" s="221" t="s">
        <v>2416</v>
      </c>
      <c r="C1062" s="79">
        <v>44513</v>
      </c>
      <c r="D1062" s="80">
        <v>44968</v>
      </c>
      <c r="E1062" s="41">
        <f>D1062-C1062</f>
        <v>455</v>
      </c>
      <c r="F1062" s="43" t="s">
        <v>0</v>
      </c>
      <c r="G1062" s="81" t="s">
        <v>33</v>
      </c>
      <c r="H1062" s="83" t="s">
        <v>11</v>
      </c>
      <c r="I1062" s="81" t="s">
        <v>2417</v>
      </c>
      <c r="K1062" s="220" t="s">
        <v>2418</v>
      </c>
    </row>
    <row r="1063" spans="1:27" s="87" customFormat="1" ht="15.75" customHeight="1">
      <c r="A1063" s="87" t="s">
        <v>2247</v>
      </c>
      <c r="B1063" s="221" t="s">
        <v>2248</v>
      </c>
      <c r="C1063" s="79">
        <v>44926</v>
      </c>
      <c r="D1063" s="80">
        <v>44968</v>
      </c>
      <c r="E1063" s="41">
        <f>D1063-C1063</f>
        <v>42</v>
      </c>
      <c r="F1063" s="83" t="s">
        <v>196</v>
      </c>
      <c r="G1063" s="81"/>
      <c r="H1063" s="83" t="s">
        <v>2</v>
      </c>
      <c r="I1063" s="81" t="s">
        <v>21</v>
      </c>
    </row>
    <row r="1064" spans="1:27" s="87" customFormat="1" ht="15.75" customHeight="1">
      <c r="A1064" s="205" t="s">
        <v>1570</v>
      </c>
      <c r="B1064" s="206" t="s">
        <v>1864</v>
      </c>
      <c r="C1064" s="39">
        <v>44744</v>
      </c>
      <c r="D1064" s="80">
        <v>44968</v>
      </c>
      <c r="E1064" s="41">
        <f>D1064-C1064</f>
        <v>224</v>
      </c>
      <c r="F1064" s="208" t="s">
        <v>1642</v>
      </c>
      <c r="G1064" s="45" t="s">
        <v>33</v>
      </c>
      <c r="H1064" s="47" t="s">
        <v>11</v>
      </c>
      <c r="I1064" s="81"/>
      <c r="K1064" s="53" t="s">
        <v>1865</v>
      </c>
      <c r="L1064" s="42" t="s">
        <v>1866</v>
      </c>
    </row>
    <row r="1065" spans="1:27" s="87" customFormat="1" ht="15.75" customHeight="1">
      <c r="A1065" s="37" t="s">
        <v>2419</v>
      </c>
      <c r="B1065" s="221" t="s">
        <v>2420</v>
      </c>
      <c r="C1065" s="79">
        <v>44913</v>
      </c>
      <c r="D1065" s="80">
        <v>44976</v>
      </c>
      <c r="E1065" s="41">
        <f>D1065-C1065</f>
        <v>63</v>
      </c>
      <c r="F1065" s="43" t="s">
        <v>0</v>
      </c>
      <c r="G1065" s="81"/>
      <c r="H1065" s="83" t="s">
        <v>2</v>
      </c>
      <c r="I1065" s="81"/>
    </row>
    <row r="1066" spans="1:27" s="87" customFormat="1" ht="15.75" customHeight="1">
      <c r="A1066" s="87" t="s">
        <v>2421</v>
      </c>
      <c r="B1066" s="221" t="s">
        <v>2422</v>
      </c>
      <c r="C1066" s="39">
        <v>44564</v>
      </c>
      <c r="D1066" s="80">
        <v>44979</v>
      </c>
      <c r="E1066" s="41">
        <f>D1066-C1066</f>
        <v>415</v>
      </c>
      <c r="F1066" s="43" t="s">
        <v>0</v>
      </c>
      <c r="G1066" s="81"/>
      <c r="H1066" s="83" t="s">
        <v>2</v>
      </c>
      <c r="I1066" s="81"/>
    </row>
    <row r="1067" spans="1:27" s="87" customFormat="1" ht="15.75" customHeight="1">
      <c r="A1067" s="87" t="s">
        <v>2423</v>
      </c>
      <c r="B1067" s="221" t="s">
        <v>2424</v>
      </c>
      <c r="C1067" s="79">
        <v>44734</v>
      </c>
      <c r="D1067" s="80">
        <v>44979</v>
      </c>
      <c r="E1067" s="41">
        <f>D1067-C1067</f>
        <v>245</v>
      </c>
      <c r="F1067" s="43" t="s">
        <v>0</v>
      </c>
      <c r="G1067" s="81"/>
      <c r="H1067" s="83" t="s">
        <v>2</v>
      </c>
      <c r="I1067" s="81"/>
    </row>
    <row r="1068" spans="1:27" s="87" customFormat="1" ht="15.75" customHeight="1">
      <c r="A1068" s="37" t="s">
        <v>2393</v>
      </c>
      <c r="B1068" s="221" t="s">
        <v>2394</v>
      </c>
      <c r="C1068" s="79">
        <v>44929</v>
      </c>
      <c r="D1068" s="80">
        <v>44981</v>
      </c>
      <c r="E1068" s="41">
        <f>D1068-C1068</f>
        <v>52</v>
      </c>
      <c r="F1068" s="43" t="s">
        <v>0</v>
      </c>
      <c r="G1068" s="81"/>
      <c r="H1068" s="83" t="s">
        <v>2</v>
      </c>
      <c r="I1068" s="81"/>
    </row>
    <row r="1069" spans="1:27" s="87" customFormat="1" ht="15.75" customHeight="1">
      <c r="A1069" s="205" t="s">
        <v>2425</v>
      </c>
      <c r="B1069" s="221" t="s">
        <v>2426</v>
      </c>
      <c r="C1069" s="79">
        <v>44762</v>
      </c>
      <c r="D1069" s="80">
        <v>44982</v>
      </c>
      <c r="E1069" s="41">
        <f>D1069-C1069</f>
        <v>220</v>
      </c>
      <c r="F1069" s="43" t="s">
        <v>0</v>
      </c>
      <c r="G1069" s="81"/>
      <c r="H1069" s="41" t="s">
        <v>11</v>
      </c>
      <c r="I1069" s="81"/>
      <c r="L1069" s="37" t="s">
        <v>2427</v>
      </c>
    </row>
    <row r="1070" spans="1:27" s="87" customFormat="1" ht="15.75" customHeight="1">
      <c r="A1070" s="205" t="s">
        <v>1420</v>
      </c>
      <c r="B1070" s="206" t="s">
        <v>1421</v>
      </c>
      <c r="C1070" s="79">
        <v>44929</v>
      </c>
      <c r="D1070" s="80">
        <v>44982</v>
      </c>
      <c r="E1070" s="41">
        <f>D1070-C1070</f>
        <v>53</v>
      </c>
      <c r="F1070" s="43" t="s">
        <v>0</v>
      </c>
      <c r="G1070" s="45" t="s">
        <v>312</v>
      </c>
      <c r="H1070" s="83" t="s">
        <v>2</v>
      </c>
      <c r="I1070" s="207"/>
      <c r="J1070" s="205"/>
      <c r="K1070" s="53" t="s">
        <v>1422</v>
      </c>
      <c r="L1070" s="205"/>
      <c r="M1070" s="205"/>
    </row>
    <row r="1071" spans="1:27" s="87" customFormat="1" ht="15.75" customHeight="1">
      <c r="A1071" s="87" t="s">
        <v>311</v>
      </c>
      <c r="B1071" s="221" t="s">
        <v>311</v>
      </c>
      <c r="C1071" s="79">
        <v>44497</v>
      </c>
      <c r="D1071" s="80">
        <v>44983</v>
      </c>
      <c r="E1071" s="41">
        <f>D1071-C1071</f>
        <v>486</v>
      </c>
      <c r="F1071" s="83" t="s">
        <v>196</v>
      </c>
      <c r="G1071" s="45" t="s">
        <v>312</v>
      </c>
      <c r="H1071" s="83" t="s">
        <v>2</v>
      </c>
      <c r="I1071" s="81" t="s">
        <v>21</v>
      </c>
      <c r="K1071" s="220" t="s">
        <v>313</v>
      </c>
    </row>
    <row r="1072" spans="1:27" s="87" customFormat="1" ht="15.75" customHeight="1">
      <c r="A1072" s="52" t="s">
        <v>681</v>
      </c>
      <c r="B1072" s="209" t="s">
        <v>1206</v>
      </c>
      <c r="C1072" s="79">
        <v>44566</v>
      </c>
      <c r="D1072" s="80">
        <v>44989</v>
      </c>
      <c r="E1072" s="41">
        <f>D1072-C1072</f>
        <v>423</v>
      </c>
      <c r="F1072" s="43" t="s">
        <v>2428</v>
      </c>
      <c r="G1072" s="45" t="s">
        <v>720</v>
      </c>
      <c r="H1072" s="45" t="s">
        <v>2</v>
      </c>
      <c r="I1072" s="207"/>
      <c r="J1072" s="205"/>
      <c r="K1072" s="53" t="s">
        <v>1207</v>
      </c>
      <c r="L1072" s="205"/>
      <c r="M1072" s="205"/>
      <c r="N1072" s="205"/>
      <c r="O1072" s="205"/>
      <c r="P1072" s="205"/>
      <c r="Q1072" s="205"/>
      <c r="R1072" s="205"/>
      <c r="S1072" s="205"/>
      <c r="T1072" s="205"/>
      <c r="U1072" s="205"/>
      <c r="V1072" s="205"/>
      <c r="W1072" s="205"/>
      <c r="X1072" s="205"/>
      <c r="Y1072" s="205"/>
      <c r="Z1072" s="205"/>
      <c r="AA1072" s="205"/>
    </row>
    <row r="1073" spans="1:13" s="205" customFormat="1" ht="15.75" customHeight="1">
      <c r="A1073" s="205" t="s">
        <v>2162</v>
      </c>
      <c r="B1073" s="221" t="s">
        <v>2163</v>
      </c>
      <c r="C1073" s="79">
        <v>44796</v>
      </c>
      <c r="D1073" s="80">
        <v>44989</v>
      </c>
      <c r="E1073" s="41">
        <f>D1073-C1073</f>
        <v>193</v>
      </c>
      <c r="F1073" s="43" t="s">
        <v>0</v>
      </c>
      <c r="G1073" s="207"/>
      <c r="H1073" s="83" t="s">
        <v>2</v>
      </c>
      <c r="I1073" s="207"/>
      <c r="L1073" s="205" t="s">
        <v>2429</v>
      </c>
    </row>
    <row r="1074" spans="1:13" s="87" customFormat="1" ht="15.75" customHeight="1">
      <c r="A1074" s="205" t="s">
        <v>2029</v>
      </c>
      <c r="B1074" s="221" t="s">
        <v>2030</v>
      </c>
      <c r="C1074" s="39">
        <v>44921</v>
      </c>
      <c r="D1074" s="80">
        <v>44990</v>
      </c>
      <c r="E1074" s="41">
        <f>D1074-C1074</f>
        <v>69</v>
      </c>
      <c r="F1074" s="43" t="s">
        <v>0</v>
      </c>
      <c r="G1074" s="81" t="s">
        <v>70</v>
      </c>
      <c r="H1074" s="83" t="s">
        <v>2</v>
      </c>
      <c r="I1074" s="81" t="s">
        <v>21</v>
      </c>
      <c r="K1074" s="220" t="s">
        <v>2031</v>
      </c>
      <c r="L1074" s="205" t="s">
        <v>2029</v>
      </c>
    </row>
    <row r="1075" spans="1:13" s="205" customFormat="1" ht="15.75" customHeight="1">
      <c r="A1075" s="42" t="s">
        <v>1721</v>
      </c>
      <c r="B1075" s="206" t="s">
        <v>1722</v>
      </c>
      <c r="C1075" s="39">
        <v>44874</v>
      </c>
      <c r="D1075" s="80">
        <v>44990</v>
      </c>
      <c r="E1075" s="41">
        <f>D1075-C1075</f>
        <v>116</v>
      </c>
      <c r="F1075" s="43" t="s">
        <v>0</v>
      </c>
      <c r="G1075" s="81" t="s">
        <v>720</v>
      </c>
      <c r="H1075" s="207" t="s">
        <v>2</v>
      </c>
      <c r="I1075" s="207"/>
      <c r="K1075" s="220" t="s">
        <v>1723</v>
      </c>
    </row>
    <row r="1076" spans="1:13" s="87" customFormat="1" ht="15.75" customHeight="1">
      <c r="A1076" s="87" t="s">
        <v>2430</v>
      </c>
      <c r="B1076" s="221" t="s">
        <v>2431</v>
      </c>
      <c r="C1076" s="79">
        <v>44713</v>
      </c>
      <c r="D1076" s="80">
        <v>44990</v>
      </c>
      <c r="E1076" s="41">
        <f>D1076-C1076</f>
        <v>277</v>
      </c>
      <c r="F1076" s="208" t="s">
        <v>219</v>
      </c>
      <c r="G1076" s="81"/>
      <c r="H1076" s="83" t="s">
        <v>11</v>
      </c>
      <c r="I1076" s="81"/>
      <c r="L1076" s="37" t="s">
        <v>2432</v>
      </c>
    </row>
    <row r="1077" spans="1:13" s="87" customFormat="1" ht="15.75" customHeight="1">
      <c r="A1077" s="42" t="s">
        <v>2433</v>
      </c>
      <c r="B1077" s="206" t="s">
        <v>2434</v>
      </c>
      <c r="C1077" s="79">
        <v>44140</v>
      </c>
      <c r="D1077" s="80">
        <v>44997</v>
      </c>
      <c r="E1077" s="41">
        <f>D1077-C1077</f>
        <v>857</v>
      </c>
      <c r="F1077" s="43" t="s">
        <v>0</v>
      </c>
      <c r="G1077" s="81" t="s">
        <v>2435</v>
      </c>
      <c r="H1077" s="83" t="s">
        <v>11</v>
      </c>
      <c r="I1077" s="81"/>
      <c r="K1077" s="220" t="s">
        <v>2436</v>
      </c>
    </row>
    <row r="1078" spans="1:13" s="42" customFormat="1" ht="15.75" customHeight="1">
      <c r="A1078" s="205" t="s">
        <v>363</v>
      </c>
      <c r="B1078" s="206" t="s">
        <v>364</v>
      </c>
      <c r="C1078" s="39">
        <v>44749</v>
      </c>
      <c r="D1078" s="40">
        <v>45002</v>
      </c>
      <c r="E1078" s="41">
        <f>D1078-C1078</f>
        <v>253</v>
      </c>
      <c r="F1078" s="43" t="s">
        <v>0</v>
      </c>
      <c r="G1078" s="45" t="s">
        <v>2437</v>
      </c>
      <c r="H1078" s="41" t="s">
        <v>11</v>
      </c>
      <c r="I1078" s="45" t="s">
        <v>365</v>
      </c>
      <c r="K1078" s="53" t="s">
        <v>366</v>
      </c>
    </row>
    <row r="1079" spans="1:13" s="87" customFormat="1" ht="15.75" customHeight="1">
      <c r="A1079" s="205" t="s">
        <v>2438</v>
      </c>
      <c r="B1079" s="221" t="s">
        <v>2439</v>
      </c>
      <c r="C1079" s="79">
        <v>44529</v>
      </c>
      <c r="D1079" s="80">
        <v>45003</v>
      </c>
      <c r="E1079" s="41">
        <f>D1079-C1079</f>
        <v>474</v>
      </c>
      <c r="F1079" s="208" t="s">
        <v>219</v>
      </c>
      <c r="G1079" s="81" t="s">
        <v>2440</v>
      </c>
      <c r="H1079" s="83" t="s">
        <v>2</v>
      </c>
      <c r="I1079" s="81" t="s">
        <v>2441</v>
      </c>
    </row>
    <row r="1080" spans="1:13" s="205" customFormat="1" ht="15.75" customHeight="1">
      <c r="A1080" s="42" t="s">
        <v>1044</v>
      </c>
      <c r="B1080" s="206" t="s">
        <v>1045</v>
      </c>
      <c r="C1080" s="39">
        <v>44578</v>
      </c>
      <c r="D1080" s="80">
        <v>45003</v>
      </c>
      <c r="E1080" s="41">
        <f>D1080-C1080</f>
        <v>425</v>
      </c>
      <c r="F1080" s="43" t="s">
        <v>0</v>
      </c>
      <c r="G1080" s="207" t="s">
        <v>512</v>
      </c>
      <c r="H1080" s="45" t="s">
        <v>2</v>
      </c>
      <c r="I1080" s="207"/>
      <c r="K1080" s="53" t="s">
        <v>1046</v>
      </c>
      <c r="L1080" s="42" t="s">
        <v>1696</v>
      </c>
    </row>
    <row r="1081" spans="1:13" s="87" customFormat="1" ht="15.75" customHeight="1">
      <c r="A1081" s="205" t="s">
        <v>2442</v>
      </c>
      <c r="B1081" s="221" t="s">
        <v>2443</v>
      </c>
      <c r="C1081" s="79">
        <v>44343</v>
      </c>
      <c r="D1081" s="80">
        <v>45003</v>
      </c>
      <c r="E1081" s="41">
        <f>D1081-C1081</f>
        <v>660</v>
      </c>
      <c r="F1081" s="43" t="s">
        <v>0</v>
      </c>
      <c r="G1081" s="81"/>
      <c r="H1081" s="83" t="s">
        <v>11</v>
      </c>
      <c r="I1081" s="81" t="s">
        <v>3</v>
      </c>
      <c r="K1081" s="220" t="s">
        <v>2444</v>
      </c>
    </row>
    <row r="1082" spans="1:13" s="87" customFormat="1" ht="15.75" customHeight="1">
      <c r="A1082" s="205" t="s">
        <v>2445</v>
      </c>
      <c r="B1082" s="221" t="s">
        <v>2446</v>
      </c>
      <c r="C1082" s="79">
        <v>44772</v>
      </c>
      <c r="D1082" s="80">
        <v>45004</v>
      </c>
      <c r="E1082" s="41">
        <f>D1082-C1082</f>
        <v>232</v>
      </c>
      <c r="F1082" s="208" t="s">
        <v>198</v>
      </c>
      <c r="G1082" s="81"/>
      <c r="H1082" s="45" t="s">
        <v>2</v>
      </c>
      <c r="I1082" s="81"/>
      <c r="L1082" s="37" t="s">
        <v>2447</v>
      </c>
    </row>
    <row r="1083" spans="1:13" s="87" customFormat="1" ht="15.75" customHeight="1">
      <c r="A1083" s="87" t="s">
        <v>2448</v>
      </c>
      <c r="B1083" s="221" t="s">
        <v>2449</v>
      </c>
      <c r="C1083" s="79">
        <v>44469</v>
      </c>
      <c r="D1083" s="80">
        <v>45004</v>
      </c>
      <c r="E1083" s="41">
        <f>D1083-C1083</f>
        <v>535</v>
      </c>
      <c r="F1083" s="43" t="s">
        <v>0</v>
      </c>
      <c r="G1083" s="81"/>
      <c r="H1083" s="83" t="s">
        <v>11</v>
      </c>
      <c r="I1083" s="81"/>
    </row>
    <row r="1084" spans="1:13" s="87" customFormat="1" ht="15.75" customHeight="1">
      <c r="A1084" s="87" t="s">
        <v>2450</v>
      </c>
      <c r="B1084" s="221" t="s">
        <v>2451</v>
      </c>
      <c r="C1084" s="79">
        <v>44923</v>
      </c>
      <c r="D1084" s="80">
        <v>45004</v>
      </c>
      <c r="E1084" s="41">
        <f>D1084-C1084</f>
        <v>81</v>
      </c>
      <c r="F1084" s="43" t="s">
        <v>0</v>
      </c>
      <c r="G1084" s="81" t="s">
        <v>2452</v>
      </c>
      <c r="H1084" s="83" t="s">
        <v>290</v>
      </c>
      <c r="I1084" s="81"/>
    </row>
    <row r="1085" spans="1:13" s="87" customFormat="1" ht="15.75" customHeight="1">
      <c r="A1085" s="205" t="s">
        <v>295</v>
      </c>
      <c r="B1085" s="221" t="s">
        <v>2453</v>
      </c>
      <c r="C1085" s="79">
        <v>44633</v>
      </c>
      <c r="D1085" s="80">
        <v>45004</v>
      </c>
      <c r="E1085" s="41">
        <f>D1085-C1085</f>
        <v>371</v>
      </c>
      <c r="F1085" s="83" t="s">
        <v>217</v>
      </c>
      <c r="G1085" s="81"/>
      <c r="H1085" s="83" t="s">
        <v>11</v>
      </c>
      <c r="I1085" s="81"/>
    </row>
    <row r="1086" spans="1:13" s="87" customFormat="1" ht="15.75" customHeight="1">
      <c r="A1086" s="205" t="s">
        <v>988</v>
      </c>
      <c r="B1086" s="206" t="s">
        <v>1085</v>
      </c>
      <c r="C1086" s="79">
        <v>44570</v>
      </c>
      <c r="D1086" s="80">
        <v>45005</v>
      </c>
      <c r="E1086" s="41">
        <f>D1086-C1086</f>
        <v>435</v>
      </c>
      <c r="F1086" s="43" t="s">
        <v>0</v>
      </c>
      <c r="G1086" s="45" t="s">
        <v>2454</v>
      </c>
      <c r="H1086" s="45" t="s">
        <v>11</v>
      </c>
      <c r="I1086" s="207"/>
      <c r="J1086" s="205"/>
      <c r="K1086" s="220" t="s">
        <v>1086</v>
      </c>
      <c r="L1086" s="205"/>
      <c r="M1086" s="205"/>
    </row>
    <row r="1087" spans="1:13" s="42" customFormat="1" ht="15.75" customHeight="1">
      <c r="A1087" s="42" t="s">
        <v>1499</v>
      </c>
      <c r="B1087" s="206" t="s">
        <v>1500</v>
      </c>
      <c r="C1087" s="39">
        <v>44255</v>
      </c>
      <c r="D1087" s="40">
        <v>45008</v>
      </c>
      <c r="E1087" s="41">
        <f>D1087-C1087</f>
        <v>753</v>
      </c>
      <c r="F1087" s="43" t="s">
        <v>0</v>
      </c>
      <c r="G1087" s="45" t="s">
        <v>2455</v>
      </c>
      <c r="H1087" s="43" t="s">
        <v>11</v>
      </c>
      <c r="I1087" s="45" t="s">
        <v>2456</v>
      </c>
      <c r="K1087" s="220" t="s">
        <v>2457</v>
      </c>
    </row>
    <row r="1088" spans="1:13" s="205" customFormat="1" ht="15.75" customHeight="1">
      <c r="A1088" s="205" t="s">
        <v>2161</v>
      </c>
      <c r="B1088" s="206" t="s">
        <v>2230</v>
      </c>
      <c r="C1088" s="39">
        <v>44921</v>
      </c>
      <c r="D1088" s="40">
        <v>45010</v>
      </c>
      <c r="E1088" s="41">
        <f>D1088-C1088</f>
        <v>89</v>
      </c>
      <c r="F1088" s="43" t="s">
        <v>0</v>
      </c>
      <c r="G1088" s="207"/>
      <c r="H1088" s="43" t="s">
        <v>2</v>
      </c>
      <c r="I1088" s="45" t="s">
        <v>2458</v>
      </c>
    </row>
    <row r="1089" spans="1:13" s="87" customFormat="1" ht="15.75" customHeight="1">
      <c r="A1089" s="87" t="s">
        <v>2459</v>
      </c>
      <c r="B1089" s="221" t="s">
        <v>2460</v>
      </c>
      <c r="C1089" s="79">
        <v>44611</v>
      </c>
      <c r="D1089" s="40">
        <v>45010</v>
      </c>
      <c r="E1089" s="41">
        <f>D1089-C1089</f>
        <v>399</v>
      </c>
      <c r="F1089" s="83" t="s">
        <v>2461</v>
      </c>
      <c r="G1089" s="81" t="s">
        <v>1</v>
      </c>
      <c r="H1089" s="45" t="s">
        <v>11</v>
      </c>
      <c r="I1089" s="81"/>
    </row>
    <row r="1090" spans="1:13" s="87" customFormat="1" ht="15.75" customHeight="1">
      <c r="A1090" s="37" t="s">
        <v>2462</v>
      </c>
      <c r="B1090" s="221" t="s">
        <v>2463</v>
      </c>
      <c r="C1090" s="79">
        <v>44813</v>
      </c>
      <c r="D1090" s="80">
        <v>45015</v>
      </c>
      <c r="E1090" s="41">
        <f>D1090-C1090</f>
        <v>202</v>
      </c>
      <c r="F1090" s="83" t="s">
        <v>196</v>
      </c>
      <c r="G1090" s="81" t="s">
        <v>316</v>
      </c>
      <c r="H1090" s="83" t="s">
        <v>2</v>
      </c>
      <c r="I1090" s="81"/>
    </row>
    <row r="1091" spans="1:13" s="87" customFormat="1" ht="15.75" customHeight="1">
      <c r="A1091" s="87" t="s">
        <v>2379</v>
      </c>
      <c r="B1091" s="221" t="s">
        <v>2464</v>
      </c>
      <c r="C1091" s="79">
        <v>45005</v>
      </c>
      <c r="D1091" s="80">
        <v>45017</v>
      </c>
      <c r="E1091" s="41">
        <f>D1091-C1091</f>
        <v>12</v>
      </c>
      <c r="F1091" s="43" t="s">
        <v>0</v>
      </c>
      <c r="G1091" s="81"/>
      <c r="H1091" s="83" t="s">
        <v>2</v>
      </c>
      <c r="I1091" s="81"/>
    </row>
    <row r="1092" spans="1:13" s="87" customFormat="1" ht="15.75" customHeight="1">
      <c r="A1092" s="37" t="s">
        <v>2302</v>
      </c>
      <c r="B1092" s="221" t="s">
        <v>2465</v>
      </c>
      <c r="C1092" s="79">
        <v>44788</v>
      </c>
      <c r="D1092" s="80">
        <v>45017</v>
      </c>
      <c r="E1092" s="41">
        <f>D1092-C1092</f>
        <v>229</v>
      </c>
      <c r="F1092" s="43" t="s">
        <v>0</v>
      </c>
      <c r="G1092" s="81" t="s">
        <v>33</v>
      </c>
      <c r="H1092" s="83" t="s">
        <v>11</v>
      </c>
      <c r="I1092" s="81"/>
    </row>
    <row r="1093" spans="1:13" s="87" customFormat="1" ht="15.75" customHeight="1">
      <c r="A1093" s="205" t="s">
        <v>2466</v>
      </c>
      <c r="B1093" s="206" t="s">
        <v>2467</v>
      </c>
      <c r="C1093" s="79">
        <v>44128</v>
      </c>
      <c r="D1093" s="80">
        <v>45017</v>
      </c>
      <c r="E1093" s="41">
        <f>D1093-C1093</f>
        <v>889</v>
      </c>
      <c r="F1093" s="43" t="s">
        <v>1498</v>
      </c>
      <c r="G1093" s="81" t="s">
        <v>43</v>
      </c>
      <c r="H1093" s="83" t="s">
        <v>11</v>
      </c>
      <c r="I1093" s="81"/>
      <c r="K1093" s="90" t="s">
        <v>2468</v>
      </c>
      <c r="L1093" s="42" t="s">
        <v>2469</v>
      </c>
    </row>
    <row r="1094" spans="1:13" s="87" customFormat="1" ht="15.75" customHeight="1">
      <c r="A1094" s="87" t="s">
        <v>2470</v>
      </c>
      <c r="B1094" s="221" t="s">
        <v>2471</v>
      </c>
      <c r="C1094" s="79">
        <v>44780</v>
      </c>
      <c r="D1094" s="80">
        <v>45022</v>
      </c>
      <c r="E1094" s="41">
        <f>D1094-C1094</f>
        <v>242</v>
      </c>
      <c r="F1094" s="43" t="s">
        <v>0</v>
      </c>
      <c r="G1094" s="81"/>
      <c r="H1094" s="83" t="s">
        <v>2</v>
      </c>
      <c r="I1094" s="81"/>
    </row>
    <row r="1095" spans="1:13" s="87" customFormat="1" ht="15.75" customHeight="1">
      <c r="A1095" s="87" t="s">
        <v>2472</v>
      </c>
      <c r="B1095" s="221" t="s">
        <v>2473</v>
      </c>
      <c r="C1095" s="79">
        <v>44597</v>
      </c>
      <c r="D1095" s="80">
        <v>45023</v>
      </c>
      <c r="E1095" s="41">
        <f>D1095-C1095</f>
        <v>426</v>
      </c>
      <c r="F1095" s="208" t="s">
        <v>174</v>
      </c>
      <c r="G1095" s="81"/>
      <c r="H1095" s="83" t="s">
        <v>2</v>
      </c>
      <c r="I1095" s="81"/>
    </row>
    <row r="1096" spans="1:13" s="87" customFormat="1" ht="15.75" customHeight="1">
      <c r="A1096" s="205" t="s">
        <v>2474</v>
      </c>
      <c r="B1096" s="221" t="s">
        <v>2475</v>
      </c>
      <c r="C1096" s="79">
        <v>44680</v>
      </c>
      <c r="D1096" s="80">
        <v>45024</v>
      </c>
      <c r="E1096" s="41">
        <f>D1096-C1096</f>
        <v>344</v>
      </c>
      <c r="F1096" s="43" t="s">
        <v>0</v>
      </c>
      <c r="G1096" s="81"/>
      <c r="H1096" s="83" t="s">
        <v>11</v>
      </c>
      <c r="I1096" s="81"/>
    </row>
    <row r="1097" spans="1:13" s="87" customFormat="1" ht="15.75" customHeight="1">
      <c r="A1097" s="37" t="s">
        <v>2476</v>
      </c>
      <c r="B1097" s="221" t="s">
        <v>2477</v>
      </c>
      <c r="C1097" s="79">
        <v>44990</v>
      </c>
      <c r="D1097" s="80">
        <v>45031</v>
      </c>
      <c r="E1097" s="41">
        <f>D1097-C1097</f>
        <v>41</v>
      </c>
      <c r="F1097" s="43" t="s">
        <v>0</v>
      </c>
      <c r="G1097" s="81" t="s">
        <v>2478</v>
      </c>
      <c r="H1097" s="83" t="s">
        <v>290</v>
      </c>
      <c r="I1097" s="81"/>
    </row>
    <row r="1098" spans="1:13" s="87" customFormat="1" ht="15.75" customHeight="1">
      <c r="A1098" s="42" t="s">
        <v>2479</v>
      </c>
      <c r="B1098" s="206" t="s">
        <v>2480</v>
      </c>
      <c r="C1098" s="79">
        <v>43842</v>
      </c>
      <c r="D1098" s="80">
        <v>45032</v>
      </c>
      <c r="E1098" s="41">
        <f>D1098-C1098</f>
        <v>1190</v>
      </c>
      <c r="F1098" s="83" t="s">
        <v>0</v>
      </c>
      <c r="G1098" s="81" t="s">
        <v>2481</v>
      </c>
      <c r="H1098" s="83" t="s">
        <v>11</v>
      </c>
      <c r="I1098" s="81" t="s">
        <v>1993</v>
      </c>
      <c r="K1098" s="53" t="s">
        <v>2482</v>
      </c>
      <c r="L1098" s="42" t="s">
        <v>2483</v>
      </c>
      <c r="M1098" s="42" t="s">
        <v>2484</v>
      </c>
    </row>
    <row r="1099" spans="1:13" s="87" customFormat="1" ht="15.75" customHeight="1">
      <c r="A1099" s="87" t="s">
        <v>2485</v>
      </c>
      <c r="B1099" s="221" t="s">
        <v>2486</v>
      </c>
      <c r="C1099" s="79">
        <v>44948</v>
      </c>
      <c r="D1099" s="80">
        <v>45032</v>
      </c>
      <c r="E1099" s="41">
        <f>D1099-C1099</f>
        <v>84</v>
      </c>
      <c r="F1099" s="48" t="s">
        <v>177</v>
      </c>
      <c r="G1099" s="81"/>
      <c r="H1099" s="83" t="s">
        <v>290</v>
      </c>
      <c r="I1099" s="81"/>
    </row>
    <row r="1100" spans="1:13" s="87" customFormat="1" ht="15.75" customHeight="1">
      <c r="A1100" s="87" t="s">
        <v>2487</v>
      </c>
      <c r="B1100" s="221" t="s">
        <v>2488</v>
      </c>
      <c r="C1100" s="79">
        <v>45032</v>
      </c>
      <c r="D1100" s="80">
        <v>45037</v>
      </c>
      <c r="E1100" s="41">
        <f>D1100-C1100</f>
        <v>5</v>
      </c>
      <c r="F1100" s="83" t="s">
        <v>205</v>
      </c>
      <c r="G1100" s="81"/>
      <c r="H1100" s="83" t="s">
        <v>290</v>
      </c>
      <c r="I1100" s="81"/>
    </row>
    <row r="1101" spans="1:13" s="87" customFormat="1" ht="15.75" customHeight="1">
      <c r="A1101" s="205" t="s">
        <v>692</v>
      </c>
      <c r="B1101" s="206" t="s">
        <v>693</v>
      </c>
      <c r="C1101" s="39">
        <v>44906</v>
      </c>
      <c r="D1101" s="39">
        <v>45039</v>
      </c>
      <c r="E1101" s="41">
        <f>D1101-C1101</f>
        <v>133</v>
      </c>
      <c r="F1101" s="43" t="s">
        <v>0</v>
      </c>
      <c r="G1101" s="45"/>
      <c r="H1101" s="83" t="s">
        <v>11</v>
      </c>
      <c r="I1101" s="45"/>
      <c r="J1101" s="42"/>
      <c r="K1101" s="42"/>
    </row>
    <row r="1102" spans="1:13" s="87" customFormat="1" ht="15.75" customHeight="1">
      <c r="A1102" s="37" t="s">
        <v>2489</v>
      </c>
      <c r="B1102" s="221" t="s">
        <v>2490</v>
      </c>
      <c r="C1102" s="79">
        <v>45004</v>
      </c>
      <c r="D1102" s="39">
        <v>45039</v>
      </c>
      <c r="E1102" s="41">
        <f>D1102-C1102</f>
        <v>35</v>
      </c>
      <c r="F1102" s="43" t="s">
        <v>0</v>
      </c>
      <c r="G1102" s="81"/>
      <c r="H1102" s="83" t="s">
        <v>290</v>
      </c>
      <c r="I1102" s="81"/>
    </row>
    <row r="1103" spans="1:13" s="87" customFormat="1" ht="15.75" customHeight="1">
      <c r="A1103" s="205" t="s">
        <v>2491</v>
      </c>
      <c r="B1103" s="221" t="s">
        <v>2492</v>
      </c>
      <c r="C1103" s="79">
        <v>44667</v>
      </c>
      <c r="D1103" s="39">
        <v>45039</v>
      </c>
      <c r="E1103" s="41">
        <f>D1103-C1103</f>
        <v>372</v>
      </c>
      <c r="F1103" s="43" t="s">
        <v>0</v>
      </c>
      <c r="G1103" s="81"/>
      <c r="H1103" s="83" t="s">
        <v>11</v>
      </c>
      <c r="I1103" s="81"/>
    </row>
    <row r="1104" spans="1:13" s="87" customFormat="1" ht="15.75" customHeight="1">
      <c r="A1104" s="205" t="s">
        <v>2493</v>
      </c>
      <c r="B1104" s="206" t="s">
        <v>2494</v>
      </c>
      <c r="C1104" s="79">
        <v>44326</v>
      </c>
      <c r="D1104" s="39">
        <v>45039</v>
      </c>
      <c r="E1104" s="41">
        <f>D1104-C1104</f>
        <v>713</v>
      </c>
      <c r="F1104" s="43" t="s">
        <v>0</v>
      </c>
      <c r="G1104" s="81"/>
      <c r="H1104" s="83" t="s">
        <v>2</v>
      </c>
      <c r="I1104" s="81"/>
    </row>
    <row r="1105" spans="1:27" s="87" customFormat="1" ht="15.75" customHeight="1">
      <c r="A1105" s="87" t="s">
        <v>2495</v>
      </c>
      <c r="B1105" s="221" t="s">
        <v>2496</v>
      </c>
      <c r="C1105" s="79">
        <v>44715</v>
      </c>
      <c r="D1105" s="80">
        <v>45040</v>
      </c>
      <c r="E1105" s="41">
        <f>D1105-C1105</f>
        <v>325</v>
      </c>
      <c r="F1105" s="208" t="s">
        <v>2235</v>
      </c>
      <c r="G1105" s="81"/>
      <c r="H1105" s="83" t="s">
        <v>11</v>
      </c>
      <c r="I1105" s="81"/>
    </row>
    <row r="1106" spans="1:27" s="87" customFormat="1" ht="15.75" customHeight="1">
      <c r="A1106" s="205" t="s">
        <v>2497</v>
      </c>
      <c r="B1106" s="206" t="s">
        <v>2498</v>
      </c>
      <c r="C1106" s="79">
        <v>44222</v>
      </c>
      <c r="D1106" s="80">
        <v>45044</v>
      </c>
      <c r="E1106" s="41">
        <f>D1106-C1106</f>
        <v>822</v>
      </c>
      <c r="F1106" s="43" t="s">
        <v>2428</v>
      </c>
      <c r="G1106" s="81" t="s">
        <v>720</v>
      </c>
      <c r="H1106" s="83" t="s">
        <v>11</v>
      </c>
      <c r="I1106" s="81" t="s">
        <v>21</v>
      </c>
    </row>
    <row r="1107" spans="1:27" s="87" customFormat="1" ht="15.75" customHeight="1">
      <c r="A1107" s="205" t="s">
        <v>2499</v>
      </c>
      <c r="B1107" s="221" t="s">
        <v>2500</v>
      </c>
      <c r="C1107" s="79">
        <v>44759</v>
      </c>
      <c r="D1107" s="80">
        <v>45044</v>
      </c>
      <c r="E1107" s="41">
        <f>D1107-C1107</f>
        <v>285</v>
      </c>
      <c r="F1107" s="208" t="s">
        <v>258</v>
      </c>
      <c r="G1107" s="81"/>
      <c r="H1107" s="83" t="s">
        <v>2</v>
      </c>
      <c r="I1107" s="81"/>
    </row>
    <row r="1108" spans="1:27" s="205" customFormat="1" ht="15.75" customHeight="1">
      <c r="A1108" s="87" t="s">
        <v>1781</v>
      </c>
      <c r="B1108" s="221" t="s">
        <v>1782</v>
      </c>
      <c r="C1108" s="79">
        <v>44966</v>
      </c>
      <c r="D1108" s="80">
        <v>45044</v>
      </c>
      <c r="E1108" s="41">
        <f>D1108-C1108</f>
        <v>78</v>
      </c>
      <c r="F1108" s="43" t="s">
        <v>0</v>
      </c>
      <c r="G1108" s="81" t="s">
        <v>33</v>
      </c>
      <c r="H1108" s="83" t="s">
        <v>290</v>
      </c>
      <c r="I1108" s="207"/>
      <c r="K1108" s="220" t="s">
        <v>1783</v>
      </c>
    </row>
    <row r="1109" spans="1:27" s="87" customFormat="1" ht="15.75" customHeight="1">
      <c r="A1109" s="87" t="s">
        <v>2501</v>
      </c>
      <c r="B1109" s="221" t="s">
        <v>2501</v>
      </c>
      <c r="C1109" s="39">
        <v>44334</v>
      </c>
      <c r="D1109" s="80">
        <v>45045</v>
      </c>
      <c r="E1109" s="41">
        <f>D1109-C1109</f>
        <v>711</v>
      </c>
      <c r="F1109" s="208" t="s">
        <v>174</v>
      </c>
      <c r="G1109" s="81"/>
      <c r="H1109" s="83" t="s">
        <v>2</v>
      </c>
      <c r="I1109" s="81"/>
    </row>
    <row r="1110" spans="1:27" s="87" customFormat="1" ht="15.75" customHeight="1">
      <c r="A1110" s="37" t="s">
        <v>2502</v>
      </c>
      <c r="B1110" s="221" t="s">
        <v>2404</v>
      </c>
      <c r="C1110" s="79">
        <v>44926</v>
      </c>
      <c r="D1110" s="80">
        <v>45048</v>
      </c>
      <c r="E1110" s="41">
        <f>D1110-C1110</f>
        <v>122</v>
      </c>
      <c r="F1110" s="43" t="s">
        <v>0</v>
      </c>
      <c r="G1110" s="81"/>
      <c r="H1110" s="83" t="s">
        <v>11</v>
      </c>
      <c r="I1110" s="81" t="s">
        <v>3</v>
      </c>
      <c r="K1110" s="220" t="s">
        <v>2405</v>
      </c>
    </row>
    <row r="1111" spans="1:27" s="87" customFormat="1" ht="15.75" customHeight="1">
      <c r="A1111" s="37" t="s">
        <v>2503</v>
      </c>
      <c r="B1111" s="221" t="s">
        <v>2504</v>
      </c>
      <c r="C1111" s="79">
        <v>44862</v>
      </c>
      <c r="D1111" s="80">
        <v>45053</v>
      </c>
      <c r="E1111" s="41">
        <f>D1111-C1111</f>
        <v>191</v>
      </c>
      <c r="F1111" s="43" t="s">
        <v>0</v>
      </c>
      <c r="G1111" s="81" t="s">
        <v>43</v>
      </c>
      <c r="H1111" s="83" t="s">
        <v>11</v>
      </c>
      <c r="I1111" s="81"/>
    </row>
    <row r="1112" spans="1:27" s="87" customFormat="1" ht="15.75" customHeight="1">
      <c r="A1112" s="205" t="s">
        <v>2505</v>
      </c>
      <c r="B1112" s="221" t="s">
        <v>2506</v>
      </c>
      <c r="C1112" s="79">
        <v>44703</v>
      </c>
      <c r="D1112" s="80">
        <v>45059</v>
      </c>
      <c r="E1112" s="41">
        <f>D1112-C1112</f>
        <v>356</v>
      </c>
      <c r="F1112" s="43" t="s">
        <v>0</v>
      </c>
      <c r="G1112" s="81" t="s">
        <v>2507</v>
      </c>
      <c r="H1112" s="83" t="s">
        <v>11</v>
      </c>
      <c r="I1112" s="81"/>
    </row>
    <row r="1113" spans="1:27" s="87" customFormat="1" ht="15.75" customHeight="1">
      <c r="A1113" s="87" t="s">
        <v>2508</v>
      </c>
      <c r="B1113" s="221" t="s">
        <v>2509</v>
      </c>
      <c r="C1113" s="79">
        <v>45042</v>
      </c>
      <c r="D1113" s="80">
        <v>45059</v>
      </c>
      <c r="E1113" s="41">
        <f>D1113-C1113</f>
        <v>17</v>
      </c>
      <c r="F1113" s="43" t="s">
        <v>0</v>
      </c>
      <c r="G1113" s="81"/>
      <c r="H1113" s="83" t="s">
        <v>290</v>
      </c>
      <c r="I1113" s="81"/>
    </row>
    <row r="1114" spans="1:27" s="205" customFormat="1" ht="15.75" customHeight="1">
      <c r="A1114" s="42" t="s">
        <v>1635</v>
      </c>
      <c r="B1114" s="206" t="s">
        <v>1636</v>
      </c>
      <c r="C1114" s="39">
        <v>45026</v>
      </c>
      <c r="D1114" s="40">
        <v>45060</v>
      </c>
      <c r="E1114" s="41">
        <f>D1114-C1114</f>
        <v>34</v>
      </c>
      <c r="F1114" s="43" t="s">
        <v>0</v>
      </c>
      <c r="G1114" s="207" t="s">
        <v>2510</v>
      </c>
      <c r="H1114" s="83" t="s">
        <v>290</v>
      </c>
      <c r="I1114" s="207"/>
    </row>
    <row r="1115" spans="1:27" s="87" customFormat="1" ht="15.75" customHeight="1">
      <c r="A1115" s="87" t="s">
        <v>2511</v>
      </c>
      <c r="B1115" s="206" t="s">
        <v>2512</v>
      </c>
      <c r="C1115" s="79">
        <v>43838</v>
      </c>
      <c r="D1115" s="80">
        <v>45062</v>
      </c>
      <c r="E1115" s="41">
        <f>D1115-C1115</f>
        <v>1224</v>
      </c>
      <c r="F1115" s="208" t="s">
        <v>1212</v>
      </c>
      <c r="G1115" s="81" t="s">
        <v>33</v>
      </c>
      <c r="H1115" s="83" t="s">
        <v>11</v>
      </c>
      <c r="I1115" s="81"/>
      <c r="K1115" s="53" t="s">
        <v>2513</v>
      </c>
      <c r="L1115" s="87" t="s">
        <v>2514</v>
      </c>
    </row>
    <row r="1116" spans="1:27" s="87" customFormat="1" ht="15.75" customHeight="1">
      <c r="A1116" s="87" t="s">
        <v>2515</v>
      </c>
      <c r="B1116" s="221" t="s">
        <v>2516</v>
      </c>
      <c r="C1116" s="79">
        <v>44711</v>
      </c>
      <c r="D1116" s="80">
        <v>45066</v>
      </c>
      <c r="E1116" s="41">
        <f>D1116-C1116</f>
        <v>355</v>
      </c>
      <c r="F1116" s="83" t="s">
        <v>2239</v>
      </c>
      <c r="G1116" s="81" t="s">
        <v>43</v>
      </c>
      <c r="H1116" s="83" t="s">
        <v>11</v>
      </c>
      <c r="I1116" s="81"/>
    </row>
    <row r="1117" spans="1:27" s="87" customFormat="1" ht="15.75" customHeight="1">
      <c r="A1117" s="37" t="s">
        <v>2395</v>
      </c>
      <c r="B1117" s="221" t="s">
        <v>2396</v>
      </c>
      <c r="C1117" s="79">
        <v>44969</v>
      </c>
      <c r="D1117" s="80">
        <v>45068</v>
      </c>
      <c r="E1117" s="41">
        <f>D1117-C1117</f>
        <v>99</v>
      </c>
      <c r="F1117" s="43" t="s">
        <v>0</v>
      </c>
      <c r="G1117" s="81"/>
      <c r="H1117" s="83" t="s">
        <v>2</v>
      </c>
      <c r="I1117" s="81"/>
    </row>
    <row r="1118" spans="1:27" s="87" customFormat="1" ht="15.75" customHeight="1">
      <c r="A1118" s="205" t="s">
        <v>2517</v>
      </c>
      <c r="B1118" s="206" t="s">
        <v>2518</v>
      </c>
      <c r="C1118" s="79">
        <v>44303</v>
      </c>
      <c r="D1118" s="80">
        <v>45081</v>
      </c>
      <c r="E1118" s="41">
        <f>D1118-C1118</f>
        <v>778</v>
      </c>
      <c r="F1118" s="43" t="s">
        <v>0</v>
      </c>
      <c r="G1118" s="81"/>
      <c r="H1118" s="83" t="s">
        <v>2</v>
      </c>
      <c r="I1118" s="81"/>
    </row>
    <row r="1119" spans="1:27" s="87" customFormat="1" ht="15.75" customHeight="1">
      <c r="A1119" s="205" t="s">
        <v>1390</v>
      </c>
      <c r="B1119" s="206" t="s">
        <v>1391</v>
      </c>
      <c r="C1119" s="39">
        <v>44877</v>
      </c>
      <c r="D1119" s="39">
        <v>45087</v>
      </c>
      <c r="E1119" s="41">
        <f>D1119-C1119</f>
        <v>210</v>
      </c>
      <c r="F1119" s="43" t="s">
        <v>0</v>
      </c>
      <c r="G1119" s="45" t="s">
        <v>1</v>
      </c>
      <c r="H1119" s="207" t="s">
        <v>2</v>
      </c>
      <c r="I1119" s="207"/>
      <c r="J1119" s="205"/>
      <c r="K1119" s="205"/>
      <c r="L1119" s="205"/>
      <c r="M1119" s="205"/>
      <c r="N1119" s="205"/>
      <c r="O1119" s="205"/>
      <c r="P1119" s="205"/>
      <c r="Q1119" s="205"/>
      <c r="R1119" s="205"/>
      <c r="S1119" s="205"/>
      <c r="T1119" s="205"/>
      <c r="U1119" s="205"/>
      <c r="V1119" s="205"/>
      <c r="W1119" s="205"/>
      <c r="X1119" s="205"/>
      <c r="Y1119" s="205"/>
      <c r="Z1119" s="205"/>
      <c r="AA1119" s="205"/>
    </row>
    <row r="1120" spans="1:27" s="87" customFormat="1" ht="15.75" customHeight="1">
      <c r="A1120" s="205" t="s">
        <v>803</v>
      </c>
      <c r="B1120" s="221" t="s">
        <v>804</v>
      </c>
      <c r="C1120" s="79">
        <v>43834</v>
      </c>
      <c r="D1120" s="39">
        <v>45087</v>
      </c>
      <c r="E1120" s="41">
        <f>D1120-C1120</f>
        <v>1253</v>
      </c>
      <c r="F1120" s="83" t="s">
        <v>0</v>
      </c>
      <c r="G1120" s="81" t="s">
        <v>805</v>
      </c>
      <c r="H1120" s="81" t="s">
        <v>2</v>
      </c>
      <c r="I1120" s="81" t="s">
        <v>90</v>
      </c>
      <c r="K1120" s="53" t="s">
        <v>2519</v>
      </c>
    </row>
    <row r="1121" spans="1:12" s="87" customFormat="1" ht="15.75" customHeight="1">
      <c r="A1121" s="87" t="s">
        <v>309</v>
      </c>
      <c r="B1121" s="221" t="s">
        <v>310</v>
      </c>
      <c r="C1121" s="79">
        <v>44576</v>
      </c>
      <c r="D1121" s="39">
        <v>45087</v>
      </c>
      <c r="E1121" s="41">
        <f>D1121-C1121</f>
        <v>511</v>
      </c>
      <c r="F1121" s="208" t="s">
        <v>1642</v>
      </c>
      <c r="G1121" s="81" t="s">
        <v>70</v>
      </c>
      <c r="H1121" s="45" t="s">
        <v>11</v>
      </c>
      <c r="I1121" s="81"/>
    </row>
    <row r="1122" spans="1:12" s="87" customFormat="1" ht="15.75" customHeight="1">
      <c r="A1122" s="87" t="s">
        <v>2520</v>
      </c>
      <c r="B1122" s="221" t="s">
        <v>2521</v>
      </c>
      <c r="C1122" s="79">
        <v>44436</v>
      </c>
      <c r="D1122" s="39">
        <v>45087</v>
      </c>
      <c r="E1122" s="41">
        <f>D1122-C1122</f>
        <v>651</v>
      </c>
      <c r="F1122" s="43" t="s">
        <v>0</v>
      </c>
      <c r="G1122" s="81" t="s">
        <v>43</v>
      </c>
      <c r="H1122" s="83" t="s">
        <v>2</v>
      </c>
      <c r="I1122" s="81" t="s">
        <v>2522</v>
      </c>
      <c r="K1122" s="220" t="s">
        <v>2523</v>
      </c>
      <c r="L1122" s="87" t="s">
        <v>2524</v>
      </c>
    </row>
    <row r="1123" spans="1:12" s="205" customFormat="1" ht="15.75" customHeight="1">
      <c r="A1123" s="205" t="s">
        <v>2161</v>
      </c>
      <c r="B1123" s="206" t="s">
        <v>2230</v>
      </c>
      <c r="C1123" s="39">
        <v>45088</v>
      </c>
      <c r="D1123" s="40">
        <v>45101</v>
      </c>
      <c r="E1123" s="41">
        <f>D1123-C1123</f>
        <v>13</v>
      </c>
      <c r="F1123" s="43" t="s">
        <v>0</v>
      </c>
      <c r="G1123" s="207"/>
      <c r="H1123" s="43" t="s">
        <v>2</v>
      </c>
      <c r="I1123" s="45" t="s">
        <v>2458</v>
      </c>
    </row>
    <row r="1124" spans="1:12" s="87" customFormat="1" ht="15.75" customHeight="1">
      <c r="A1124" s="87" t="s">
        <v>2525</v>
      </c>
      <c r="B1124" s="221" t="s">
        <v>2526</v>
      </c>
      <c r="C1124" s="79">
        <v>44858</v>
      </c>
      <c r="D1124" s="40">
        <v>45101</v>
      </c>
      <c r="E1124" s="41">
        <f>D1124-C1124</f>
        <v>243</v>
      </c>
      <c r="F1124" s="48" t="s">
        <v>2527</v>
      </c>
      <c r="G1124" s="81"/>
      <c r="H1124" s="45" t="s">
        <v>11</v>
      </c>
      <c r="I1124" s="81"/>
    </row>
    <row r="1125" spans="1:12" s="87" customFormat="1" ht="15.75" customHeight="1">
      <c r="A1125" s="37" t="s">
        <v>2528</v>
      </c>
      <c r="B1125" s="221" t="s">
        <v>2529</v>
      </c>
      <c r="C1125" s="79">
        <v>44830</v>
      </c>
      <c r="D1125" s="40">
        <v>45101</v>
      </c>
      <c r="E1125" s="41">
        <f>D1125-C1125</f>
        <v>271</v>
      </c>
      <c r="F1125" s="48" t="s">
        <v>2369</v>
      </c>
      <c r="G1125" s="81"/>
      <c r="H1125" s="83" t="s">
        <v>11</v>
      </c>
      <c r="I1125" s="81"/>
    </row>
    <row r="1126" spans="1:12" s="87" customFormat="1" ht="15.75" customHeight="1">
      <c r="A1126" s="87" t="s">
        <v>2472</v>
      </c>
      <c r="B1126" s="221" t="s">
        <v>2473</v>
      </c>
      <c r="C1126" s="79">
        <v>45035</v>
      </c>
      <c r="D1126" s="40">
        <v>45101</v>
      </c>
      <c r="E1126" s="41">
        <f>D1126-C1126</f>
        <v>66</v>
      </c>
      <c r="F1126" s="43" t="s">
        <v>0</v>
      </c>
      <c r="G1126" s="81"/>
      <c r="H1126" s="83" t="s">
        <v>2</v>
      </c>
      <c r="I1126" s="81"/>
    </row>
    <row r="1127" spans="1:12" s="87" customFormat="1" ht="15.75" customHeight="1">
      <c r="A1127" s="87" t="s">
        <v>2530</v>
      </c>
      <c r="B1127" s="221" t="s">
        <v>2531</v>
      </c>
      <c r="C1127" s="79">
        <v>45081</v>
      </c>
      <c r="D1127" s="80">
        <v>45107</v>
      </c>
      <c r="E1127" s="41">
        <f>D1127-C1127</f>
        <v>26</v>
      </c>
      <c r="F1127" s="83" t="s">
        <v>108</v>
      </c>
      <c r="G1127" s="81"/>
      <c r="H1127" s="83" t="s">
        <v>290</v>
      </c>
      <c r="I1127" s="81"/>
    </row>
    <row r="1128" spans="1:12" s="205" customFormat="1" ht="15.75" customHeight="1">
      <c r="A1128" s="87" t="s">
        <v>2124</v>
      </c>
      <c r="B1128" s="221" t="s">
        <v>2125</v>
      </c>
      <c r="C1128" s="39">
        <v>44874</v>
      </c>
      <c r="D1128" s="80">
        <v>45108</v>
      </c>
      <c r="E1128" s="41">
        <f>D1128-C1128</f>
        <v>234</v>
      </c>
      <c r="F1128" s="43" t="s">
        <v>0</v>
      </c>
      <c r="G1128" s="81" t="s">
        <v>33</v>
      </c>
      <c r="H1128" s="83" t="s">
        <v>11</v>
      </c>
      <c r="I1128" s="81" t="s">
        <v>125</v>
      </c>
      <c r="K1128" s="220" t="s">
        <v>2126</v>
      </c>
      <c r="L1128" s="87" t="s">
        <v>2127</v>
      </c>
    </row>
    <row r="1129" spans="1:12" s="87" customFormat="1" ht="15.75" customHeight="1">
      <c r="A1129" s="87" t="s">
        <v>2532</v>
      </c>
      <c r="B1129" s="221" t="s">
        <v>2533</v>
      </c>
      <c r="C1129" s="79">
        <v>44922</v>
      </c>
      <c r="D1129" s="80">
        <v>45109</v>
      </c>
      <c r="E1129" s="41">
        <f>D1129-C1129</f>
        <v>187</v>
      </c>
      <c r="F1129" s="43" t="s">
        <v>0</v>
      </c>
      <c r="G1129" s="81"/>
      <c r="H1129" s="83" t="s">
        <v>290</v>
      </c>
      <c r="I1129" s="81"/>
      <c r="L1129" s="87" t="s">
        <v>2534</v>
      </c>
    </row>
    <row r="1130" spans="1:12" s="87" customFormat="1" ht="15.75" customHeight="1">
      <c r="A1130" s="37" t="s">
        <v>2335</v>
      </c>
      <c r="B1130" s="221" t="s">
        <v>2336</v>
      </c>
      <c r="C1130" s="79">
        <v>44929</v>
      </c>
      <c r="D1130" s="80">
        <v>45117</v>
      </c>
      <c r="E1130" s="41">
        <f>D1130-C1130</f>
        <v>188</v>
      </c>
      <c r="F1130" s="43" t="s">
        <v>0</v>
      </c>
      <c r="G1130" s="81"/>
      <c r="H1130" s="83" t="s">
        <v>290</v>
      </c>
      <c r="I1130" s="81"/>
    </row>
    <row r="1131" spans="1:12" s="87" customFormat="1" ht="15.75" customHeight="1">
      <c r="A1131" s="37" t="s">
        <v>2535</v>
      </c>
      <c r="B1131" s="221" t="s">
        <v>2536</v>
      </c>
      <c r="C1131" s="79">
        <v>45052</v>
      </c>
      <c r="D1131" s="80">
        <v>45121</v>
      </c>
      <c r="E1131" s="41">
        <f>D1131-C1131</f>
        <v>69</v>
      </c>
      <c r="F1131" s="43" t="s">
        <v>0</v>
      </c>
      <c r="G1131" s="81"/>
      <c r="H1131" s="83" t="s">
        <v>290</v>
      </c>
      <c r="I1131" s="81"/>
    </row>
    <row r="1132" spans="1:12" s="205" customFormat="1" ht="15.75" customHeight="1">
      <c r="A1132" s="42" t="s">
        <v>2003</v>
      </c>
      <c r="B1132" s="206" t="s">
        <v>2004</v>
      </c>
      <c r="C1132" s="39">
        <v>44877</v>
      </c>
      <c r="D1132" s="80">
        <v>45123</v>
      </c>
      <c r="E1132" s="41">
        <f>D1132-C1132</f>
        <v>246</v>
      </c>
      <c r="F1132" s="43" t="s">
        <v>0</v>
      </c>
      <c r="G1132" s="81" t="s">
        <v>336</v>
      </c>
      <c r="H1132" s="207" t="s">
        <v>2</v>
      </c>
      <c r="I1132" s="207"/>
      <c r="K1132" s="90" t="s">
        <v>2005</v>
      </c>
    </row>
    <row r="1133" spans="1:12" s="205" customFormat="1" ht="15.75" customHeight="1">
      <c r="A1133" s="205" t="s">
        <v>2130</v>
      </c>
      <c r="B1133" s="206" t="s">
        <v>2131</v>
      </c>
      <c r="C1133" s="79">
        <v>44834</v>
      </c>
      <c r="D1133" s="80">
        <v>45129</v>
      </c>
      <c r="E1133" s="41">
        <f>D1133-C1133</f>
        <v>295</v>
      </c>
      <c r="F1133" s="43" t="s">
        <v>0</v>
      </c>
      <c r="G1133" s="81" t="s">
        <v>33</v>
      </c>
      <c r="H1133" s="83" t="s">
        <v>2</v>
      </c>
      <c r="I1133" s="81" t="s">
        <v>2132</v>
      </c>
      <c r="K1133" s="220" t="s">
        <v>2133</v>
      </c>
    </row>
    <row r="1134" spans="1:12" s="87" customFormat="1" ht="15.75" customHeight="1">
      <c r="A1134" s="205" t="s">
        <v>2537</v>
      </c>
      <c r="B1134" s="206" t="s">
        <v>2538</v>
      </c>
      <c r="C1134" s="79">
        <v>44129</v>
      </c>
      <c r="D1134" s="80">
        <v>45130</v>
      </c>
      <c r="E1134" s="41">
        <f>D1134-C1134</f>
        <v>1001</v>
      </c>
      <c r="F1134" s="43" t="s">
        <v>0</v>
      </c>
      <c r="G1134" s="81" t="s">
        <v>1</v>
      </c>
      <c r="H1134" s="83" t="s">
        <v>2</v>
      </c>
      <c r="I1134" s="81"/>
      <c r="K1134" s="220" t="s">
        <v>2539</v>
      </c>
    </row>
    <row r="1135" spans="1:12" s="87" customFormat="1" ht="15.75" customHeight="1">
      <c r="A1135" s="37" t="s">
        <v>2540</v>
      </c>
      <c r="B1135" s="221" t="s">
        <v>2541</v>
      </c>
      <c r="C1135" s="79">
        <v>45135</v>
      </c>
      <c r="D1135" s="80">
        <v>45136</v>
      </c>
      <c r="E1135" s="41">
        <f>D1135-C1135</f>
        <v>1</v>
      </c>
      <c r="F1135" s="43" t="s">
        <v>0</v>
      </c>
      <c r="G1135" s="81"/>
      <c r="H1135" s="83" t="s">
        <v>290</v>
      </c>
      <c r="I1135" s="81"/>
    </row>
    <row r="1136" spans="1:12" s="87" customFormat="1" ht="15.75" customHeight="1">
      <c r="A1136" s="87" t="s">
        <v>2542</v>
      </c>
      <c r="B1136" s="221" t="s">
        <v>2542</v>
      </c>
      <c r="C1136" s="79">
        <v>45040</v>
      </c>
      <c r="D1136" s="80">
        <v>45140</v>
      </c>
      <c r="E1136" s="41">
        <f>D1136-C1136</f>
        <v>100</v>
      </c>
      <c r="F1136" s="43" t="s">
        <v>0</v>
      </c>
      <c r="G1136" s="81"/>
      <c r="H1136" s="83" t="s">
        <v>290</v>
      </c>
      <c r="I1136" s="81"/>
    </row>
    <row r="1137" spans="1:27" s="87" customFormat="1" ht="15.75" customHeight="1">
      <c r="A1137" s="37" t="s">
        <v>2503</v>
      </c>
      <c r="B1137" s="221" t="s">
        <v>2504</v>
      </c>
      <c r="C1137" s="79">
        <v>45060</v>
      </c>
      <c r="D1137" s="80">
        <v>45146</v>
      </c>
      <c r="E1137" s="41">
        <f>D1137-C1137</f>
        <v>86</v>
      </c>
      <c r="F1137" s="43" t="s">
        <v>0</v>
      </c>
      <c r="G1137" s="81" t="s">
        <v>43</v>
      </c>
      <c r="H1137" s="83" t="s">
        <v>11</v>
      </c>
      <c r="I1137" s="81"/>
    </row>
    <row r="1138" spans="1:27" s="87" customFormat="1" ht="15.75" customHeight="1">
      <c r="A1138" s="87" t="s">
        <v>2543</v>
      </c>
      <c r="B1138" s="221" t="s">
        <v>2544</v>
      </c>
      <c r="C1138" s="79">
        <v>45127</v>
      </c>
      <c r="D1138" s="80">
        <v>45147</v>
      </c>
      <c r="E1138" s="41">
        <f>D1138-C1138</f>
        <v>20</v>
      </c>
      <c r="F1138" s="43" t="s">
        <v>0</v>
      </c>
      <c r="G1138" s="81"/>
      <c r="H1138" s="83" t="s">
        <v>290</v>
      </c>
      <c r="I1138" s="81"/>
    </row>
    <row r="1139" spans="1:27" s="87" customFormat="1" ht="15.75" customHeight="1">
      <c r="A1139" s="205" t="s">
        <v>2090</v>
      </c>
      <c r="B1139" s="221" t="s">
        <v>2545</v>
      </c>
      <c r="C1139" s="79">
        <v>44388</v>
      </c>
      <c r="D1139" s="80">
        <v>45152</v>
      </c>
      <c r="E1139" s="41">
        <f>D1139-C1139</f>
        <v>764</v>
      </c>
      <c r="F1139" s="208" t="s">
        <v>1570</v>
      </c>
      <c r="G1139" s="81"/>
      <c r="H1139" s="83" t="s">
        <v>2</v>
      </c>
      <c r="I1139" s="81" t="s">
        <v>21</v>
      </c>
    </row>
    <row r="1140" spans="1:27" s="87" customFormat="1" ht="15.75" customHeight="1">
      <c r="A1140" s="87" t="s">
        <v>2546</v>
      </c>
      <c r="B1140" s="221" t="s">
        <v>2547</v>
      </c>
      <c r="C1140" s="79">
        <v>44446</v>
      </c>
      <c r="D1140" s="80">
        <v>45152</v>
      </c>
      <c r="E1140" s="41">
        <f>D1140-C1140</f>
        <v>706</v>
      </c>
      <c r="F1140" s="43" t="s">
        <v>0</v>
      </c>
      <c r="G1140" s="81" t="s">
        <v>33</v>
      </c>
      <c r="H1140" s="83" t="s">
        <v>2</v>
      </c>
      <c r="I1140" s="81" t="s">
        <v>1987</v>
      </c>
      <c r="K1140" s="220" t="s">
        <v>2548</v>
      </c>
      <c r="L1140" s="87" t="s">
        <v>2549</v>
      </c>
    </row>
    <row r="1141" spans="1:27" s="205" customFormat="1" ht="15.75" customHeight="1">
      <c r="A1141" s="87" t="s">
        <v>1917</v>
      </c>
      <c r="B1141" s="221" t="s">
        <v>1918</v>
      </c>
      <c r="C1141" s="39">
        <v>44986</v>
      </c>
      <c r="D1141" s="80">
        <v>45164</v>
      </c>
      <c r="E1141" s="41">
        <f>D1141-C1141</f>
        <v>178</v>
      </c>
      <c r="F1141" s="83" t="s">
        <v>196</v>
      </c>
      <c r="G1141" s="207"/>
      <c r="H1141" s="83" t="s">
        <v>290</v>
      </c>
      <c r="I1141" s="207"/>
    </row>
    <row r="1142" spans="1:27" s="87" customFormat="1" ht="15.75" customHeight="1">
      <c r="A1142" s="37" t="s">
        <v>2550</v>
      </c>
      <c r="B1142" s="221" t="s">
        <v>2551</v>
      </c>
      <c r="C1142" s="39">
        <v>44921</v>
      </c>
      <c r="D1142" s="80">
        <v>45164</v>
      </c>
      <c r="E1142" s="41">
        <f>D1142-C1142</f>
        <v>243</v>
      </c>
      <c r="F1142" s="48" t="s">
        <v>2332</v>
      </c>
      <c r="G1142" s="81"/>
      <c r="H1142" s="83" t="s">
        <v>290</v>
      </c>
      <c r="I1142" s="81"/>
    </row>
    <row r="1143" spans="1:27" s="87" customFormat="1" ht="15.75" customHeight="1">
      <c r="A1143" s="87" t="s">
        <v>2552</v>
      </c>
      <c r="B1143" s="221" t="s">
        <v>2553</v>
      </c>
      <c r="C1143" s="79">
        <v>45149</v>
      </c>
      <c r="D1143" s="80">
        <v>45171</v>
      </c>
      <c r="E1143" s="41">
        <f>D1143-C1143</f>
        <v>22</v>
      </c>
      <c r="F1143" s="83" t="s">
        <v>196</v>
      </c>
      <c r="G1143" s="81"/>
      <c r="H1143" s="83" t="s">
        <v>290</v>
      </c>
      <c r="I1143" s="81" t="s">
        <v>21</v>
      </c>
    </row>
    <row r="1144" spans="1:27" s="205" customFormat="1" ht="15.75" customHeight="1">
      <c r="A1144" s="87" t="s">
        <v>2253</v>
      </c>
      <c r="B1144" s="221" t="s">
        <v>2254</v>
      </c>
      <c r="C1144" s="39">
        <v>44877</v>
      </c>
      <c r="D1144" s="80">
        <v>45178</v>
      </c>
      <c r="E1144" s="41">
        <f>D1144-C1144</f>
        <v>301</v>
      </c>
      <c r="F1144" s="43" t="s">
        <v>0</v>
      </c>
      <c r="G1144" s="81" t="s">
        <v>70</v>
      </c>
      <c r="H1144" s="83" t="s">
        <v>11</v>
      </c>
      <c r="I1144" s="207"/>
    </row>
    <row r="1145" spans="1:27" s="87" customFormat="1" ht="15.75" customHeight="1">
      <c r="A1145" s="87" t="s">
        <v>2554</v>
      </c>
      <c r="B1145" s="221" t="s">
        <v>2555</v>
      </c>
      <c r="C1145" s="79">
        <v>45176</v>
      </c>
      <c r="D1145" s="80">
        <v>45182</v>
      </c>
      <c r="E1145" s="41">
        <f>D1145-C1145</f>
        <v>6</v>
      </c>
      <c r="F1145" s="43" t="s">
        <v>0</v>
      </c>
      <c r="G1145" s="81"/>
      <c r="H1145" s="83" t="s">
        <v>290</v>
      </c>
      <c r="I1145" s="81"/>
    </row>
    <row r="1146" spans="1:27" s="87" customFormat="1" ht="15.75" customHeight="1">
      <c r="A1146" s="37" t="s">
        <v>2556</v>
      </c>
      <c r="B1146" s="221" t="s">
        <v>2557</v>
      </c>
      <c r="C1146" s="79">
        <v>45093</v>
      </c>
      <c r="D1146" s="80">
        <v>45182</v>
      </c>
      <c r="E1146" s="41">
        <f>D1146-C1146</f>
        <v>89</v>
      </c>
      <c r="F1146" s="48" t="s">
        <v>2558</v>
      </c>
      <c r="G1146" s="81"/>
      <c r="H1146" s="83" t="s">
        <v>290</v>
      </c>
      <c r="I1146" s="81"/>
    </row>
    <row r="1147" spans="1:27" s="87" customFormat="1" ht="15.75" customHeight="1">
      <c r="A1147" s="37" t="s">
        <v>2559</v>
      </c>
      <c r="B1147" s="221" t="s">
        <v>2560</v>
      </c>
      <c r="C1147" s="79">
        <v>44781</v>
      </c>
      <c r="D1147" s="80">
        <v>45189</v>
      </c>
      <c r="E1147" s="41">
        <f>D1147-C1147</f>
        <v>408</v>
      </c>
      <c r="F1147" s="43" t="s">
        <v>0</v>
      </c>
      <c r="G1147" s="81" t="s">
        <v>70</v>
      </c>
      <c r="H1147" s="83" t="s">
        <v>11</v>
      </c>
      <c r="I1147" s="81" t="s">
        <v>2561</v>
      </c>
      <c r="L1147" s="37" t="s">
        <v>2562</v>
      </c>
    </row>
    <row r="1148" spans="1:27" s="87" customFormat="1" ht="15.75" customHeight="1">
      <c r="A1148" s="205" t="s">
        <v>877</v>
      </c>
      <c r="B1148" s="206" t="s">
        <v>2563</v>
      </c>
      <c r="C1148" s="39">
        <v>45169</v>
      </c>
      <c r="D1148" s="40">
        <v>45192</v>
      </c>
      <c r="E1148" s="41">
        <f>D1148-C1148</f>
        <v>23</v>
      </c>
      <c r="F1148" s="43" t="s">
        <v>0</v>
      </c>
      <c r="G1148" s="81" t="s">
        <v>720</v>
      </c>
      <c r="H1148" s="83" t="s">
        <v>290</v>
      </c>
      <c r="I1148" s="207"/>
      <c r="J1148" s="205"/>
      <c r="K1148" s="205"/>
      <c r="L1148" s="205" t="s">
        <v>890</v>
      </c>
      <c r="M1148" s="205"/>
      <c r="N1148" s="205"/>
      <c r="O1148" s="205"/>
      <c r="P1148" s="205"/>
      <c r="Q1148" s="205"/>
      <c r="R1148" s="205"/>
      <c r="S1148" s="205"/>
      <c r="T1148" s="205"/>
      <c r="U1148" s="205"/>
      <c r="V1148" s="205"/>
      <c r="W1148" s="205"/>
      <c r="X1148" s="205"/>
      <c r="Y1148" s="205"/>
      <c r="Z1148" s="205"/>
      <c r="AA1148" s="205"/>
    </row>
    <row r="1149" spans="1:27" s="87" customFormat="1" ht="15.75" customHeight="1">
      <c r="A1149" s="37" t="s">
        <v>2564</v>
      </c>
      <c r="B1149" s="221" t="s">
        <v>2565</v>
      </c>
      <c r="C1149" s="79">
        <v>44931</v>
      </c>
      <c r="D1149" s="40">
        <v>45192</v>
      </c>
      <c r="E1149" s="41">
        <f>D1149-C1149</f>
        <v>261</v>
      </c>
      <c r="F1149" s="43" t="s">
        <v>0</v>
      </c>
      <c r="G1149" s="81"/>
      <c r="H1149" s="83" t="s">
        <v>290</v>
      </c>
      <c r="I1149" s="81"/>
    </row>
    <row r="1150" spans="1:27" s="87" customFormat="1" ht="15.75" customHeight="1">
      <c r="A1150" s="37" t="s">
        <v>2566</v>
      </c>
      <c r="B1150" s="221" t="s">
        <v>2567</v>
      </c>
      <c r="C1150" s="79">
        <v>45070</v>
      </c>
      <c r="D1150" s="40">
        <v>45192</v>
      </c>
      <c r="E1150" s="41">
        <f>D1150-C1150</f>
        <v>122</v>
      </c>
      <c r="F1150" s="83" t="s">
        <v>196</v>
      </c>
      <c r="G1150" s="81"/>
      <c r="H1150" s="83" t="s">
        <v>290</v>
      </c>
      <c r="I1150" s="81"/>
    </row>
    <row r="1151" spans="1:27" s="87" customFormat="1" ht="15.75" customHeight="1">
      <c r="A1151" s="87" t="s">
        <v>2568</v>
      </c>
      <c r="B1151" s="221" t="s">
        <v>2569</v>
      </c>
      <c r="C1151" s="79">
        <v>44663</v>
      </c>
      <c r="D1151" s="40">
        <v>45192</v>
      </c>
      <c r="E1151" s="41">
        <f>D1151-C1151</f>
        <v>529</v>
      </c>
      <c r="F1151" s="43" t="s">
        <v>217</v>
      </c>
      <c r="G1151" s="81"/>
      <c r="H1151" s="83" t="s">
        <v>2</v>
      </c>
      <c r="I1151" s="81"/>
    </row>
    <row r="1152" spans="1:27" s="87" customFormat="1" ht="15.75" customHeight="1">
      <c r="A1152" s="37" t="s">
        <v>2570</v>
      </c>
      <c r="B1152" s="221" t="s">
        <v>2571</v>
      </c>
      <c r="C1152" s="79">
        <v>45175</v>
      </c>
      <c r="D1152" s="80">
        <v>45195</v>
      </c>
      <c r="E1152" s="41">
        <f>D1152-C1152</f>
        <v>20</v>
      </c>
      <c r="F1152" s="48" t="s">
        <v>2528</v>
      </c>
      <c r="G1152" s="81"/>
      <c r="H1152" s="83" t="s">
        <v>290</v>
      </c>
      <c r="I1152" s="81"/>
    </row>
    <row r="1153" spans="1:12" s="87" customFormat="1" ht="15.75" customHeight="1">
      <c r="A1153" s="87" t="s">
        <v>2572</v>
      </c>
      <c r="B1153" s="221" t="s">
        <v>2573</v>
      </c>
      <c r="C1153" s="79">
        <v>44713</v>
      </c>
      <c r="D1153" s="80">
        <v>45199</v>
      </c>
      <c r="E1153" s="41">
        <f>D1153-C1153</f>
        <v>486</v>
      </c>
      <c r="F1153" s="208" t="s">
        <v>219</v>
      </c>
      <c r="G1153" s="81"/>
      <c r="H1153" s="45" t="s">
        <v>2</v>
      </c>
      <c r="I1153" s="81"/>
    </row>
    <row r="1154" spans="1:12" s="87" customFormat="1" ht="15.75" customHeight="1">
      <c r="A1154" s="87" t="s">
        <v>2574</v>
      </c>
      <c r="B1154" s="221" t="s">
        <v>2575</v>
      </c>
      <c r="C1154" s="79">
        <v>45125</v>
      </c>
      <c r="D1154" s="80">
        <v>45215</v>
      </c>
      <c r="E1154" s="41">
        <f>D1154-C1154</f>
        <v>90</v>
      </c>
      <c r="F1154" s="48" t="s">
        <v>2130</v>
      </c>
      <c r="G1154" s="81" t="s">
        <v>33</v>
      </c>
      <c r="H1154" s="83" t="s">
        <v>290</v>
      </c>
      <c r="I1154" s="81"/>
    </row>
    <row r="1155" spans="1:12" s="87" customFormat="1" ht="15.75" customHeight="1">
      <c r="A1155" s="87" t="s">
        <v>2520</v>
      </c>
      <c r="B1155" s="221" t="s">
        <v>2521</v>
      </c>
      <c r="C1155" s="79">
        <v>45189</v>
      </c>
      <c r="D1155" s="39">
        <v>45220</v>
      </c>
      <c r="E1155" s="41">
        <f>D1155-C1155</f>
        <v>31</v>
      </c>
      <c r="F1155" s="43" t="s">
        <v>0</v>
      </c>
      <c r="G1155" s="81" t="s">
        <v>43</v>
      </c>
      <c r="H1155" s="83" t="s">
        <v>2</v>
      </c>
      <c r="I1155" s="81" t="s">
        <v>2522</v>
      </c>
      <c r="K1155" s="220" t="s">
        <v>2523</v>
      </c>
      <c r="L1155" s="87" t="s">
        <v>2524</v>
      </c>
    </row>
    <row r="1156" spans="1:12" s="87" customFormat="1">
      <c r="A1156" s="37" t="s">
        <v>2576</v>
      </c>
      <c r="B1156" s="221" t="s">
        <v>2577</v>
      </c>
      <c r="C1156" s="81">
        <v>45136</v>
      </c>
      <c r="D1156" s="78">
        <v>45221</v>
      </c>
      <c r="E1156" s="41">
        <f>D1156-C1156</f>
        <v>85</v>
      </c>
      <c r="F1156" s="43" t="s">
        <v>0</v>
      </c>
      <c r="G1156" s="81" t="s">
        <v>312</v>
      </c>
      <c r="H1156" s="83" t="s">
        <v>290</v>
      </c>
    </row>
    <row r="1157" spans="1:12" s="87" customFormat="1" ht="15.75" customHeight="1">
      <c r="A1157" s="205" t="s">
        <v>2578</v>
      </c>
      <c r="B1157" s="221" t="s">
        <v>2579</v>
      </c>
      <c r="C1157" s="79">
        <v>44487</v>
      </c>
      <c r="D1157" s="80">
        <v>45225</v>
      </c>
      <c r="E1157" s="41">
        <f>D1157-C1157</f>
        <v>738</v>
      </c>
      <c r="F1157" s="83" t="s">
        <v>144</v>
      </c>
      <c r="G1157" s="81" t="s">
        <v>106</v>
      </c>
      <c r="H1157" s="83" t="s">
        <v>11</v>
      </c>
      <c r="I1157" s="81"/>
      <c r="K1157" s="220" t="s">
        <v>2580</v>
      </c>
    </row>
    <row r="1158" spans="1:12" s="87" customFormat="1" ht="15.75" customHeight="1">
      <c r="A1158" s="37" t="s">
        <v>2581</v>
      </c>
      <c r="B1158" s="221" t="s">
        <v>2582</v>
      </c>
      <c r="C1158" s="39">
        <v>45226</v>
      </c>
      <c r="D1158" s="80">
        <v>45229</v>
      </c>
      <c r="E1158" s="41">
        <f>D1158-C1158</f>
        <v>3</v>
      </c>
      <c r="F1158" s="43" t="s">
        <v>0</v>
      </c>
      <c r="G1158" s="81"/>
      <c r="H1158" s="83" t="s">
        <v>290</v>
      </c>
      <c r="I1158" s="81"/>
    </row>
    <row r="1159" spans="1:12" s="87" customFormat="1" ht="15.75" customHeight="1">
      <c r="A1159" s="87" t="s">
        <v>2583</v>
      </c>
      <c r="B1159" s="221" t="s">
        <v>2584</v>
      </c>
      <c r="C1159" s="79">
        <v>45167</v>
      </c>
      <c r="D1159" s="80">
        <v>45234</v>
      </c>
      <c r="E1159" s="41">
        <f>D1159-C1159</f>
        <v>67</v>
      </c>
      <c r="F1159" s="43" t="s">
        <v>0</v>
      </c>
      <c r="G1159" s="81"/>
      <c r="H1159" s="83" t="s">
        <v>290</v>
      </c>
      <c r="I1159" s="81"/>
    </row>
    <row r="1160" spans="1:12" s="87" customFormat="1" ht="15.75" customHeight="1">
      <c r="A1160" s="205" t="s">
        <v>2499</v>
      </c>
      <c r="B1160" s="221" t="s">
        <v>2500</v>
      </c>
      <c r="C1160" s="79">
        <v>45066</v>
      </c>
      <c r="D1160" s="80">
        <v>45234</v>
      </c>
      <c r="E1160" s="41">
        <f>D1160-C1160</f>
        <v>168</v>
      </c>
      <c r="F1160" s="43" t="s">
        <v>0</v>
      </c>
      <c r="G1160" s="81"/>
      <c r="H1160" s="83" t="s">
        <v>2</v>
      </c>
      <c r="I1160" s="81"/>
    </row>
    <row r="1161" spans="1:12" s="87" customFormat="1" ht="15.75" customHeight="1">
      <c r="A1161" s="87" t="s">
        <v>2321</v>
      </c>
      <c r="B1161" s="221" t="s">
        <v>2321</v>
      </c>
      <c r="C1161" s="79">
        <v>45198</v>
      </c>
      <c r="D1161" s="80">
        <v>45235</v>
      </c>
      <c r="E1161" s="41">
        <f>D1161-C1161</f>
        <v>37</v>
      </c>
      <c r="F1161" s="43" t="s">
        <v>0</v>
      </c>
      <c r="G1161" s="81" t="s">
        <v>2367</v>
      </c>
      <c r="H1161" s="83" t="s">
        <v>11</v>
      </c>
      <c r="I1161" s="81"/>
    </row>
    <row r="1162" spans="1:12" s="87" customFormat="1" ht="15.75" customHeight="1">
      <c r="A1162" s="87" t="s">
        <v>2585</v>
      </c>
      <c r="B1162" s="221" t="s">
        <v>2586</v>
      </c>
      <c r="C1162" s="79">
        <v>45102</v>
      </c>
      <c r="D1162" s="80">
        <v>45241</v>
      </c>
      <c r="E1162" s="41">
        <f>D1162-C1162</f>
        <v>139</v>
      </c>
      <c r="F1162" s="83" t="s">
        <v>196</v>
      </c>
      <c r="G1162" s="81"/>
      <c r="H1162" s="83" t="s">
        <v>290</v>
      </c>
      <c r="I1162" s="81"/>
    </row>
    <row r="1163" spans="1:12" s="87" customFormat="1" ht="15.75" customHeight="1">
      <c r="A1163" s="37" t="s">
        <v>2302</v>
      </c>
      <c r="B1163" s="221" t="s">
        <v>2465</v>
      </c>
      <c r="C1163" s="79">
        <v>45166</v>
      </c>
      <c r="D1163" s="80">
        <v>45241</v>
      </c>
      <c r="E1163" s="41">
        <f>D1163-C1163</f>
        <v>75</v>
      </c>
      <c r="F1163" s="43" t="s">
        <v>0</v>
      </c>
      <c r="G1163" s="81" t="s">
        <v>33</v>
      </c>
      <c r="H1163" s="83" t="s">
        <v>11</v>
      </c>
      <c r="I1163" s="81"/>
    </row>
    <row r="1164" spans="1:12" s="87" customFormat="1">
      <c r="A1164" s="87" t="s">
        <v>2587</v>
      </c>
      <c r="B1164" s="221" t="s">
        <v>2588</v>
      </c>
      <c r="C1164" s="81">
        <v>45018</v>
      </c>
      <c r="D1164" s="78">
        <v>45241</v>
      </c>
      <c r="E1164" s="41">
        <f>D1164-C1164</f>
        <v>223</v>
      </c>
      <c r="F1164" s="48" t="s">
        <v>163</v>
      </c>
      <c r="H1164" s="83" t="s">
        <v>290</v>
      </c>
    </row>
    <row r="1165" spans="1:12" s="87" customFormat="1" ht="15.75" customHeight="1">
      <c r="A1165" s="65" t="s">
        <v>2289</v>
      </c>
      <c r="B1165" s="206" t="s">
        <v>335</v>
      </c>
      <c r="C1165" s="39">
        <v>44962</v>
      </c>
      <c r="D1165" s="80">
        <v>45253</v>
      </c>
      <c r="E1165" s="41">
        <f>D1165-C1165</f>
        <v>291</v>
      </c>
      <c r="F1165" s="207" t="s">
        <v>334</v>
      </c>
      <c r="G1165" s="81" t="s">
        <v>43</v>
      </c>
      <c r="H1165" s="83" t="s">
        <v>11</v>
      </c>
      <c r="I1165" s="81"/>
      <c r="K1165" s="220" t="s">
        <v>2290</v>
      </c>
    </row>
    <row r="1166" spans="1:12" s="205" customFormat="1" ht="15.75" customHeight="1">
      <c r="A1166" s="205" t="s">
        <v>363</v>
      </c>
      <c r="B1166" s="206" t="s">
        <v>364</v>
      </c>
      <c r="C1166" s="79">
        <v>45035</v>
      </c>
      <c r="D1166" s="40">
        <v>45255</v>
      </c>
      <c r="E1166" s="41">
        <f>D1166-C1166</f>
        <v>220</v>
      </c>
      <c r="F1166" s="43" t="s">
        <v>0</v>
      </c>
      <c r="G1166" s="207" t="s">
        <v>43</v>
      </c>
      <c r="H1166" s="41" t="s">
        <v>11</v>
      </c>
      <c r="I1166" s="45" t="s">
        <v>365</v>
      </c>
      <c r="K1166" s="53" t="s">
        <v>366</v>
      </c>
      <c r="L1166" s="205" t="s">
        <v>367</v>
      </c>
    </row>
    <row r="1167" spans="1:12" s="87" customFormat="1" ht="15.75" customHeight="1">
      <c r="A1167" s="65" t="s">
        <v>2589</v>
      </c>
      <c r="B1167" s="206" t="s">
        <v>2589</v>
      </c>
      <c r="C1167" s="79">
        <v>44472</v>
      </c>
      <c r="D1167" s="40">
        <v>45255</v>
      </c>
      <c r="E1167" s="41">
        <f>D1167-C1167</f>
        <v>783</v>
      </c>
      <c r="F1167" s="43" t="s">
        <v>0</v>
      </c>
      <c r="G1167" s="81"/>
      <c r="H1167" s="41" t="s">
        <v>11</v>
      </c>
      <c r="I1167" s="81" t="s">
        <v>21</v>
      </c>
      <c r="K1167" s="220" t="s">
        <v>2590</v>
      </c>
      <c r="L1167" s="37" t="s">
        <v>2591</v>
      </c>
    </row>
    <row r="1168" spans="1:12" s="87" customFormat="1" ht="15.75" customHeight="1">
      <c r="A1168" s="37" t="s">
        <v>2558</v>
      </c>
      <c r="B1168" s="221" t="s">
        <v>2592</v>
      </c>
      <c r="C1168" s="79">
        <v>44868</v>
      </c>
      <c r="D1168" s="80">
        <v>45256</v>
      </c>
      <c r="E1168" s="41">
        <f>D1168-C1168</f>
        <v>388</v>
      </c>
      <c r="F1168" s="43" t="s">
        <v>0</v>
      </c>
      <c r="G1168" s="81"/>
      <c r="H1168" s="83" t="s">
        <v>2</v>
      </c>
      <c r="I1168" s="81"/>
      <c r="L1168" s="37" t="s">
        <v>2593</v>
      </c>
    </row>
    <row r="1169" spans="1:27" s="205" customFormat="1" ht="15.75" customHeight="1">
      <c r="A1169" s="205" t="s">
        <v>2161</v>
      </c>
      <c r="B1169" s="206" t="s">
        <v>2230</v>
      </c>
      <c r="C1169" s="39">
        <v>45185</v>
      </c>
      <c r="D1169" s="40">
        <v>45262</v>
      </c>
      <c r="E1169" s="41">
        <f>D1169-C1169</f>
        <v>77</v>
      </c>
      <c r="F1169" s="43" t="s">
        <v>0</v>
      </c>
      <c r="G1169" s="207"/>
      <c r="H1169" s="43" t="s">
        <v>2</v>
      </c>
      <c r="I1169" s="45" t="s">
        <v>2458</v>
      </c>
    </row>
    <row r="1170" spans="1:27" s="87" customFormat="1" ht="15.75" customHeight="1">
      <c r="A1170" s="87" t="s">
        <v>2059</v>
      </c>
      <c r="B1170" s="221" t="s">
        <v>2060</v>
      </c>
      <c r="C1170" s="79">
        <v>44739</v>
      </c>
      <c r="D1170" s="80">
        <v>45268</v>
      </c>
      <c r="E1170" s="41">
        <f>D1170-C1170</f>
        <v>529</v>
      </c>
      <c r="F1170" s="43" t="s">
        <v>0</v>
      </c>
      <c r="G1170" s="81"/>
      <c r="H1170" s="83" t="s">
        <v>2</v>
      </c>
      <c r="I1170" s="81"/>
    </row>
    <row r="1171" spans="1:27" s="87" customFormat="1" ht="15.75" customHeight="1">
      <c r="A1171" s="87" t="s">
        <v>2594</v>
      </c>
      <c r="B1171" s="221" t="s">
        <v>2594</v>
      </c>
      <c r="C1171" s="79">
        <v>45114</v>
      </c>
      <c r="D1171" s="80">
        <v>45269</v>
      </c>
      <c r="E1171" s="41">
        <f>D1171-C1171</f>
        <v>155</v>
      </c>
      <c r="F1171" s="43" t="s">
        <v>0</v>
      </c>
      <c r="G1171" s="81"/>
      <c r="H1171" s="83" t="s">
        <v>290</v>
      </c>
      <c r="I1171" s="81"/>
      <c r="L1171" s="37" t="s">
        <v>2595</v>
      </c>
    </row>
    <row r="1172" spans="1:27" s="87" customFormat="1" ht="15.75" customHeight="1">
      <c r="A1172" s="37" t="s">
        <v>2596</v>
      </c>
      <c r="B1172" s="221" t="s">
        <v>2597</v>
      </c>
      <c r="C1172" s="79">
        <v>45095</v>
      </c>
      <c r="D1172" s="80">
        <v>45269</v>
      </c>
      <c r="E1172" s="41">
        <f>D1172-C1172</f>
        <v>174</v>
      </c>
      <c r="F1172" s="43" t="s">
        <v>0</v>
      </c>
      <c r="G1172" s="81"/>
      <c r="H1172" s="83" t="s">
        <v>290</v>
      </c>
      <c r="I1172" s="81"/>
    </row>
    <row r="1173" spans="1:27" s="87" customFormat="1" ht="15.75" customHeight="1">
      <c r="A1173" s="205" t="s">
        <v>2598</v>
      </c>
      <c r="B1173" s="221" t="s">
        <v>2599</v>
      </c>
      <c r="C1173" s="39">
        <v>44324</v>
      </c>
      <c r="D1173" s="80">
        <v>45283</v>
      </c>
      <c r="E1173" s="41">
        <f>D1173-C1173</f>
        <v>959</v>
      </c>
      <c r="F1173" s="43" t="s">
        <v>0</v>
      </c>
      <c r="G1173" s="81" t="s">
        <v>956</v>
      </c>
      <c r="H1173" s="83" t="s">
        <v>11</v>
      </c>
      <c r="I1173" s="81"/>
    </row>
    <row r="1174" spans="1:27" s="205" customFormat="1" ht="15" customHeight="1">
      <c r="A1174" s="87" t="s">
        <v>1917</v>
      </c>
      <c r="B1174" s="221" t="s">
        <v>1918</v>
      </c>
      <c r="C1174" s="39">
        <v>45249</v>
      </c>
      <c r="D1174" s="80">
        <v>45283</v>
      </c>
      <c r="E1174" s="41">
        <f>D1174-C1174</f>
        <v>34</v>
      </c>
      <c r="F1174" s="83" t="s">
        <v>196</v>
      </c>
      <c r="G1174" s="207"/>
      <c r="H1174" s="83" t="s">
        <v>290</v>
      </c>
      <c r="I1174" s="207"/>
    </row>
    <row r="1175" spans="1:27" s="87" customFormat="1" ht="15.75" customHeight="1">
      <c r="A1175" s="42" t="s">
        <v>1282</v>
      </c>
      <c r="B1175" s="206" t="s">
        <v>1283</v>
      </c>
      <c r="C1175" s="39">
        <v>44387</v>
      </c>
      <c r="D1175" s="40">
        <v>45291</v>
      </c>
      <c r="E1175" s="41">
        <f>D1175-C1175</f>
        <v>904</v>
      </c>
      <c r="F1175" s="43" t="s">
        <v>0</v>
      </c>
      <c r="G1175" s="45" t="s">
        <v>33</v>
      </c>
      <c r="H1175" s="41" t="s">
        <v>11</v>
      </c>
      <c r="I1175" s="207"/>
      <c r="J1175" s="205"/>
      <c r="K1175" s="53" t="s">
        <v>1285</v>
      </c>
      <c r="L1175" s="205"/>
      <c r="M1175" s="205"/>
      <c r="N1175" s="205"/>
      <c r="O1175" s="205"/>
      <c r="P1175" s="205"/>
      <c r="Q1175" s="205"/>
      <c r="R1175" s="205"/>
      <c r="S1175" s="205"/>
      <c r="T1175" s="205"/>
      <c r="U1175" s="205"/>
      <c r="V1175" s="205"/>
      <c r="W1175" s="205"/>
      <c r="X1175" s="205"/>
      <c r="Y1175" s="205"/>
      <c r="Z1175" s="205"/>
      <c r="AA1175" s="205"/>
    </row>
    <row r="1176" spans="1:27" s="87" customFormat="1" ht="15.75" customHeight="1">
      <c r="A1176" s="87" t="s">
        <v>2600</v>
      </c>
      <c r="B1176" s="221" t="s">
        <v>2601</v>
      </c>
      <c r="C1176" s="79">
        <v>44828</v>
      </c>
      <c r="D1176" s="80">
        <v>45318</v>
      </c>
      <c r="E1176" s="41">
        <f>D1176-C1176</f>
        <v>490</v>
      </c>
      <c r="F1176" s="83" t="s">
        <v>2572</v>
      </c>
      <c r="G1176" s="81"/>
      <c r="H1176" s="83" t="s">
        <v>2</v>
      </c>
      <c r="I1176" s="81"/>
    </row>
    <row r="1177" spans="1:27" s="87" customFormat="1">
      <c r="A1177" s="205" t="s">
        <v>2602</v>
      </c>
      <c r="B1177" s="221" t="s">
        <v>2603</v>
      </c>
      <c r="C1177" s="79">
        <v>43345</v>
      </c>
      <c r="D1177" s="79">
        <v>45319</v>
      </c>
      <c r="E1177" s="41">
        <f>D1177-C1177</f>
        <v>1974</v>
      </c>
      <c r="F1177" s="43" t="s">
        <v>0</v>
      </c>
      <c r="G1177" s="83" t="s">
        <v>487</v>
      </c>
      <c r="H1177" s="81" t="s">
        <v>11</v>
      </c>
      <c r="I1177" s="81" t="s">
        <v>90</v>
      </c>
      <c r="K1177" s="53" t="s">
        <v>2604</v>
      </c>
    </row>
    <row r="1178" spans="1:27" s="87" customFormat="1" ht="15.75" customHeight="1">
      <c r="A1178" s="87" t="s">
        <v>2568</v>
      </c>
      <c r="B1178" s="221" t="s">
        <v>2569</v>
      </c>
      <c r="C1178" s="79">
        <v>45208</v>
      </c>
      <c r="D1178" s="40">
        <v>45320</v>
      </c>
      <c r="E1178" s="41">
        <f>D1178-C1178</f>
        <v>112</v>
      </c>
      <c r="F1178" s="43" t="s">
        <v>0</v>
      </c>
      <c r="G1178" s="81" t="s">
        <v>1089</v>
      </c>
      <c r="H1178" s="83" t="s">
        <v>2</v>
      </c>
      <c r="I1178" s="81"/>
    </row>
    <row r="1179" spans="1:27" s="87" customFormat="1" ht="15.75" customHeight="1">
      <c r="A1179" s="87" t="s">
        <v>2472</v>
      </c>
      <c r="B1179" s="221" t="s">
        <v>2473</v>
      </c>
      <c r="C1179" s="79">
        <v>45265</v>
      </c>
      <c r="D1179" s="40">
        <v>45321</v>
      </c>
      <c r="E1179" s="41">
        <f>D1179-C1179</f>
        <v>56</v>
      </c>
      <c r="F1179" s="43" t="s">
        <v>0</v>
      </c>
      <c r="G1179" s="81"/>
      <c r="H1179" s="83" t="s">
        <v>2</v>
      </c>
      <c r="I1179" s="81"/>
    </row>
    <row r="1180" spans="1:27">
      <c r="A1180" s="37" t="s">
        <v>2605</v>
      </c>
      <c r="B1180" s="221" t="s">
        <v>2606</v>
      </c>
      <c r="C1180" s="79">
        <v>45172</v>
      </c>
      <c r="D1180" s="40">
        <v>45322</v>
      </c>
      <c r="E1180" s="41">
        <f>D1180-C1180</f>
        <v>150</v>
      </c>
      <c r="F1180" s="43" t="s">
        <v>322</v>
      </c>
      <c r="G1180" s="87"/>
      <c r="H1180" s="83" t="s">
        <v>290</v>
      </c>
    </row>
    <row r="1181" spans="1:27" s="87" customFormat="1" ht="15.75" customHeight="1">
      <c r="A1181" s="87" t="s">
        <v>2607</v>
      </c>
      <c r="B1181" s="221" t="s">
        <v>2608</v>
      </c>
      <c r="C1181" s="79">
        <v>45309</v>
      </c>
      <c r="D1181" s="80">
        <v>45323</v>
      </c>
      <c r="E1181" s="41">
        <f>D1181-C1181</f>
        <v>14</v>
      </c>
      <c r="F1181" s="48" t="s">
        <v>245</v>
      </c>
      <c r="G1181" s="81" t="s">
        <v>1</v>
      </c>
      <c r="H1181" s="83" t="s">
        <v>290</v>
      </c>
      <c r="I1181" s="81"/>
    </row>
    <row r="1182" spans="1:27" s="87" customFormat="1" ht="15.75" customHeight="1">
      <c r="A1182" s="87" t="s">
        <v>2609</v>
      </c>
      <c r="B1182" s="221" t="s">
        <v>2610</v>
      </c>
      <c r="C1182" s="79">
        <v>45080</v>
      </c>
      <c r="D1182" s="80">
        <v>45327</v>
      </c>
      <c r="E1182" s="41">
        <f>D1182-C1182</f>
        <v>247</v>
      </c>
      <c r="F1182" s="48" t="s">
        <v>137</v>
      </c>
      <c r="G1182" s="81" t="s">
        <v>2611</v>
      </c>
      <c r="H1182" s="83" t="s">
        <v>290</v>
      </c>
      <c r="I1182" s="81"/>
    </row>
    <row r="1183" spans="1:27" s="87" customFormat="1" ht="15.75" customHeight="1">
      <c r="A1183" s="87" t="s">
        <v>2430</v>
      </c>
      <c r="B1183" s="221" t="s">
        <v>2612</v>
      </c>
      <c r="C1183" s="79">
        <v>45159</v>
      </c>
      <c r="D1183" s="80">
        <v>45338</v>
      </c>
      <c r="E1183" s="41">
        <f>D1183-C1183</f>
        <v>179</v>
      </c>
      <c r="F1183" s="43" t="s">
        <v>0</v>
      </c>
      <c r="G1183" s="81"/>
      <c r="H1183" s="83" t="s">
        <v>11</v>
      </c>
      <c r="I1183" s="81"/>
      <c r="L1183" s="87" t="s">
        <v>2431</v>
      </c>
    </row>
    <row r="1184" spans="1:27" s="87" customFormat="1" ht="15.75" customHeight="1">
      <c r="A1184" s="205" t="s">
        <v>2425</v>
      </c>
      <c r="B1184" s="221" t="s">
        <v>2426</v>
      </c>
      <c r="C1184" s="79">
        <v>45184</v>
      </c>
      <c r="D1184" s="80">
        <v>45339</v>
      </c>
      <c r="E1184" s="41">
        <f>D1184-C1184</f>
        <v>155</v>
      </c>
      <c r="F1184" s="43" t="s">
        <v>0</v>
      </c>
      <c r="G1184" s="81" t="s">
        <v>33</v>
      </c>
      <c r="H1184" s="41" t="s">
        <v>11</v>
      </c>
      <c r="I1184" s="81"/>
      <c r="L1184" s="37" t="s">
        <v>2427</v>
      </c>
    </row>
    <row r="1185" spans="1:13" s="205" customFormat="1" ht="15.75" customHeight="1">
      <c r="A1185" s="42" t="s">
        <v>1635</v>
      </c>
      <c r="B1185" s="206" t="s">
        <v>1636</v>
      </c>
      <c r="C1185" s="39">
        <v>45323</v>
      </c>
      <c r="D1185" s="40">
        <v>45346</v>
      </c>
      <c r="E1185" s="41">
        <f>D1185-C1185</f>
        <v>23</v>
      </c>
      <c r="F1185" s="43" t="s">
        <v>0</v>
      </c>
      <c r="G1185" s="207"/>
      <c r="H1185" s="83" t="s">
        <v>290</v>
      </c>
      <c r="I1185" s="207"/>
    </row>
    <row r="1186" spans="1:13" s="87" customFormat="1" ht="15.75" customHeight="1">
      <c r="A1186" s="37" t="s">
        <v>2613</v>
      </c>
      <c r="B1186" s="221" t="s">
        <v>2614</v>
      </c>
      <c r="C1186" s="79">
        <v>45314</v>
      </c>
      <c r="D1186" s="80">
        <v>45353</v>
      </c>
      <c r="E1186" s="41">
        <f>D1186-C1186</f>
        <v>39</v>
      </c>
      <c r="F1186" s="43" t="s">
        <v>0</v>
      </c>
      <c r="G1186" s="81" t="s">
        <v>70</v>
      </c>
      <c r="H1186" s="83" t="s">
        <v>11</v>
      </c>
      <c r="I1186" s="81" t="s">
        <v>2615</v>
      </c>
    </row>
    <row r="1187" spans="1:13" s="87" customFormat="1" ht="15.75" customHeight="1">
      <c r="A1187" s="42" t="s">
        <v>2616</v>
      </c>
      <c r="B1187" s="206" t="s">
        <v>2616</v>
      </c>
      <c r="C1187" s="79">
        <v>44121</v>
      </c>
      <c r="D1187" s="80">
        <v>45363</v>
      </c>
      <c r="E1187" s="41">
        <f>D1187-C1187</f>
        <v>1242</v>
      </c>
      <c r="F1187" s="43" t="s">
        <v>0</v>
      </c>
      <c r="G1187" s="81" t="s">
        <v>2617</v>
      </c>
      <c r="H1187" s="83" t="s">
        <v>11</v>
      </c>
      <c r="I1187" s="81" t="s">
        <v>1993</v>
      </c>
      <c r="K1187" s="220" t="s">
        <v>2618</v>
      </c>
    </row>
    <row r="1188" spans="1:13" s="87" customFormat="1" ht="15.75" customHeight="1">
      <c r="A1188" s="87" t="s">
        <v>2265</v>
      </c>
      <c r="B1188" s="221" t="s">
        <v>2265</v>
      </c>
      <c r="C1188" s="79">
        <v>45246</v>
      </c>
      <c r="D1188" s="80">
        <v>45367</v>
      </c>
      <c r="E1188" s="41">
        <f>D1188-C1188</f>
        <v>121</v>
      </c>
      <c r="F1188" s="83" t="s">
        <v>205</v>
      </c>
      <c r="G1188" s="81"/>
      <c r="H1188" s="83" t="s">
        <v>11</v>
      </c>
      <c r="I1188" s="81"/>
      <c r="K1188" s="220" t="s">
        <v>2357</v>
      </c>
      <c r="L1188" s="37" t="s">
        <v>2619</v>
      </c>
    </row>
    <row r="1189" spans="1:13" s="87" customFormat="1" ht="15.75" customHeight="1">
      <c r="A1189" s="87" t="s">
        <v>2620</v>
      </c>
      <c r="B1189" s="221" t="s">
        <v>2621</v>
      </c>
      <c r="C1189" s="79">
        <v>45285</v>
      </c>
      <c r="D1189" s="80">
        <v>45367</v>
      </c>
      <c r="E1189" s="41">
        <f>D1189-C1189</f>
        <v>82</v>
      </c>
      <c r="F1189" s="48" t="s">
        <v>258</v>
      </c>
      <c r="G1189" s="81" t="s">
        <v>43</v>
      </c>
      <c r="H1189" s="83" t="s">
        <v>290</v>
      </c>
      <c r="I1189" s="81"/>
    </row>
    <row r="1190" spans="1:13" s="227" customFormat="1">
      <c r="A1190" s="224" t="s">
        <v>2172</v>
      </c>
      <c r="B1190" s="225" t="s">
        <v>2173</v>
      </c>
      <c r="C1190" s="79">
        <v>44997</v>
      </c>
      <c r="D1190" s="80">
        <v>45378</v>
      </c>
      <c r="E1190" s="41">
        <f>D1190-C1190</f>
        <v>381</v>
      </c>
      <c r="F1190" s="226" t="s">
        <v>0</v>
      </c>
      <c r="G1190" s="226" t="s">
        <v>2174</v>
      </c>
      <c r="H1190" s="226" t="s">
        <v>11</v>
      </c>
    </row>
    <row r="1191" spans="1:13" s="227" customFormat="1">
      <c r="A1191" s="224" t="s">
        <v>2622</v>
      </c>
      <c r="B1191" s="225" t="s">
        <v>2623</v>
      </c>
      <c r="C1191" s="79">
        <v>45243</v>
      </c>
      <c r="D1191" s="80">
        <v>45379</v>
      </c>
      <c r="E1191" s="41">
        <f>D1191-C1191</f>
        <v>136</v>
      </c>
      <c r="F1191" s="226" t="s">
        <v>0</v>
      </c>
      <c r="G1191" s="228"/>
      <c r="H1191" s="226" t="s">
        <v>290</v>
      </c>
    </row>
    <row r="1192" spans="1:13" s="87" customFormat="1" ht="15.75" customHeight="1">
      <c r="A1192" s="37" t="s">
        <v>2624</v>
      </c>
      <c r="B1192" s="87" t="s">
        <v>2625</v>
      </c>
      <c r="C1192" s="79">
        <v>45339</v>
      </c>
      <c r="D1192" s="80">
        <v>45395</v>
      </c>
      <c r="E1192" s="41">
        <f>D1192-C1192</f>
        <v>56</v>
      </c>
      <c r="F1192" s="43" t="s">
        <v>0</v>
      </c>
      <c r="G1192" s="81"/>
      <c r="H1192" s="83" t="s">
        <v>2</v>
      </c>
      <c r="I1192" s="81"/>
    </row>
    <row r="1193" spans="1:13" s="205" customFormat="1" ht="15.75" customHeight="1">
      <c r="A1193" s="205" t="s">
        <v>1573</v>
      </c>
      <c r="B1193" s="42" t="s">
        <v>1574</v>
      </c>
      <c r="C1193" s="79">
        <v>45230</v>
      </c>
      <c r="D1193" s="80">
        <v>45395</v>
      </c>
      <c r="E1193" s="41">
        <f>D1193-C1193</f>
        <v>165</v>
      </c>
      <c r="F1193" s="43" t="s">
        <v>0</v>
      </c>
      <c r="G1193" s="81" t="s">
        <v>70</v>
      </c>
      <c r="H1193" s="83" t="s">
        <v>290</v>
      </c>
      <c r="I1193" s="207"/>
      <c r="J1193" s="87"/>
      <c r="K1193" s="220" t="s">
        <v>1575</v>
      </c>
      <c r="L1193" s="87"/>
      <c r="M1193" s="87"/>
    </row>
    <row r="1194" spans="1:13" s="87" customFormat="1" ht="15.75" customHeight="1">
      <c r="A1194" s="87" t="s">
        <v>2351</v>
      </c>
      <c r="B1194" s="87" t="s">
        <v>2626</v>
      </c>
      <c r="C1194" s="79">
        <v>44729</v>
      </c>
      <c r="D1194" s="80">
        <v>45395</v>
      </c>
      <c r="E1194" s="41">
        <f>D1194-C1194</f>
        <v>666</v>
      </c>
      <c r="F1194" s="43" t="s">
        <v>0</v>
      </c>
      <c r="G1194" s="81" t="s">
        <v>33</v>
      </c>
      <c r="H1194" s="83" t="s">
        <v>11</v>
      </c>
      <c r="I1194" s="81"/>
      <c r="J1194" s="87" t="s">
        <v>817</v>
      </c>
      <c r="K1194" s="220" t="s">
        <v>2627</v>
      </c>
      <c r="L1194" s="205" t="s">
        <v>2628</v>
      </c>
    </row>
    <row r="1195" spans="1:13" s="87" customFormat="1" ht="15.75" customHeight="1">
      <c r="A1195" s="37" t="s">
        <v>2596</v>
      </c>
      <c r="B1195" s="221" t="s">
        <v>2597</v>
      </c>
      <c r="C1195" s="79">
        <v>45297</v>
      </c>
      <c r="D1195" s="80">
        <v>45395</v>
      </c>
      <c r="E1195" s="41">
        <f>D1195-C1195</f>
        <v>98</v>
      </c>
      <c r="F1195" s="43" t="s">
        <v>0</v>
      </c>
      <c r="G1195" s="81"/>
      <c r="H1195" s="83" t="s">
        <v>290</v>
      </c>
      <c r="I1195" s="81"/>
    </row>
    <row r="1196" spans="1:13" s="87" customFormat="1" ht="15.75" customHeight="1">
      <c r="A1196" s="205" t="s">
        <v>330</v>
      </c>
      <c r="B1196" s="221" t="s">
        <v>331</v>
      </c>
      <c r="C1196" s="79">
        <v>44954</v>
      </c>
      <c r="D1196" s="40">
        <v>45400</v>
      </c>
      <c r="E1196" s="41">
        <f>D1196-C1196</f>
        <v>446</v>
      </c>
      <c r="F1196" s="43" t="s">
        <v>0</v>
      </c>
      <c r="G1196" s="81" t="s">
        <v>33</v>
      </c>
      <c r="H1196" s="45" t="s">
        <v>11</v>
      </c>
      <c r="I1196" s="81"/>
    </row>
    <row r="1197" spans="1:13" s="87" customFormat="1" ht="15.75" customHeight="1">
      <c r="A1197" s="37" t="s">
        <v>2629</v>
      </c>
      <c r="B1197" s="221" t="s">
        <v>2630</v>
      </c>
      <c r="C1197" s="79">
        <v>45149</v>
      </c>
      <c r="D1197" s="40">
        <v>45401</v>
      </c>
      <c r="E1197" s="41">
        <f>D1197-C1197</f>
        <v>252</v>
      </c>
      <c r="F1197" s="43" t="s">
        <v>0</v>
      </c>
      <c r="G1197" s="81"/>
      <c r="H1197" s="83" t="s">
        <v>290</v>
      </c>
      <c r="I1197" s="81"/>
    </row>
    <row r="1198" spans="1:13" s="87" customFormat="1" ht="15.75" customHeight="1">
      <c r="A1198" s="37" t="s">
        <v>2528</v>
      </c>
      <c r="B1198" s="221" t="s">
        <v>2529</v>
      </c>
      <c r="C1198" s="79">
        <v>45140</v>
      </c>
      <c r="D1198" s="40">
        <v>45401</v>
      </c>
      <c r="E1198" s="41">
        <f>D1198-C1198</f>
        <v>261</v>
      </c>
      <c r="F1198" s="43" t="s">
        <v>0</v>
      </c>
      <c r="G1198" s="81" t="s">
        <v>33</v>
      </c>
      <c r="H1198" s="83" t="s">
        <v>11</v>
      </c>
      <c r="I1198" s="81"/>
      <c r="J1198" s="87" t="s">
        <v>817</v>
      </c>
    </row>
    <row r="1199" spans="1:13" s="205" customFormat="1" ht="15.75" customHeight="1">
      <c r="A1199" s="42" t="s">
        <v>2109</v>
      </c>
      <c r="B1199" s="206" t="s">
        <v>2110</v>
      </c>
      <c r="C1199" s="79">
        <v>45295</v>
      </c>
      <c r="D1199" s="80">
        <v>45403</v>
      </c>
      <c r="E1199" s="41">
        <f>D1199-C1199</f>
        <v>108</v>
      </c>
      <c r="F1199" s="43" t="s">
        <v>0</v>
      </c>
      <c r="G1199" s="207"/>
      <c r="H1199" s="83" t="s">
        <v>2</v>
      </c>
      <c r="I1199" s="207"/>
      <c r="K1199" s="220" t="s">
        <v>2111</v>
      </c>
    </row>
    <row r="1200" spans="1:13" s="87" customFormat="1" ht="15.75" customHeight="1">
      <c r="A1200" s="87" t="s">
        <v>2321</v>
      </c>
      <c r="B1200" s="221" t="s">
        <v>2321</v>
      </c>
      <c r="C1200" s="79">
        <v>45313</v>
      </c>
      <c r="D1200" s="80">
        <v>45406</v>
      </c>
      <c r="E1200" s="41">
        <f>D1200-C1200</f>
        <v>93</v>
      </c>
      <c r="F1200" s="43" t="s">
        <v>0</v>
      </c>
      <c r="G1200" s="81"/>
      <c r="H1200" s="83" t="s">
        <v>11</v>
      </c>
      <c r="I1200" s="81"/>
    </row>
    <row r="1201" spans="1:27" s="205" customFormat="1" ht="15.75" customHeight="1">
      <c r="A1201" s="205" t="s">
        <v>359</v>
      </c>
      <c r="B1201" s="206" t="s">
        <v>360</v>
      </c>
      <c r="C1201" s="39">
        <v>45391</v>
      </c>
      <c r="D1201" s="39">
        <v>45414</v>
      </c>
      <c r="E1201" s="41">
        <f>D1201-C1201</f>
        <v>23</v>
      </c>
      <c r="F1201" s="43" t="s">
        <v>0</v>
      </c>
      <c r="G1201" s="45" t="s">
        <v>995</v>
      </c>
      <c r="H1201" s="207" t="s">
        <v>290</v>
      </c>
      <c r="I1201" s="207"/>
      <c r="K1201" s="220" t="s">
        <v>362</v>
      </c>
    </row>
    <row r="1202" spans="1:27" s="87" customFormat="1" ht="15.75" customHeight="1">
      <c r="A1202" s="87" t="s">
        <v>2552</v>
      </c>
      <c r="B1202" s="221" t="s">
        <v>2553</v>
      </c>
      <c r="C1202" s="79">
        <v>45304</v>
      </c>
      <c r="D1202" s="80">
        <v>45416</v>
      </c>
      <c r="E1202" s="41">
        <f>D1202-C1202</f>
        <v>112</v>
      </c>
      <c r="F1202" s="83" t="s">
        <v>196</v>
      </c>
      <c r="G1202" s="81"/>
      <c r="H1202" s="83" t="s">
        <v>290</v>
      </c>
      <c r="I1202" s="81" t="s">
        <v>21</v>
      </c>
    </row>
    <row r="1203" spans="1:27" s="205" customFormat="1" ht="15.75" customHeight="1">
      <c r="A1203" s="205" t="s">
        <v>1642</v>
      </c>
      <c r="B1203" s="239" t="s">
        <v>2631</v>
      </c>
      <c r="C1203" s="79">
        <v>44489</v>
      </c>
      <c r="D1203" s="80">
        <v>45416</v>
      </c>
      <c r="E1203" s="41">
        <f>D1203-C1203</f>
        <v>927</v>
      </c>
      <c r="F1203" s="43" t="s">
        <v>0</v>
      </c>
      <c r="G1203" s="207"/>
      <c r="H1203" s="41" t="s">
        <v>11</v>
      </c>
      <c r="I1203" s="207"/>
      <c r="L1203" s="42" t="s">
        <v>1643</v>
      </c>
    </row>
    <row r="1204" spans="1:27" s="205" customFormat="1" ht="15.75" customHeight="1">
      <c r="A1204" s="87" t="s">
        <v>2253</v>
      </c>
      <c r="B1204" s="221" t="s">
        <v>2254</v>
      </c>
      <c r="C1204" s="39">
        <v>45222</v>
      </c>
      <c r="D1204" s="80">
        <v>45423</v>
      </c>
      <c r="E1204" s="41">
        <f>D1204-C1204</f>
        <v>201</v>
      </c>
      <c r="F1204" s="43" t="s">
        <v>0</v>
      </c>
      <c r="G1204" s="81" t="s">
        <v>70</v>
      </c>
      <c r="H1204" s="83" t="s">
        <v>11</v>
      </c>
      <c r="I1204" s="207"/>
      <c r="M1204" s="205" t="s">
        <v>2632</v>
      </c>
    </row>
    <row r="1205" spans="1:27" s="205" customFormat="1" ht="15.75" customHeight="1">
      <c r="A1205" s="205" t="s">
        <v>1374</v>
      </c>
      <c r="B1205" s="206" t="s">
        <v>2633</v>
      </c>
      <c r="C1205" s="39">
        <v>44758</v>
      </c>
      <c r="D1205" s="80">
        <v>45431</v>
      </c>
      <c r="E1205" s="41">
        <f>D1205-C1205</f>
        <v>673</v>
      </c>
      <c r="F1205" s="43" t="s">
        <v>0</v>
      </c>
      <c r="G1205" s="45" t="s">
        <v>995</v>
      </c>
      <c r="H1205" s="41" t="s">
        <v>11</v>
      </c>
      <c r="I1205" s="207"/>
      <c r="K1205" s="220" t="s">
        <v>2244</v>
      </c>
      <c r="L1205" s="42" t="s">
        <v>1690</v>
      </c>
    </row>
    <row r="1206" spans="1:27" s="87" customFormat="1" ht="15.75" customHeight="1">
      <c r="A1206" s="42" t="s">
        <v>970</v>
      </c>
      <c r="B1206" s="206" t="s">
        <v>971</v>
      </c>
      <c r="C1206" s="39">
        <v>45089</v>
      </c>
      <c r="D1206" s="39">
        <v>45434</v>
      </c>
      <c r="E1206" s="41">
        <f>D1206-C1206</f>
        <v>345</v>
      </c>
      <c r="F1206" s="43" t="s">
        <v>0</v>
      </c>
      <c r="G1206" s="45"/>
      <c r="H1206" s="45" t="s">
        <v>11</v>
      </c>
      <c r="I1206" s="54"/>
      <c r="J1206" s="205"/>
      <c r="K1206" s="205"/>
      <c r="L1206" s="205"/>
      <c r="M1206" s="205"/>
      <c r="N1206" s="205"/>
      <c r="O1206" s="205"/>
      <c r="P1206" s="205"/>
      <c r="Q1206" s="205"/>
      <c r="R1206" s="205"/>
      <c r="S1206" s="205"/>
      <c r="T1206" s="205"/>
      <c r="U1206" s="205"/>
      <c r="V1206" s="205"/>
      <c r="W1206" s="205"/>
      <c r="X1206" s="205"/>
      <c r="Y1206" s="205"/>
      <c r="Z1206" s="205"/>
      <c r="AA1206" s="205"/>
    </row>
    <row r="1207" spans="1:27" s="87" customFormat="1" ht="15.75" customHeight="1">
      <c r="A1207" s="87" t="s">
        <v>2525</v>
      </c>
      <c r="B1207" s="221" t="s">
        <v>2526</v>
      </c>
      <c r="C1207" s="79">
        <v>45167</v>
      </c>
      <c r="D1207" s="40">
        <v>45439</v>
      </c>
      <c r="E1207" s="41">
        <f>D1207-C1207</f>
        <v>272</v>
      </c>
      <c r="F1207" s="43" t="s">
        <v>0</v>
      </c>
      <c r="G1207" s="81"/>
      <c r="H1207" s="45" t="s">
        <v>11</v>
      </c>
      <c r="I1207" s="81"/>
    </row>
    <row r="1208" spans="1:27" s="87" customFormat="1" ht="15.75" customHeight="1">
      <c r="A1208" s="205" t="s">
        <v>2353</v>
      </c>
      <c r="B1208" s="221" t="s">
        <v>2354</v>
      </c>
      <c r="C1208" s="79">
        <v>44929</v>
      </c>
      <c r="D1208" s="40">
        <v>45440</v>
      </c>
      <c r="E1208" s="41">
        <f>D1208-C1208</f>
        <v>511</v>
      </c>
      <c r="F1208" s="43" t="s">
        <v>0</v>
      </c>
      <c r="G1208" s="81" t="s">
        <v>1</v>
      </c>
      <c r="H1208" s="83" t="s">
        <v>2</v>
      </c>
      <c r="I1208" s="81"/>
      <c r="K1208" s="220" t="s">
        <v>2355</v>
      </c>
      <c r="L1208" s="87" t="s">
        <v>2356</v>
      </c>
    </row>
    <row r="1209" spans="1:27" s="87" customFormat="1" ht="15.75" customHeight="1">
      <c r="A1209" s="87" t="s">
        <v>2546</v>
      </c>
      <c r="B1209" s="221" t="s">
        <v>2547</v>
      </c>
      <c r="C1209" s="79">
        <v>45158</v>
      </c>
      <c r="D1209" s="80">
        <v>45444</v>
      </c>
      <c r="E1209" s="41">
        <f>D1209-C1209</f>
        <v>286</v>
      </c>
      <c r="F1209" s="43" t="s">
        <v>0</v>
      </c>
      <c r="G1209" s="81" t="s">
        <v>33</v>
      </c>
      <c r="H1209" s="83" t="s">
        <v>2</v>
      </c>
      <c r="I1209" s="81" t="s">
        <v>1987</v>
      </c>
      <c r="K1209" s="220" t="s">
        <v>2548</v>
      </c>
      <c r="L1209" s="87" t="s">
        <v>2549</v>
      </c>
    </row>
    <row r="1210" spans="1:27" s="87" customFormat="1" ht="15.75" customHeight="1">
      <c r="A1210" s="87" t="s">
        <v>2383</v>
      </c>
      <c r="B1210" s="221" t="s">
        <v>2384</v>
      </c>
      <c r="C1210" s="79">
        <v>45201</v>
      </c>
      <c r="D1210" s="80">
        <v>45448</v>
      </c>
      <c r="E1210" s="41">
        <f>D1210-C1210</f>
        <v>247</v>
      </c>
      <c r="F1210" s="43" t="s">
        <v>0</v>
      </c>
      <c r="G1210" s="81" t="s">
        <v>1</v>
      </c>
      <c r="H1210" s="83" t="s">
        <v>11</v>
      </c>
      <c r="I1210" s="81"/>
    </row>
    <row r="1211" spans="1:27" s="87" customFormat="1" ht="15.75" customHeight="1">
      <c r="A1211" s="37" t="s">
        <v>2634</v>
      </c>
      <c r="B1211" s="221" t="s">
        <v>2635</v>
      </c>
      <c r="C1211" s="79">
        <v>45247</v>
      </c>
      <c r="D1211" s="80">
        <v>45448</v>
      </c>
      <c r="E1211" s="41">
        <f>D1211-C1211</f>
        <v>201</v>
      </c>
      <c r="F1211" s="43" t="s">
        <v>0</v>
      </c>
      <c r="G1211" s="81"/>
      <c r="H1211" s="83" t="s">
        <v>290</v>
      </c>
      <c r="I1211" s="81" t="s">
        <v>2636</v>
      </c>
    </row>
    <row r="1212" spans="1:27" s="87" customFormat="1" ht="15.75" customHeight="1">
      <c r="A1212" s="37" t="s">
        <v>2558</v>
      </c>
      <c r="B1212" s="221" t="s">
        <v>2637</v>
      </c>
      <c r="C1212" s="79">
        <v>45419</v>
      </c>
      <c r="D1212" s="80">
        <v>45457</v>
      </c>
      <c r="E1212" s="41">
        <f>D1212-C1212</f>
        <v>38</v>
      </c>
      <c r="F1212" s="43" t="s">
        <v>0</v>
      </c>
      <c r="G1212" s="81"/>
      <c r="H1212" s="83" t="s">
        <v>2</v>
      </c>
      <c r="I1212" s="81"/>
      <c r="L1212" s="87" t="s">
        <v>2593</v>
      </c>
    </row>
    <row r="1213" spans="1:27" s="87" customFormat="1" ht="15.75" customHeight="1">
      <c r="A1213" s="205" t="s">
        <v>2029</v>
      </c>
      <c r="B1213" s="221" t="s">
        <v>2030</v>
      </c>
      <c r="C1213" s="79">
        <v>45051</v>
      </c>
      <c r="D1213" s="80">
        <v>45458</v>
      </c>
      <c r="E1213" s="41">
        <f>D1213-C1213</f>
        <v>407</v>
      </c>
      <c r="F1213" s="43" t="s">
        <v>0</v>
      </c>
      <c r="G1213" s="81" t="s">
        <v>2638</v>
      </c>
      <c r="H1213" s="83" t="s">
        <v>2</v>
      </c>
      <c r="I1213" s="81" t="s">
        <v>21</v>
      </c>
      <c r="K1213" s="220" t="s">
        <v>2031</v>
      </c>
      <c r="L1213" s="205" t="s">
        <v>2029</v>
      </c>
    </row>
    <row r="1214" spans="1:27" s="87" customFormat="1" ht="15.75" customHeight="1">
      <c r="A1214" s="87" t="s">
        <v>2639</v>
      </c>
      <c r="B1214" s="221" t="s">
        <v>2640</v>
      </c>
      <c r="C1214" s="79">
        <v>45456</v>
      </c>
      <c r="D1214" s="80">
        <v>45458</v>
      </c>
      <c r="E1214" s="41">
        <f>D1214-C1214</f>
        <v>2</v>
      </c>
      <c r="F1214" s="43" t="s">
        <v>0</v>
      </c>
      <c r="G1214" s="81"/>
      <c r="H1214" s="83" t="s">
        <v>290</v>
      </c>
      <c r="I1214" s="81"/>
    </row>
    <row r="1215" spans="1:27" s="87" customFormat="1" ht="15.75" customHeight="1">
      <c r="A1215" s="87" t="s">
        <v>2641</v>
      </c>
      <c r="B1215" s="221" t="s">
        <v>2642</v>
      </c>
      <c r="C1215" s="79">
        <v>45445</v>
      </c>
      <c r="D1215" s="80">
        <v>45461</v>
      </c>
      <c r="E1215" s="41">
        <f>D1215-C1215</f>
        <v>16</v>
      </c>
      <c r="F1215" s="83" t="s">
        <v>2643</v>
      </c>
      <c r="G1215" s="81"/>
      <c r="H1215" s="83" t="s">
        <v>290</v>
      </c>
      <c r="I1215" s="81"/>
    </row>
    <row r="1216" spans="1:27" s="87" customFormat="1" ht="15.75" customHeight="1">
      <c r="A1216" s="42" t="s">
        <v>668</v>
      </c>
      <c r="B1216" s="206" t="s">
        <v>669</v>
      </c>
      <c r="C1216" s="39">
        <v>45312</v>
      </c>
      <c r="D1216" s="80">
        <v>45461</v>
      </c>
      <c r="E1216" s="41">
        <f>D1216-C1216</f>
        <v>149</v>
      </c>
      <c r="F1216" s="43" t="s">
        <v>0</v>
      </c>
      <c r="G1216" s="207"/>
      <c r="H1216" s="83" t="s">
        <v>2</v>
      </c>
      <c r="I1216" s="207"/>
      <c r="J1216" s="205"/>
      <c r="K1216" s="220" t="s">
        <v>2344</v>
      </c>
      <c r="L1216" s="205"/>
      <c r="M1216" s="205"/>
    </row>
    <row r="1217" spans="1:28" s="205" customFormat="1" ht="15.75" customHeight="1">
      <c r="A1217" s="87" t="s">
        <v>1982</v>
      </c>
      <c r="B1217" s="221" t="s">
        <v>1983</v>
      </c>
      <c r="C1217" s="79">
        <v>45314</v>
      </c>
      <c r="D1217" s="80">
        <v>45463</v>
      </c>
      <c r="E1217" s="41">
        <f>D1217-C1217</f>
        <v>149</v>
      </c>
      <c r="F1217" s="43" t="s">
        <v>0</v>
      </c>
      <c r="G1217" s="81" t="s">
        <v>1</v>
      </c>
      <c r="H1217" s="83" t="s">
        <v>11</v>
      </c>
      <c r="I1217" s="207"/>
      <c r="K1217" s="220" t="s">
        <v>1984</v>
      </c>
    </row>
    <row r="1218" spans="1:28" s="87" customFormat="1" ht="15.75" customHeight="1">
      <c r="A1218" s="87" t="s">
        <v>2461</v>
      </c>
      <c r="B1218" s="221" t="s">
        <v>2644</v>
      </c>
      <c r="C1218" s="39">
        <v>44601</v>
      </c>
      <c r="D1218" s="80">
        <v>45464</v>
      </c>
      <c r="E1218" s="41">
        <f>D1218-C1218</f>
        <v>863</v>
      </c>
      <c r="F1218" s="83" t="s">
        <v>13</v>
      </c>
      <c r="G1218" s="81" t="s">
        <v>1</v>
      </c>
      <c r="H1218" s="45" t="s">
        <v>11</v>
      </c>
      <c r="I1218" s="81" t="s">
        <v>3</v>
      </c>
      <c r="L1218" s="87" t="s">
        <v>2461</v>
      </c>
    </row>
    <row r="1219" spans="1:28" s="205" customFormat="1" ht="15.75" customHeight="1">
      <c r="A1219" s="87" t="s">
        <v>2253</v>
      </c>
      <c r="B1219" s="221" t="s">
        <v>2254</v>
      </c>
      <c r="C1219" s="39">
        <v>45428</v>
      </c>
      <c r="D1219" s="80">
        <v>45465</v>
      </c>
      <c r="E1219" s="41">
        <f>D1219-C1219</f>
        <v>37</v>
      </c>
      <c r="F1219" s="43" t="s">
        <v>0</v>
      </c>
      <c r="G1219" s="81" t="s">
        <v>70</v>
      </c>
      <c r="H1219" s="83" t="s">
        <v>11</v>
      </c>
      <c r="I1219" s="207"/>
      <c r="M1219" s="205" t="s">
        <v>2632</v>
      </c>
    </row>
    <row r="1220" spans="1:28" s="87" customFormat="1" ht="15" customHeight="1">
      <c r="A1220" s="87" t="s">
        <v>2645</v>
      </c>
      <c r="B1220" s="221" t="s">
        <v>2646</v>
      </c>
      <c r="C1220" s="79">
        <v>45363</v>
      </c>
      <c r="D1220" s="80">
        <v>45472</v>
      </c>
      <c r="E1220" s="41">
        <f>D1220-C1220</f>
        <v>109</v>
      </c>
      <c r="F1220" s="43" t="s">
        <v>0</v>
      </c>
      <c r="G1220" s="81"/>
      <c r="H1220" s="83" t="s">
        <v>290</v>
      </c>
      <c r="I1220" s="81"/>
    </row>
    <row r="1221" spans="1:28" s="205" customFormat="1" ht="15.75" customHeight="1">
      <c r="A1221" s="205" t="s">
        <v>2161</v>
      </c>
      <c r="B1221" s="206" t="s">
        <v>2230</v>
      </c>
      <c r="C1221" s="39">
        <v>45360</v>
      </c>
      <c r="D1221" s="80">
        <v>45472</v>
      </c>
      <c r="E1221" s="41">
        <f>D1221-C1221</f>
        <v>112</v>
      </c>
      <c r="F1221" s="43" t="s">
        <v>0</v>
      </c>
      <c r="G1221" s="81" t="s">
        <v>70</v>
      </c>
      <c r="H1221" s="43" t="s">
        <v>2</v>
      </c>
      <c r="I1221" s="45" t="s">
        <v>2458</v>
      </c>
      <c r="J1221" s="87" t="s">
        <v>817</v>
      </c>
      <c r="M1221" s="205" t="s">
        <v>2647</v>
      </c>
    </row>
    <row r="1222" spans="1:28" s="87" customFormat="1" ht="15.75" customHeight="1">
      <c r="A1222" s="87" t="s">
        <v>2299</v>
      </c>
      <c r="B1222" s="221" t="s">
        <v>2299</v>
      </c>
      <c r="C1222" s="79">
        <v>44603</v>
      </c>
      <c r="D1222" s="80">
        <v>45472</v>
      </c>
      <c r="E1222" s="41">
        <f>D1222-C1222</f>
        <v>869</v>
      </c>
      <c r="F1222" s="83" t="s">
        <v>2461</v>
      </c>
      <c r="G1222" s="81" t="s">
        <v>1</v>
      </c>
      <c r="H1222" s="83" t="s">
        <v>2</v>
      </c>
    </row>
    <row r="1223" spans="1:28" s="87" customFormat="1" ht="15.75" customHeight="1">
      <c r="A1223" s="87" t="s">
        <v>2648</v>
      </c>
      <c r="B1223" s="221" t="s">
        <v>2649</v>
      </c>
      <c r="C1223" s="79">
        <v>45454</v>
      </c>
      <c r="D1223" s="80">
        <v>45479</v>
      </c>
      <c r="E1223" s="41">
        <f>D1223-C1223</f>
        <v>25</v>
      </c>
      <c r="F1223" s="207" t="s">
        <v>2029</v>
      </c>
      <c r="G1223" s="81"/>
      <c r="H1223" s="83" t="s">
        <v>290</v>
      </c>
      <c r="I1223" s="81"/>
      <c r="M1223" s="87" t="s">
        <v>2650</v>
      </c>
    </row>
    <row r="1224" spans="1:28" s="87" customFormat="1">
      <c r="A1224" s="87" t="s">
        <v>2651</v>
      </c>
      <c r="B1224" s="221" t="s">
        <v>2652</v>
      </c>
      <c r="C1224" s="79">
        <v>45468</v>
      </c>
      <c r="D1224" s="80">
        <v>45483</v>
      </c>
      <c r="E1224" s="41">
        <f>D1224-C1224</f>
        <v>15</v>
      </c>
      <c r="F1224" s="43" t="s">
        <v>0</v>
      </c>
      <c r="G1224" s="81"/>
      <c r="H1224" s="83" t="s">
        <v>290</v>
      </c>
      <c r="I1224" s="81"/>
    </row>
    <row r="1225" spans="1:28" s="87" customFormat="1">
      <c r="A1225" s="87" t="s">
        <v>2653</v>
      </c>
      <c r="B1225" s="221" t="s">
        <v>2654</v>
      </c>
      <c r="C1225" s="79">
        <v>45152</v>
      </c>
      <c r="D1225" s="80">
        <v>45486</v>
      </c>
      <c r="E1225" s="41">
        <f>D1225-C1225</f>
        <v>334</v>
      </c>
      <c r="F1225" s="43" t="s">
        <v>0</v>
      </c>
      <c r="G1225" s="81" t="s">
        <v>70</v>
      </c>
      <c r="H1225" s="83" t="s">
        <v>290</v>
      </c>
      <c r="I1225" s="81"/>
      <c r="L1225" s="87" t="s">
        <v>2655</v>
      </c>
    </row>
    <row r="1226" spans="1:28" s="87" customFormat="1">
      <c r="A1226" s="87" t="s">
        <v>2333</v>
      </c>
      <c r="B1226" s="221" t="s">
        <v>2334</v>
      </c>
      <c r="C1226" s="79">
        <v>44985</v>
      </c>
      <c r="D1226" s="80">
        <v>45491</v>
      </c>
      <c r="E1226" s="41">
        <f>D1226-C1226</f>
        <v>506</v>
      </c>
      <c r="F1226" s="43" t="s">
        <v>0</v>
      </c>
      <c r="G1226" s="81"/>
      <c r="H1226" s="83" t="s">
        <v>11</v>
      </c>
      <c r="I1226" s="83"/>
      <c r="J1226" s="81"/>
    </row>
    <row r="1227" spans="1:28" s="87" customFormat="1">
      <c r="A1227" s="91" t="s">
        <v>1282</v>
      </c>
      <c r="B1227" s="223" t="s">
        <v>1283</v>
      </c>
      <c r="C1227" s="79">
        <v>45379</v>
      </c>
      <c r="D1227" s="80">
        <v>45495</v>
      </c>
      <c r="E1227" s="41">
        <f>D1227-C1227</f>
        <v>116</v>
      </c>
      <c r="F1227" s="78" t="s">
        <v>0</v>
      </c>
      <c r="G1227" s="45" t="s">
        <v>43</v>
      </c>
      <c r="H1227" s="78" t="s">
        <v>11</v>
      </c>
      <c r="J1227" s="87" t="s">
        <v>2656</v>
      </c>
      <c r="K1227" s="87" t="s">
        <v>2656</v>
      </c>
      <c r="L1227" s="91" t="s">
        <v>1285</v>
      </c>
      <c r="M1227" s="78" t="s">
        <v>2657</v>
      </c>
    </row>
    <row r="1228" spans="1:28" s="87" customFormat="1">
      <c r="A1228" s="87" t="s">
        <v>2594</v>
      </c>
      <c r="B1228" s="221" t="s">
        <v>2594</v>
      </c>
      <c r="C1228" s="79">
        <v>45363</v>
      </c>
      <c r="D1228" s="80">
        <v>45499</v>
      </c>
      <c r="E1228" s="41">
        <f>D1228-C1228</f>
        <v>136</v>
      </c>
      <c r="F1228" s="43" t="s">
        <v>0</v>
      </c>
      <c r="G1228" s="81"/>
      <c r="H1228" s="83" t="s">
        <v>290</v>
      </c>
      <c r="I1228" s="83"/>
      <c r="J1228" s="81"/>
    </row>
    <row r="1229" spans="1:28" s="87" customFormat="1">
      <c r="A1229" s="87" t="s">
        <v>2059</v>
      </c>
      <c r="B1229" s="221" t="s">
        <v>2060</v>
      </c>
      <c r="C1229" s="79">
        <v>45405</v>
      </c>
      <c r="D1229" s="80">
        <v>45500</v>
      </c>
      <c r="E1229" s="41">
        <f>D1229-C1229</f>
        <v>95</v>
      </c>
      <c r="F1229" s="43" t="s">
        <v>0</v>
      </c>
      <c r="G1229" s="81" t="s">
        <v>720</v>
      </c>
      <c r="H1229" s="83" t="s">
        <v>2</v>
      </c>
      <c r="I1229" s="83"/>
      <c r="J1229" s="81"/>
    </row>
    <row r="1230" spans="1:28" s="87" customFormat="1">
      <c r="A1230" s="42" t="s">
        <v>506</v>
      </c>
      <c r="B1230" s="206" t="s">
        <v>507</v>
      </c>
      <c r="C1230" s="39">
        <v>45226</v>
      </c>
      <c r="D1230" s="39">
        <v>45506</v>
      </c>
      <c r="E1230" s="41">
        <f>D1230-C1230</f>
        <v>280</v>
      </c>
      <c r="F1230" s="43" t="s">
        <v>0</v>
      </c>
      <c r="G1230" s="45" t="s">
        <v>43</v>
      </c>
      <c r="H1230" s="83" t="s">
        <v>2</v>
      </c>
      <c r="I1230" s="83"/>
      <c r="J1230" s="207"/>
      <c r="K1230" s="205"/>
      <c r="L1230" s="53" t="s">
        <v>1588</v>
      </c>
      <c r="M1230" s="87" t="s">
        <v>509</v>
      </c>
      <c r="N1230" s="205"/>
      <c r="O1230" s="205"/>
      <c r="P1230" s="205"/>
      <c r="Q1230" s="205"/>
      <c r="R1230" s="205"/>
      <c r="S1230" s="205"/>
      <c r="T1230" s="205"/>
      <c r="U1230" s="205"/>
      <c r="V1230" s="205"/>
      <c r="W1230" s="205"/>
      <c r="X1230" s="205"/>
      <c r="Y1230" s="205"/>
      <c r="Z1230" s="205"/>
      <c r="AA1230" s="205"/>
      <c r="AB1230" s="205"/>
    </row>
    <row r="1231" spans="1:28" s="87" customFormat="1">
      <c r="A1231" s="37" t="s">
        <v>2658</v>
      </c>
      <c r="B1231" s="221" t="s">
        <v>2659</v>
      </c>
      <c r="C1231" s="79">
        <v>44797</v>
      </c>
      <c r="D1231" s="39">
        <v>45506</v>
      </c>
      <c r="E1231" s="41">
        <f>D1231-C1231</f>
        <v>709</v>
      </c>
      <c r="F1231" s="43" t="s">
        <v>0</v>
      </c>
      <c r="G1231" s="81"/>
      <c r="H1231" s="83" t="s">
        <v>2</v>
      </c>
      <c r="I1231" s="83" t="s">
        <v>3</v>
      </c>
      <c r="J1231" s="81"/>
    </row>
    <row r="1232" spans="1:28" s="87" customFormat="1">
      <c r="A1232" s="205" t="s">
        <v>1374</v>
      </c>
      <c r="B1232" s="206" t="s">
        <v>2633</v>
      </c>
      <c r="C1232" s="39">
        <v>45486</v>
      </c>
      <c r="D1232" s="80">
        <v>45507</v>
      </c>
      <c r="E1232" s="41">
        <f>D1232-C1232</f>
        <v>21</v>
      </c>
      <c r="F1232" s="43" t="s">
        <v>0</v>
      </c>
      <c r="G1232" s="45" t="s">
        <v>995</v>
      </c>
      <c r="H1232" s="41" t="s">
        <v>11</v>
      </c>
      <c r="I1232" s="207"/>
      <c r="J1232" s="205"/>
      <c r="K1232" s="220" t="s">
        <v>2244</v>
      </c>
      <c r="L1232" s="42" t="s">
        <v>1690</v>
      </c>
      <c r="M1232" s="205"/>
      <c r="N1232" s="205"/>
      <c r="O1232" s="205"/>
      <c r="P1232" s="205"/>
      <c r="Q1232" s="205"/>
      <c r="R1232" s="205"/>
      <c r="S1232" s="205"/>
      <c r="T1232" s="205"/>
      <c r="U1232" s="205"/>
      <c r="V1232" s="205"/>
      <c r="W1232" s="205"/>
      <c r="X1232" s="205"/>
      <c r="Y1232" s="205"/>
      <c r="Z1232" s="205"/>
      <c r="AA1232" s="205"/>
    </row>
    <row r="1233" spans="1:28" s="87" customFormat="1">
      <c r="A1233" s="65" t="s">
        <v>2660</v>
      </c>
      <c r="B1233" s="206" t="s">
        <v>2661</v>
      </c>
      <c r="C1233" s="79">
        <v>44332</v>
      </c>
      <c r="D1233" s="80">
        <v>45514</v>
      </c>
      <c r="E1233" s="41">
        <f>D1233-C1233</f>
        <v>1182</v>
      </c>
      <c r="F1233" s="43" t="s">
        <v>0</v>
      </c>
      <c r="G1233" s="81" t="s">
        <v>1</v>
      </c>
      <c r="H1233" s="83" t="s">
        <v>2</v>
      </c>
      <c r="I1233" s="83"/>
      <c r="J1233" s="81" t="s">
        <v>146</v>
      </c>
      <c r="L1233" s="220" t="s">
        <v>2662</v>
      </c>
    </row>
    <row r="1234" spans="1:28" s="87" customFormat="1">
      <c r="A1234" s="205" t="s">
        <v>334</v>
      </c>
      <c r="B1234" s="206" t="s">
        <v>338</v>
      </c>
      <c r="C1234" s="79">
        <v>44121</v>
      </c>
      <c r="D1234" s="80">
        <v>45514</v>
      </c>
      <c r="E1234" s="41">
        <f>D1234-C1234</f>
        <v>1393</v>
      </c>
      <c r="F1234" s="43" t="s">
        <v>0</v>
      </c>
      <c r="G1234" s="81" t="s">
        <v>336</v>
      </c>
      <c r="H1234" s="83" t="s">
        <v>11</v>
      </c>
      <c r="I1234" s="83"/>
      <c r="J1234" s="81"/>
      <c r="L1234" s="220" t="s">
        <v>337</v>
      </c>
    </row>
    <row r="1235" spans="1:28" s="87" customFormat="1">
      <c r="A1235" s="42" t="s">
        <v>1345</v>
      </c>
      <c r="B1235" s="209" t="s">
        <v>1346</v>
      </c>
      <c r="C1235" s="79">
        <v>45363</v>
      </c>
      <c r="D1235" s="80">
        <v>45521</v>
      </c>
      <c r="E1235" s="41">
        <f>D1235-C1235</f>
        <v>158</v>
      </c>
      <c r="F1235" s="43" t="s">
        <v>0</v>
      </c>
      <c r="G1235" s="45" t="s">
        <v>70</v>
      </c>
      <c r="H1235" s="45" t="s">
        <v>2</v>
      </c>
      <c r="I1235" s="45"/>
      <c r="J1235" s="207"/>
      <c r="K1235" s="205"/>
      <c r="L1235" s="53" t="s">
        <v>1347</v>
      </c>
      <c r="M1235" s="205"/>
      <c r="N1235" s="205"/>
    </row>
    <row r="1236" spans="1:28" s="87" customFormat="1">
      <c r="A1236" s="205" t="s">
        <v>234</v>
      </c>
      <c r="B1236" s="221" t="s">
        <v>2663</v>
      </c>
      <c r="C1236" s="79">
        <v>43763</v>
      </c>
      <c r="D1236" s="79">
        <v>45550</v>
      </c>
      <c r="E1236" s="41">
        <f>D1236-C1236</f>
        <v>1787</v>
      </c>
      <c r="F1236" s="83" t="s">
        <v>0</v>
      </c>
      <c r="G1236" s="81"/>
      <c r="H1236" s="81" t="s">
        <v>11</v>
      </c>
      <c r="I1236" s="81"/>
      <c r="J1236" s="81" t="s">
        <v>21</v>
      </c>
      <c r="L1236" s="53" t="s">
        <v>2664</v>
      </c>
      <c r="M1236" s="87" t="s">
        <v>2665</v>
      </c>
    </row>
    <row r="1237" spans="1:28" s="87" customFormat="1">
      <c r="A1237" s="205" t="s">
        <v>2666</v>
      </c>
      <c r="B1237" s="221" t="s">
        <v>2667</v>
      </c>
      <c r="C1237" s="79">
        <v>44457</v>
      </c>
      <c r="D1237" s="79">
        <v>45550</v>
      </c>
      <c r="E1237" s="41">
        <f>D1237-C1237</f>
        <v>1093</v>
      </c>
      <c r="F1237" s="43" t="s">
        <v>0</v>
      </c>
      <c r="G1237" s="81"/>
      <c r="H1237" s="83" t="s">
        <v>11</v>
      </c>
      <c r="I1237" s="83"/>
      <c r="J1237" s="81" t="s">
        <v>365</v>
      </c>
      <c r="L1237" s="220" t="s">
        <v>2668</v>
      </c>
      <c r="M1237" s="87" t="s">
        <v>2669</v>
      </c>
    </row>
    <row r="1238" spans="1:28" s="87" customFormat="1">
      <c r="A1238" s="37" t="s">
        <v>2335</v>
      </c>
      <c r="B1238" s="221" t="s">
        <v>2336</v>
      </c>
      <c r="C1238" s="79">
        <v>45123</v>
      </c>
      <c r="D1238" s="80">
        <v>45551</v>
      </c>
      <c r="E1238" s="41">
        <f>D1238-C1238</f>
        <v>428</v>
      </c>
      <c r="F1238" s="43" t="s">
        <v>0</v>
      </c>
      <c r="G1238" s="81"/>
      <c r="H1238" s="83" t="s">
        <v>290</v>
      </c>
      <c r="I1238" s="83"/>
      <c r="J1238" s="81"/>
    </row>
    <row r="1239" spans="1:28" s="87" customFormat="1">
      <c r="A1239" s="37" t="s">
        <v>2566</v>
      </c>
      <c r="B1239" s="221" t="s">
        <v>2567</v>
      </c>
      <c r="C1239" s="79">
        <v>45321</v>
      </c>
      <c r="D1239" s="40">
        <v>45554</v>
      </c>
      <c r="E1239" s="41">
        <f>D1239-C1239</f>
        <v>233</v>
      </c>
      <c r="F1239" s="43" t="s">
        <v>0</v>
      </c>
      <c r="G1239" s="81"/>
      <c r="H1239" s="83" t="s">
        <v>290</v>
      </c>
      <c r="I1239" s="83"/>
      <c r="J1239" s="81"/>
    </row>
    <row r="1240" spans="1:28" s="87" customFormat="1">
      <c r="A1240" s="205" t="s">
        <v>2670</v>
      </c>
      <c r="B1240" s="221" t="s">
        <v>2671</v>
      </c>
      <c r="C1240" s="81">
        <v>44751</v>
      </c>
      <c r="D1240" s="80">
        <v>45557</v>
      </c>
      <c r="E1240" s="41">
        <f>D1240-C1240</f>
        <v>806</v>
      </c>
      <c r="F1240" s="83" t="s">
        <v>2461</v>
      </c>
      <c r="G1240" s="45" t="s">
        <v>43</v>
      </c>
      <c r="H1240" s="83" t="s">
        <v>2</v>
      </c>
      <c r="I1240" s="83"/>
    </row>
    <row r="1241" spans="1:28" s="87" customFormat="1">
      <c r="A1241" s="87" t="s">
        <v>322</v>
      </c>
      <c r="B1241" s="221" t="s">
        <v>2672</v>
      </c>
      <c r="C1241" s="79">
        <v>44948</v>
      </c>
      <c r="D1241" s="80">
        <v>45559</v>
      </c>
      <c r="E1241" s="41">
        <f>D1241-C1241</f>
        <v>611</v>
      </c>
      <c r="F1241" s="43" t="s">
        <v>0</v>
      </c>
      <c r="G1241" s="81"/>
      <c r="H1241" s="83" t="s">
        <v>290</v>
      </c>
      <c r="I1241" s="83"/>
      <c r="J1241" s="81"/>
    </row>
    <row r="1242" spans="1:28" s="87" customFormat="1">
      <c r="A1242" s="87" t="s">
        <v>2673</v>
      </c>
      <c r="B1242" s="221" t="s">
        <v>2674</v>
      </c>
      <c r="C1242" s="79">
        <v>45527</v>
      </c>
      <c r="D1242" s="80">
        <v>45564</v>
      </c>
      <c r="E1242" s="41">
        <f>D1242-C1242</f>
        <v>37</v>
      </c>
      <c r="F1242" s="43" t="s">
        <v>0</v>
      </c>
      <c r="G1242" s="81"/>
      <c r="H1242" s="83" t="s">
        <v>290</v>
      </c>
      <c r="I1242" s="83"/>
      <c r="J1242" s="81"/>
    </row>
    <row r="1243" spans="1:28">
      <c r="A1243" s="87" t="s">
        <v>2675</v>
      </c>
      <c r="B1243" s="221" t="s">
        <v>2676</v>
      </c>
      <c r="C1243" s="79">
        <v>44632</v>
      </c>
      <c r="D1243" s="80">
        <v>45570</v>
      </c>
      <c r="E1243" s="41">
        <f>D1243-C1243</f>
        <v>938</v>
      </c>
      <c r="F1243" s="43" t="s">
        <v>0</v>
      </c>
      <c r="G1243" s="81" t="s">
        <v>2677</v>
      </c>
      <c r="H1243" s="45" t="s">
        <v>2</v>
      </c>
      <c r="I1243" s="45"/>
      <c r="J1243" s="81"/>
      <c r="K1243" s="87"/>
      <c r="L1243" s="87"/>
      <c r="M1243" s="87"/>
      <c r="N1243" s="87"/>
    </row>
    <row r="1244" spans="1:28" s="87" customFormat="1">
      <c r="A1244" s="205" t="s">
        <v>359</v>
      </c>
      <c r="B1244" s="206" t="s">
        <v>360</v>
      </c>
      <c r="C1244" s="39">
        <v>45418</v>
      </c>
      <c r="D1244" s="39">
        <v>45578</v>
      </c>
      <c r="E1244" s="41">
        <f>D1244-C1244</f>
        <v>160</v>
      </c>
      <c r="F1244" s="43" t="s">
        <v>0</v>
      </c>
      <c r="G1244" s="45" t="s">
        <v>361</v>
      </c>
      <c r="H1244" s="207" t="s">
        <v>290</v>
      </c>
      <c r="I1244" s="207"/>
      <c r="J1244" s="207"/>
      <c r="K1244" s="205"/>
      <c r="L1244" s="220" t="s">
        <v>362</v>
      </c>
      <c r="M1244" s="205"/>
      <c r="N1244" s="205"/>
    </row>
    <row r="1245" spans="1:28" s="87" customFormat="1">
      <c r="A1245" s="205" t="s">
        <v>2130</v>
      </c>
      <c r="B1245" s="206" t="s">
        <v>2131</v>
      </c>
      <c r="C1245" s="79">
        <v>45143</v>
      </c>
      <c r="D1245" s="80">
        <v>45521</v>
      </c>
      <c r="E1245" s="41">
        <f>D1245-C1245</f>
        <v>378</v>
      </c>
      <c r="F1245" s="43" t="s">
        <v>2574</v>
      </c>
      <c r="G1245" s="81" t="s">
        <v>33</v>
      </c>
      <c r="H1245" s="83" t="s">
        <v>2</v>
      </c>
      <c r="I1245" s="83"/>
      <c r="J1245" s="81" t="s">
        <v>2132</v>
      </c>
      <c r="K1245" s="205"/>
      <c r="L1245" s="220" t="s">
        <v>2133</v>
      </c>
      <c r="M1245" s="205"/>
      <c r="N1245" s="205"/>
      <c r="O1245" s="205"/>
      <c r="P1245" s="205"/>
      <c r="Q1245" s="205"/>
      <c r="R1245" s="205"/>
      <c r="S1245" s="205"/>
      <c r="T1245" s="205"/>
      <c r="U1245" s="205"/>
      <c r="V1245" s="205"/>
      <c r="W1245" s="205"/>
      <c r="X1245" s="205"/>
      <c r="Y1245" s="205"/>
      <c r="Z1245" s="205"/>
      <c r="AA1245" s="205"/>
      <c r="AB1245" s="205"/>
    </row>
    <row r="1246" spans="1:28" s="87" customFormat="1">
      <c r="A1246" s="205" t="s">
        <v>988</v>
      </c>
      <c r="B1246" s="206" t="s">
        <v>1085</v>
      </c>
      <c r="C1246" s="79">
        <v>45313</v>
      </c>
      <c r="D1246" s="80">
        <v>45584</v>
      </c>
      <c r="E1246" s="41">
        <f>D1246-C1246</f>
        <v>271</v>
      </c>
      <c r="F1246" s="43" t="s">
        <v>0</v>
      </c>
      <c r="G1246" s="45" t="s">
        <v>2454</v>
      </c>
      <c r="H1246" s="45" t="s">
        <v>11</v>
      </c>
      <c r="I1246" s="45"/>
      <c r="J1246" s="207"/>
      <c r="K1246" s="205"/>
      <c r="L1246" s="220" t="s">
        <v>1086</v>
      </c>
      <c r="M1246" s="205"/>
      <c r="N1246" s="205"/>
    </row>
    <row r="1247" spans="1:28" s="87" customFormat="1">
      <c r="A1247" s="87" t="s">
        <v>2645</v>
      </c>
      <c r="B1247" s="221" t="s">
        <v>2646</v>
      </c>
      <c r="C1247" s="79">
        <v>45495</v>
      </c>
      <c r="D1247" s="80">
        <v>45586</v>
      </c>
      <c r="E1247" s="41">
        <f>D1247-C1247</f>
        <v>91</v>
      </c>
      <c r="F1247" s="43" t="s">
        <v>0</v>
      </c>
      <c r="G1247" s="81"/>
      <c r="H1247" s="83" t="s">
        <v>290</v>
      </c>
      <c r="I1247" s="81"/>
    </row>
    <row r="1248" spans="1:28" s="87" customFormat="1">
      <c r="A1248" s="205" t="s">
        <v>2332</v>
      </c>
      <c r="B1248" s="221" t="s">
        <v>2678</v>
      </c>
      <c r="C1248" s="79">
        <v>44663</v>
      </c>
      <c r="D1248" s="80">
        <v>45598</v>
      </c>
      <c r="E1248" s="41">
        <f>D1248-C1248</f>
        <v>935</v>
      </c>
      <c r="F1248" s="43" t="s">
        <v>217</v>
      </c>
      <c r="G1248" s="81"/>
      <c r="H1248" s="83" t="s">
        <v>2</v>
      </c>
      <c r="I1248" s="83"/>
      <c r="J1248" s="81"/>
    </row>
    <row r="1249" spans="1:28" s="87" customFormat="1">
      <c r="A1249" s="87" t="s">
        <v>2299</v>
      </c>
      <c r="B1249" s="221" t="s">
        <v>2299</v>
      </c>
      <c r="C1249" s="79">
        <v>45493</v>
      </c>
      <c r="D1249" s="80">
        <v>45598</v>
      </c>
      <c r="E1249" s="41">
        <f>D1249-C1249</f>
        <v>105</v>
      </c>
      <c r="F1249" s="83" t="s">
        <v>2461</v>
      </c>
      <c r="G1249" s="81" t="s">
        <v>1</v>
      </c>
      <c r="H1249" s="83" t="s">
        <v>2</v>
      </c>
    </row>
    <row r="1250" spans="1:28" s="87" customFormat="1">
      <c r="A1250" s="205" t="s">
        <v>2679</v>
      </c>
      <c r="B1250" s="221" t="s">
        <v>2680</v>
      </c>
      <c r="C1250" s="79">
        <v>44579</v>
      </c>
      <c r="D1250" s="80">
        <v>45614</v>
      </c>
      <c r="E1250" s="41">
        <f>D1250-C1250</f>
        <v>1035</v>
      </c>
      <c r="F1250" s="83" t="s">
        <v>144</v>
      </c>
      <c r="G1250" s="81"/>
      <c r="H1250" s="83" t="s">
        <v>2</v>
      </c>
      <c r="I1250" s="83"/>
      <c r="J1250" s="81"/>
    </row>
    <row r="1251" spans="1:28" s="87" customFormat="1">
      <c r="A1251" s="205" t="s">
        <v>330</v>
      </c>
      <c r="B1251" s="221" t="s">
        <v>331</v>
      </c>
      <c r="C1251" s="39">
        <v>45428</v>
      </c>
      <c r="D1251" s="40">
        <v>45617</v>
      </c>
      <c r="E1251" s="41">
        <f>D1251-C1251</f>
        <v>189</v>
      </c>
      <c r="F1251" s="43" t="s">
        <v>0</v>
      </c>
      <c r="G1251" s="81" t="s">
        <v>33</v>
      </c>
      <c r="H1251" s="45" t="s">
        <v>11</v>
      </c>
      <c r="I1251" s="45"/>
      <c r="J1251" s="81"/>
    </row>
    <row r="1252" spans="1:28">
      <c r="A1252" s="205" t="s">
        <v>2450</v>
      </c>
      <c r="B1252" s="221" t="s">
        <v>2451</v>
      </c>
      <c r="C1252" s="39">
        <v>45381</v>
      </c>
      <c r="D1252" s="40">
        <v>45626</v>
      </c>
      <c r="E1252" s="41">
        <f>D1252-C1252</f>
        <v>245</v>
      </c>
      <c r="F1252" s="43" t="s">
        <v>0</v>
      </c>
      <c r="G1252" s="81" t="s">
        <v>2452</v>
      </c>
      <c r="H1252" s="45" t="s">
        <v>290</v>
      </c>
      <c r="I1252" s="45"/>
      <c r="J1252" s="81"/>
    </row>
    <row r="1253" spans="1:28" s="87" customFormat="1">
      <c r="A1253" s="87" t="s">
        <v>2681</v>
      </c>
      <c r="B1253" s="221" t="s">
        <v>2682</v>
      </c>
      <c r="C1253" s="79">
        <v>45588</v>
      </c>
      <c r="D1253" s="80">
        <v>45632</v>
      </c>
      <c r="E1253" s="41">
        <f>D1253-C1253</f>
        <v>44</v>
      </c>
      <c r="F1253" s="43" t="s">
        <v>0</v>
      </c>
      <c r="G1253" s="81"/>
      <c r="H1253" s="83" t="s">
        <v>290</v>
      </c>
      <c r="I1253" s="83"/>
      <c r="J1253" s="81"/>
    </row>
    <row r="1254" spans="1:28" s="87" customFormat="1">
      <c r="A1254" s="87" t="s">
        <v>2683</v>
      </c>
      <c r="B1254" s="221" t="s">
        <v>2684</v>
      </c>
      <c r="C1254" s="79">
        <v>44667</v>
      </c>
      <c r="D1254" s="80">
        <v>45640</v>
      </c>
      <c r="E1254" s="41">
        <f>D1254-C1254</f>
        <v>973</v>
      </c>
      <c r="F1254" s="83" t="s">
        <v>2685</v>
      </c>
      <c r="G1254" s="81"/>
      <c r="H1254" s="83" t="s">
        <v>11</v>
      </c>
      <c r="I1254" s="83"/>
      <c r="J1254" s="81"/>
      <c r="L1254" s="220" t="s">
        <v>2686</v>
      </c>
    </row>
    <row r="1255" spans="1:28" s="87" customFormat="1">
      <c r="A1255" s="37" t="s">
        <v>2629</v>
      </c>
      <c r="B1255" s="221" t="s">
        <v>2630</v>
      </c>
      <c r="C1255" s="79">
        <v>45420</v>
      </c>
      <c r="D1255" s="40">
        <v>45647</v>
      </c>
      <c r="E1255" s="41">
        <f>D1255-C1255</f>
        <v>227</v>
      </c>
      <c r="F1255" s="43" t="s">
        <v>0</v>
      </c>
      <c r="G1255" s="81"/>
      <c r="H1255" s="83" t="s">
        <v>290</v>
      </c>
      <c r="I1255" s="83"/>
      <c r="J1255" s="81"/>
    </row>
    <row r="1256" spans="1:28" s="87" customFormat="1">
      <c r="A1256" s="87" t="s">
        <v>2687</v>
      </c>
      <c r="B1256" s="221" t="s">
        <v>2688</v>
      </c>
      <c r="C1256" s="79">
        <v>45589</v>
      </c>
      <c r="D1256" s="40">
        <v>45647</v>
      </c>
      <c r="E1256" s="41">
        <f>D1256-C1256</f>
        <v>58</v>
      </c>
      <c r="F1256" s="46" t="s">
        <v>2528</v>
      </c>
      <c r="G1256" s="81"/>
      <c r="H1256" s="83" t="s">
        <v>290</v>
      </c>
      <c r="I1256" s="83"/>
      <c r="J1256" s="81"/>
    </row>
    <row r="1257" spans="1:28" s="87" customFormat="1">
      <c r="A1257" s="87" t="s">
        <v>354</v>
      </c>
      <c r="B1257" s="221" t="s">
        <v>355</v>
      </c>
      <c r="C1257" s="79">
        <v>45361</v>
      </c>
      <c r="D1257" s="40">
        <v>45647</v>
      </c>
      <c r="E1257" s="41">
        <f>D1257-C1257</f>
        <v>286</v>
      </c>
      <c r="F1257" s="43" t="s">
        <v>0</v>
      </c>
      <c r="G1257" s="81" t="s">
        <v>26</v>
      </c>
      <c r="H1257" s="207" t="s">
        <v>290</v>
      </c>
      <c r="I1257" s="207"/>
      <c r="J1257" s="207"/>
      <c r="K1257" s="205"/>
      <c r="L1257" s="220" t="s">
        <v>356</v>
      </c>
      <c r="M1257" s="205"/>
      <c r="N1257" s="205"/>
      <c r="O1257" s="205"/>
      <c r="P1257" s="205"/>
      <c r="Q1257" s="205"/>
      <c r="R1257" s="205"/>
      <c r="S1257" s="205"/>
      <c r="T1257" s="205"/>
      <c r="U1257" s="205"/>
      <c r="V1257" s="205"/>
      <c r="W1257" s="205"/>
      <c r="X1257" s="205"/>
      <c r="Y1257" s="205"/>
      <c r="Z1257" s="205"/>
      <c r="AA1257" s="205"/>
      <c r="AB1257" s="205"/>
    </row>
    <row r="1258" spans="1:28" s="87" customFormat="1">
      <c r="A1258" s="87" t="s">
        <v>1997</v>
      </c>
      <c r="B1258" s="221" t="s">
        <v>2689</v>
      </c>
      <c r="C1258" s="79">
        <v>45213</v>
      </c>
      <c r="D1258" s="80">
        <v>45656</v>
      </c>
      <c r="E1258" s="41">
        <f>D1258-C1258</f>
        <v>443</v>
      </c>
      <c r="F1258" s="83" t="s">
        <v>196</v>
      </c>
      <c r="G1258" s="205"/>
      <c r="H1258" s="83" t="s">
        <v>2</v>
      </c>
      <c r="I1258" s="83"/>
      <c r="J1258" s="81" t="s">
        <v>21</v>
      </c>
      <c r="K1258" s="205"/>
      <c r="L1258" s="205"/>
      <c r="M1258" s="205" t="s">
        <v>1998</v>
      </c>
      <c r="N1258" s="205"/>
      <c r="O1258" s="205"/>
      <c r="P1258" s="205"/>
      <c r="Q1258" s="205"/>
      <c r="R1258" s="205"/>
      <c r="S1258" s="205"/>
      <c r="T1258" s="205"/>
      <c r="U1258" s="205"/>
      <c r="V1258" s="205"/>
      <c r="W1258" s="205"/>
      <c r="X1258" s="205"/>
      <c r="Y1258" s="205"/>
      <c r="Z1258" s="205"/>
      <c r="AA1258" s="205"/>
      <c r="AB1258" s="205"/>
    </row>
    <row r="1259" spans="1:28" s="87" customFormat="1">
      <c r="A1259" s="87" t="s">
        <v>332</v>
      </c>
      <c r="B1259" s="221" t="s">
        <v>332</v>
      </c>
      <c r="C1259" s="79">
        <v>45320</v>
      </c>
      <c r="D1259" s="80">
        <v>45662</v>
      </c>
      <c r="E1259" s="41">
        <f>D1259-C1259</f>
        <v>342</v>
      </c>
      <c r="F1259" s="48" t="s">
        <v>333</v>
      </c>
      <c r="G1259" s="81"/>
      <c r="H1259" s="83" t="s">
        <v>290</v>
      </c>
      <c r="I1259" s="83"/>
      <c r="J1259" s="81" t="s">
        <v>85</v>
      </c>
    </row>
    <row r="1260" spans="1:28" s="87" customFormat="1">
      <c r="A1260" s="87" t="s">
        <v>2690</v>
      </c>
      <c r="B1260" s="221" t="s">
        <v>2691</v>
      </c>
      <c r="C1260" s="79">
        <v>45574</v>
      </c>
      <c r="D1260" s="80">
        <v>45682</v>
      </c>
      <c r="E1260" s="41">
        <f>D1260-C1260</f>
        <v>108</v>
      </c>
      <c r="F1260" s="43" t="s">
        <v>0</v>
      </c>
      <c r="G1260" s="81" t="s">
        <v>1</v>
      </c>
      <c r="H1260" s="83" t="s">
        <v>290</v>
      </c>
      <c r="I1260" s="83"/>
      <c r="J1260" s="81"/>
    </row>
    <row r="1261" spans="1:28" s="87" customFormat="1">
      <c r="A1261" s="87" t="s">
        <v>2692</v>
      </c>
      <c r="B1261" s="221" t="s">
        <v>2693</v>
      </c>
      <c r="C1261" s="79">
        <v>45587</v>
      </c>
      <c r="D1261" s="80">
        <v>45684</v>
      </c>
      <c r="E1261" s="41">
        <f>D1261-C1261</f>
        <v>97</v>
      </c>
      <c r="F1261" s="43" t="s">
        <v>0</v>
      </c>
      <c r="G1261" s="81"/>
      <c r="H1261" s="83" t="s">
        <v>290</v>
      </c>
      <c r="I1261" s="83"/>
      <c r="J1261" s="81"/>
    </row>
    <row r="1262" spans="1:28" s="87" customFormat="1">
      <c r="A1262" s="205" t="s">
        <v>2130</v>
      </c>
      <c r="B1262" s="206" t="s">
        <v>2694</v>
      </c>
      <c r="C1262" s="79">
        <v>45592</v>
      </c>
      <c r="D1262" s="80">
        <v>45684</v>
      </c>
      <c r="E1262" s="41">
        <f>D1262-C1262</f>
        <v>92</v>
      </c>
      <c r="F1262" s="43" t="s">
        <v>0</v>
      </c>
      <c r="G1262" s="81" t="s">
        <v>33</v>
      </c>
      <c r="H1262" s="83" t="s">
        <v>2</v>
      </c>
      <c r="I1262" s="83"/>
      <c r="J1262" s="81" t="s">
        <v>2132</v>
      </c>
      <c r="K1262" s="205"/>
      <c r="L1262" s="220" t="s">
        <v>2133</v>
      </c>
      <c r="M1262" s="205" t="s">
        <v>2695</v>
      </c>
      <c r="N1262" s="205"/>
      <c r="O1262" s="205"/>
      <c r="P1262" s="205"/>
      <c r="Q1262" s="205"/>
      <c r="R1262" s="205"/>
      <c r="S1262" s="205"/>
      <c r="T1262" s="205"/>
      <c r="U1262" s="205"/>
      <c r="V1262" s="205"/>
      <c r="W1262" s="205"/>
      <c r="X1262" s="205"/>
      <c r="Y1262" s="205"/>
      <c r="Z1262" s="205"/>
      <c r="AA1262" s="205"/>
      <c r="AB1262" s="205"/>
    </row>
    <row r="1263" spans="1:28" s="87" customFormat="1">
      <c r="A1263" s="42" t="s">
        <v>1219</v>
      </c>
      <c r="B1263" s="206" t="s">
        <v>1220</v>
      </c>
      <c r="C1263" s="39">
        <v>45670</v>
      </c>
      <c r="D1263" s="39">
        <v>45685</v>
      </c>
      <c r="E1263" s="41">
        <f>D1263-C1263</f>
        <v>15</v>
      </c>
      <c r="F1263" s="43" t="s">
        <v>0</v>
      </c>
      <c r="G1263" s="45" t="s">
        <v>1612</v>
      </c>
      <c r="H1263" s="83" t="s">
        <v>290</v>
      </c>
      <c r="I1263" s="207"/>
      <c r="J1263" s="205"/>
      <c r="K1263" s="53" t="s">
        <v>1221</v>
      </c>
      <c r="L1263" s="205" t="s">
        <v>1841</v>
      </c>
    </row>
    <row r="1264" spans="1:28" s="87" customFormat="1">
      <c r="A1264" s="52" t="s">
        <v>681</v>
      </c>
      <c r="B1264" s="209" t="s">
        <v>1206</v>
      </c>
      <c r="C1264" s="79">
        <v>45062</v>
      </c>
      <c r="D1264" s="80">
        <v>45689</v>
      </c>
      <c r="E1264" s="41">
        <f>D1264-C1264</f>
        <v>627</v>
      </c>
      <c r="F1264" s="43" t="s">
        <v>0</v>
      </c>
      <c r="G1264" s="45" t="s">
        <v>2696</v>
      </c>
      <c r="H1264" s="45" t="s">
        <v>2</v>
      </c>
      <c r="I1264" s="45"/>
      <c r="J1264" s="207"/>
      <c r="K1264" s="205"/>
      <c r="L1264" s="53" t="s">
        <v>1207</v>
      </c>
      <c r="M1264" s="205"/>
      <c r="N1264" s="205"/>
      <c r="O1264" s="205"/>
      <c r="P1264" s="205"/>
      <c r="Q1264" s="205"/>
      <c r="R1264" s="205"/>
      <c r="S1264" s="205"/>
      <c r="T1264" s="205"/>
      <c r="U1264" s="205"/>
      <c r="V1264" s="205"/>
      <c r="W1264" s="205"/>
      <c r="X1264" s="205"/>
      <c r="Y1264" s="205"/>
      <c r="Z1264" s="205"/>
      <c r="AA1264" s="205"/>
      <c r="AB1264" s="205"/>
    </row>
    <row r="1265" spans="1:28" s="87" customFormat="1">
      <c r="A1265" s="205" t="s">
        <v>2697</v>
      </c>
      <c r="B1265" s="221" t="s">
        <v>2698</v>
      </c>
      <c r="C1265" s="79">
        <v>44605</v>
      </c>
      <c r="D1265" s="80">
        <v>45695</v>
      </c>
      <c r="E1265" s="41">
        <f>D1265-C1265</f>
        <v>1090</v>
      </c>
      <c r="F1265" s="43" t="s">
        <v>0</v>
      </c>
      <c r="G1265" s="81" t="s">
        <v>2699</v>
      </c>
      <c r="H1265" s="83" t="s">
        <v>2</v>
      </c>
      <c r="I1265" s="83"/>
      <c r="J1265" s="81"/>
    </row>
    <row r="1266" spans="1:28" s="87" customFormat="1">
      <c r="A1266" s="205" t="s">
        <v>1374</v>
      </c>
      <c r="B1266" s="206" t="s">
        <v>2633</v>
      </c>
      <c r="C1266" s="39">
        <v>45529</v>
      </c>
      <c r="D1266" s="80">
        <v>45696</v>
      </c>
      <c r="E1266" s="41">
        <f>D1266-C1266</f>
        <v>167</v>
      </c>
      <c r="F1266" s="43" t="s">
        <v>0</v>
      </c>
      <c r="G1266" s="45" t="s">
        <v>2700</v>
      </c>
      <c r="H1266" s="41" t="s">
        <v>11</v>
      </c>
      <c r="I1266" s="207"/>
      <c r="J1266" s="205"/>
      <c r="K1266" s="220" t="s">
        <v>2244</v>
      </c>
      <c r="L1266" s="42" t="s">
        <v>1690</v>
      </c>
      <c r="M1266" s="205"/>
      <c r="N1266" s="205"/>
      <c r="O1266" s="205"/>
      <c r="P1266" s="205"/>
      <c r="Q1266" s="205"/>
      <c r="R1266" s="205"/>
      <c r="S1266" s="205"/>
      <c r="T1266" s="205"/>
      <c r="U1266" s="205"/>
      <c r="V1266" s="205"/>
      <c r="W1266" s="205"/>
      <c r="X1266" s="205"/>
      <c r="Y1266" s="205"/>
      <c r="Z1266" s="205"/>
      <c r="AA1266" s="205"/>
    </row>
    <row r="1267" spans="1:28" s="87" customFormat="1">
      <c r="A1267" s="91" t="s">
        <v>2701</v>
      </c>
      <c r="B1267" s="223" t="s">
        <v>2702</v>
      </c>
      <c r="C1267" s="79">
        <v>45383</v>
      </c>
      <c r="D1267" s="80">
        <v>45700</v>
      </c>
      <c r="E1267" s="41">
        <f>D1267-C1267</f>
        <v>317</v>
      </c>
      <c r="F1267" s="78" t="s">
        <v>311</v>
      </c>
      <c r="G1267" s="78" t="s">
        <v>1089</v>
      </c>
      <c r="H1267" s="78" t="s">
        <v>290</v>
      </c>
      <c r="I1267" s="78"/>
    </row>
    <row r="1268" spans="1:28" s="87" customFormat="1">
      <c r="A1268" s="205" t="s">
        <v>2703</v>
      </c>
      <c r="B1268" s="221" t="s">
        <v>2704</v>
      </c>
      <c r="C1268" s="79">
        <v>44528</v>
      </c>
      <c r="D1268" s="80">
        <v>45703</v>
      </c>
      <c r="E1268" s="41">
        <f>D1268-C1268</f>
        <v>1175</v>
      </c>
      <c r="F1268" s="208" t="s">
        <v>219</v>
      </c>
      <c r="G1268" s="81"/>
      <c r="H1268" s="83" t="s">
        <v>2</v>
      </c>
      <c r="I1268" s="83"/>
      <c r="J1268" s="81"/>
      <c r="L1268" s="90" t="s">
        <v>2705</v>
      </c>
      <c r="M1268" s="205" t="s">
        <v>2706</v>
      </c>
    </row>
    <row r="1269" spans="1:28" s="87" customFormat="1">
      <c r="A1269" s="87" t="s">
        <v>2707</v>
      </c>
      <c r="B1269" s="221" t="s">
        <v>2708</v>
      </c>
      <c r="C1269" s="79">
        <v>44566</v>
      </c>
      <c r="D1269" s="80">
        <v>45703</v>
      </c>
      <c r="E1269" s="41">
        <f>D1269-C1269</f>
        <v>1137</v>
      </c>
      <c r="F1269" s="43" t="s">
        <v>0</v>
      </c>
      <c r="G1269" s="81" t="s">
        <v>2709</v>
      </c>
      <c r="H1269" s="45" t="s">
        <v>2</v>
      </c>
      <c r="I1269" s="45"/>
      <c r="J1269" s="81"/>
      <c r="L1269" s="220" t="s">
        <v>2710</v>
      </c>
      <c r="M1269" s="87" t="s">
        <v>2711</v>
      </c>
    </row>
    <row r="1270" spans="1:28" s="87" customFormat="1">
      <c r="A1270" s="205" t="s">
        <v>1662</v>
      </c>
      <c r="B1270" s="206" t="s">
        <v>1663</v>
      </c>
      <c r="C1270" s="39">
        <v>45655</v>
      </c>
      <c r="D1270" s="40">
        <v>45710</v>
      </c>
      <c r="E1270" s="41">
        <f>D1270-C1270</f>
        <v>55</v>
      </c>
      <c r="F1270" s="43" t="s">
        <v>0</v>
      </c>
      <c r="G1270" s="207"/>
      <c r="H1270" s="45" t="s">
        <v>2</v>
      </c>
      <c r="I1270" s="207"/>
      <c r="J1270" s="205"/>
      <c r="K1270" s="220" t="s">
        <v>1664</v>
      </c>
      <c r="L1270" s="205"/>
      <c r="M1270" s="205"/>
      <c r="N1270" s="205"/>
      <c r="O1270" s="205"/>
      <c r="P1270" s="205"/>
      <c r="Q1270" s="205"/>
      <c r="R1270" s="205"/>
      <c r="S1270" s="205"/>
      <c r="T1270" s="205"/>
      <c r="U1270" s="205"/>
      <c r="V1270" s="205"/>
      <c r="W1270" s="205"/>
      <c r="X1270" s="205"/>
      <c r="Y1270" s="205"/>
      <c r="Z1270" s="205"/>
      <c r="AA1270" s="205"/>
      <c r="AB1270" s="205"/>
    </row>
    <row r="1271" spans="1:28" s="87" customFormat="1">
      <c r="A1271" s="37" t="s">
        <v>2613</v>
      </c>
      <c r="B1271" s="87" t="s">
        <v>2712</v>
      </c>
      <c r="C1271" s="79">
        <v>45634</v>
      </c>
      <c r="D1271" s="40">
        <v>45710</v>
      </c>
      <c r="E1271" s="41">
        <f>D1271-C1271</f>
        <v>76</v>
      </c>
      <c r="F1271" s="43" t="s">
        <v>0</v>
      </c>
      <c r="G1271" s="81" t="s">
        <v>70</v>
      </c>
      <c r="H1271" s="83" t="s">
        <v>11</v>
      </c>
      <c r="I1271" s="81" t="s">
        <v>2615</v>
      </c>
      <c r="M1271" s="221" t="s">
        <v>2614</v>
      </c>
    </row>
    <row r="1272" spans="1:28" s="87" customFormat="1">
      <c r="A1272" s="205" t="s">
        <v>2161</v>
      </c>
      <c r="B1272" s="206" t="s">
        <v>2713</v>
      </c>
      <c r="C1272" s="39">
        <v>45544</v>
      </c>
      <c r="D1272" s="80">
        <v>45724</v>
      </c>
      <c r="E1272" s="41">
        <f>D1272-C1272</f>
        <v>180</v>
      </c>
      <c r="F1272" s="43" t="s">
        <v>0</v>
      </c>
      <c r="G1272" s="81" t="s">
        <v>70</v>
      </c>
      <c r="H1272" s="43" t="s">
        <v>2</v>
      </c>
      <c r="I1272" s="45" t="s">
        <v>2458</v>
      </c>
      <c r="J1272" s="87" t="s">
        <v>817</v>
      </c>
      <c r="K1272" s="205"/>
      <c r="L1272" s="205" t="s">
        <v>2230</v>
      </c>
      <c r="M1272" s="205" t="s">
        <v>2647</v>
      </c>
      <c r="N1272" s="205"/>
      <c r="O1272" s="205"/>
      <c r="P1272" s="205"/>
      <c r="Q1272" s="205"/>
      <c r="R1272" s="205"/>
      <c r="S1272" s="205"/>
      <c r="T1272" s="205"/>
      <c r="U1272" s="205"/>
      <c r="V1272" s="205"/>
      <c r="W1272" s="205"/>
      <c r="X1272" s="205"/>
      <c r="Y1272" s="205"/>
      <c r="Z1272" s="205"/>
      <c r="AA1272" s="205"/>
      <c r="AB1272" s="205"/>
    </row>
    <row r="1273" spans="1:28" s="87" customFormat="1">
      <c r="A1273" s="205" t="s">
        <v>1673</v>
      </c>
      <c r="B1273" s="219" t="s">
        <v>1674</v>
      </c>
      <c r="C1273" s="79">
        <v>44457</v>
      </c>
      <c r="D1273" s="80">
        <v>45724</v>
      </c>
      <c r="E1273" s="41">
        <f>D1273-C1273</f>
        <v>1267</v>
      </c>
      <c r="F1273" s="43" t="s">
        <v>68</v>
      </c>
      <c r="G1273" s="207" t="s">
        <v>942</v>
      </c>
      <c r="H1273" s="41" t="s">
        <v>2</v>
      </c>
      <c r="I1273" s="41"/>
      <c r="J1273" s="207"/>
      <c r="K1273" s="205"/>
      <c r="L1273" s="205"/>
      <c r="M1273" s="205"/>
    </row>
    <row r="1274" spans="1:28" s="87" customFormat="1">
      <c r="A1274" s="205" t="s">
        <v>1570</v>
      </c>
      <c r="B1274" s="206" t="s">
        <v>1864</v>
      </c>
      <c r="C1274" s="39">
        <v>45428</v>
      </c>
      <c r="D1274" s="80">
        <v>45730</v>
      </c>
      <c r="E1274" s="41">
        <f>D1274-C1274</f>
        <v>302</v>
      </c>
      <c r="F1274" s="78" t="s">
        <v>0</v>
      </c>
      <c r="G1274" s="45" t="s">
        <v>33</v>
      </c>
      <c r="H1274" s="47" t="s">
        <v>11</v>
      </c>
      <c r="I1274" s="47"/>
      <c r="J1274" s="81"/>
      <c r="L1274" s="53" t="s">
        <v>1865</v>
      </c>
      <c r="M1274" s="42" t="s">
        <v>1866</v>
      </c>
    </row>
    <row r="1275" spans="1:28" s="87" customFormat="1">
      <c r="A1275" s="37" t="s">
        <v>2528</v>
      </c>
      <c r="B1275" s="221" t="s">
        <v>2529</v>
      </c>
      <c r="C1275" s="79">
        <v>45571</v>
      </c>
      <c r="D1275" s="40">
        <v>45731</v>
      </c>
      <c r="E1275" s="41">
        <f>D1275-C1275</f>
        <v>160</v>
      </c>
      <c r="F1275" s="43" t="s">
        <v>0</v>
      </c>
      <c r="G1275" s="81" t="s">
        <v>33</v>
      </c>
      <c r="H1275" s="83" t="s">
        <v>11</v>
      </c>
      <c r="I1275" s="81"/>
      <c r="J1275" s="87" t="s">
        <v>817</v>
      </c>
    </row>
    <row r="1276" spans="1:28" s="87" customFormat="1">
      <c r="A1276" s="87" t="s">
        <v>2253</v>
      </c>
      <c r="B1276" s="221" t="s">
        <v>2254</v>
      </c>
      <c r="C1276" s="39">
        <v>45542</v>
      </c>
      <c r="D1276" s="40">
        <v>45731</v>
      </c>
      <c r="E1276" s="41">
        <f>D1276-C1276</f>
        <v>189</v>
      </c>
      <c r="F1276" s="43" t="s">
        <v>0</v>
      </c>
      <c r="G1276" s="81" t="s">
        <v>70</v>
      </c>
      <c r="H1276" s="83" t="s">
        <v>11</v>
      </c>
      <c r="I1276" s="207"/>
      <c r="J1276" s="205"/>
      <c r="K1276" s="205"/>
      <c r="L1276" s="205"/>
      <c r="M1276" s="205" t="s">
        <v>2632</v>
      </c>
      <c r="N1276" s="205"/>
      <c r="O1276" s="205"/>
      <c r="P1276" s="205"/>
      <c r="Q1276" s="205"/>
      <c r="R1276" s="205"/>
      <c r="S1276" s="205"/>
      <c r="T1276" s="205"/>
      <c r="U1276" s="205"/>
      <c r="V1276" s="205"/>
      <c r="W1276" s="205"/>
      <c r="X1276" s="205"/>
      <c r="Y1276" s="205"/>
      <c r="Z1276" s="205"/>
      <c r="AA1276" s="205"/>
    </row>
    <row r="1277" spans="1:28" s="87" customFormat="1">
      <c r="A1277" s="87" t="s">
        <v>2714</v>
      </c>
      <c r="B1277" s="221" t="s">
        <v>2715</v>
      </c>
      <c r="C1277" s="81">
        <v>45487</v>
      </c>
      <c r="D1277" s="40">
        <v>45731</v>
      </c>
      <c r="E1277" s="41">
        <f>D1277-C1277</f>
        <v>244</v>
      </c>
      <c r="F1277" s="83" t="s">
        <v>196</v>
      </c>
      <c r="H1277" s="78" t="s">
        <v>290</v>
      </c>
    </row>
    <row r="1278" spans="1:28">
      <c r="A1278" s="87" t="s">
        <v>2716</v>
      </c>
      <c r="B1278" s="221" t="s">
        <v>2717</v>
      </c>
      <c r="C1278" s="81">
        <v>44537</v>
      </c>
      <c r="D1278" s="40">
        <v>45731</v>
      </c>
      <c r="E1278" s="41">
        <f>D1278-C1278</f>
        <v>1194</v>
      </c>
      <c r="F1278" s="83" t="s">
        <v>0</v>
      </c>
      <c r="G1278" s="87"/>
      <c r="H1278" s="78" t="s">
        <v>11</v>
      </c>
      <c r="I1278" s="87"/>
      <c r="J1278" s="87" t="s">
        <v>21</v>
      </c>
      <c r="K1278" s="87"/>
      <c r="L1278" s="87" t="s">
        <v>2718</v>
      </c>
      <c r="M1278" s="87" t="s">
        <v>2719</v>
      </c>
      <c r="N1278" s="87"/>
      <c r="O1278" s="87"/>
      <c r="P1278" s="87"/>
      <c r="Q1278" s="87"/>
      <c r="R1278" s="87"/>
      <c r="S1278" s="87"/>
      <c r="T1278" s="87"/>
      <c r="U1278" s="87"/>
      <c r="V1278" s="87"/>
      <c r="W1278" s="87"/>
      <c r="X1278" s="87"/>
      <c r="Y1278" s="87"/>
      <c r="Z1278" s="87"/>
      <c r="AA1278" s="87"/>
      <c r="AB1278" s="87"/>
    </row>
    <row r="1279" spans="1:28" s="87" customFormat="1">
      <c r="A1279" s="205" t="s">
        <v>2378</v>
      </c>
      <c r="B1279" s="206" t="s">
        <v>2720</v>
      </c>
      <c r="C1279" s="79">
        <v>44322</v>
      </c>
      <c r="D1279" s="80">
        <v>45739</v>
      </c>
      <c r="E1279" s="41">
        <f>D1279-C1279</f>
        <v>1417</v>
      </c>
      <c r="F1279" s="43" t="s">
        <v>0</v>
      </c>
      <c r="G1279" s="81" t="s">
        <v>2721</v>
      </c>
      <c r="H1279" s="83" t="s">
        <v>2</v>
      </c>
      <c r="I1279" s="83"/>
      <c r="J1279" s="81" t="s">
        <v>3</v>
      </c>
      <c r="L1279" s="259" t="s">
        <v>2722</v>
      </c>
    </row>
    <row r="1280" spans="1:28" s="87" customFormat="1">
      <c r="A1280" s="87" t="s">
        <v>2723</v>
      </c>
      <c r="B1280" s="221" t="s">
        <v>2724</v>
      </c>
      <c r="C1280" s="79">
        <v>44481</v>
      </c>
      <c r="D1280" s="80">
        <v>45773</v>
      </c>
      <c r="E1280" s="41">
        <f>D1280-C1280</f>
        <v>1292</v>
      </c>
      <c r="F1280" s="208" t="s">
        <v>1570</v>
      </c>
      <c r="G1280" s="81"/>
      <c r="H1280" s="83" t="s">
        <v>11</v>
      </c>
      <c r="I1280" s="83"/>
      <c r="J1280" s="81" t="s">
        <v>21</v>
      </c>
      <c r="L1280" s="220" t="s">
        <v>2725</v>
      </c>
    </row>
    <row r="1281" spans="1:28" s="87" customFormat="1">
      <c r="A1281" s="87" t="s">
        <v>2472</v>
      </c>
      <c r="B1281" s="221" t="s">
        <v>2473</v>
      </c>
      <c r="C1281" s="79">
        <v>45713</v>
      </c>
      <c r="D1281" s="80">
        <v>45773</v>
      </c>
      <c r="E1281" s="41">
        <f>D1281-C1281</f>
        <v>60</v>
      </c>
      <c r="F1281" s="43" t="s">
        <v>0</v>
      </c>
      <c r="G1281" s="81"/>
      <c r="H1281" s="83" t="s">
        <v>2</v>
      </c>
      <c r="I1281" s="81"/>
    </row>
    <row r="1282" spans="1:28" s="87" customFormat="1">
      <c r="A1282" s="205" t="s">
        <v>2726</v>
      </c>
      <c r="B1282" s="221" t="s">
        <v>2727</v>
      </c>
      <c r="C1282" s="79">
        <v>44716</v>
      </c>
      <c r="D1282" s="80">
        <v>45785</v>
      </c>
      <c r="E1282" s="41">
        <f>D1282-C1282</f>
        <v>1069</v>
      </c>
      <c r="F1282" s="83" t="s">
        <v>0</v>
      </c>
      <c r="G1282" s="81" t="s">
        <v>2728</v>
      </c>
      <c r="H1282" s="45" t="s">
        <v>2</v>
      </c>
      <c r="I1282" s="45"/>
      <c r="J1282" s="81"/>
    </row>
    <row r="1283" spans="1:28" s="87" customFormat="1">
      <c r="A1283" s="87" t="s">
        <v>2729</v>
      </c>
      <c r="B1283" s="221" t="s">
        <v>2730</v>
      </c>
      <c r="C1283" s="79">
        <v>45785</v>
      </c>
      <c r="D1283" s="80">
        <v>45787</v>
      </c>
      <c r="E1283" s="41">
        <f>D1283-C1283</f>
        <v>2</v>
      </c>
      <c r="F1283" s="83" t="s">
        <v>0</v>
      </c>
      <c r="G1283" s="81"/>
      <c r="H1283" s="83" t="s">
        <v>290</v>
      </c>
      <c r="I1283" s="83"/>
      <c r="J1283" s="81"/>
    </row>
    <row r="1284" spans="1:28" s="87" customFormat="1">
      <c r="A1284" s="87" t="s">
        <v>2653</v>
      </c>
      <c r="B1284" s="221" t="s">
        <v>2654</v>
      </c>
      <c r="C1284" s="79">
        <v>45578</v>
      </c>
      <c r="D1284" s="80">
        <v>45794</v>
      </c>
      <c r="E1284" s="41">
        <f>D1284-C1284</f>
        <v>216</v>
      </c>
      <c r="F1284" s="43" t="s">
        <v>0</v>
      </c>
      <c r="G1284" s="81" t="s">
        <v>70</v>
      </c>
      <c r="H1284" s="83" t="s">
        <v>290</v>
      </c>
      <c r="I1284" s="81"/>
      <c r="L1284" s="87" t="s">
        <v>2655</v>
      </c>
    </row>
    <row r="1285" spans="1:28" s="87" customFormat="1">
      <c r="A1285" s="205" t="s">
        <v>615</v>
      </c>
      <c r="B1285" s="206" t="s">
        <v>616</v>
      </c>
      <c r="C1285" s="39">
        <v>45665</v>
      </c>
      <c r="D1285" s="39">
        <v>45808</v>
      </c>
      <c r="E1285" s="41">
        <f>D1285-C1285</f>
        <v>143</v>
      </c>
      <c r="F1285" s="43" t="s">
        <v>0</v>
      </c>
      <c r="G1285" s="45" t="s">
        <v>43</v>
      </c>
      <c r="H1285" s="83" t="s">
        <v>290</v>
      </c>
      <c r="I1285" s="207"/>
      <c r="J1285" s="42"/>
      <c r="K1285" s="42"/>
    </row>
    <row r="1286" spans="1:28" s="87" customFormat="1">
      <c r="A1286" s="87" t="s">
        <v>2731</v>
      </c>
      <c r="B1286" s="221" t="s">
        <v>2732</v>
      </c>
      <c r="C1286" s="79">
        <v>44667</v>
      </c>
      <c r="D1286" s="39">
        <v>45808</v>
      </c>
      <c r="E1286" s="41">
        <f>D1286-C1286</f>
        <v>1141</v>
      </c>
      <c r="F1286" s="43" t="s">
        <v>0</v>
      </c>
      <c r="G1286" s="81"/>
      <c r="H1286" s="83" t="s">
        <v>2</v>
      </c>
      <c r="I1286" s="83"/>
      <c r="J1286" s="81"/>
      <c r="L1286" s="220" t="s">
        <v>2733</v>
      </c>
      <c r="M1286" s="87" t="s">
        <v>2734</v>
      </c>
    </row>
    <row r="1287" spans="1:28" s="87" customFormat="1">
      <c r="A1287" s="87" t="s">
        <v>1174</v>
      </c>
      <c r="B1287" s="221" t="s">
        <v>2735</v>
      </c>
      <c r="C1287" s="79">
        <v>45797</v>
      </c>
      <c r="D1287" s="39">
        <v>45808</v>
      </c>
      <c r="E1287" s="41">
        <f>D1287-C1287</f>
        <v>11</v>
      </c>
      <c r="F1287" s="83" t="s">
        <v>272</v>
      </c>
      <c r="G1287" s="81"/>
      <c r="H1287" s="83" t="s">
        <v>290</v>
      </c>
      <c r="I1287" s="83"/>
      <c r="J1287" s="81"/>
    </row>
    <row r="1288" spans="1:28" s="87" customFormat="1">
      <c r="A1288" s="87" t="s">
        <v>2268</v>
      </c>
      <c r="B1288" s="221" t="s">
        <v>2736</v>
      </c>
      <c r="C1288" s="79">
        <v>45682</v>
      </c>
      <c r="D1288" s="80">
        <v>45829</v>
      </c>
      <c r="E1288" s="41">
        <f>D1288-C1288</f>
        <v>147</v>
      </c>
      <c r="F1288" s="43" t="s">
        <v>0</v>
      </c>
      <c r="G1288" s="81" t="s">
        <v>26</v>
      </c>
      <c r="H1288" s="83" t="s">
        <v>11</v>
      </c>
      <c r="I1288" s="81"/>
    </row>
    <row r="1289" spans="1:28" s="87" customFormat="1">
      <c r="A1289" s="91" t="s">
        <v>2172</v>
      </c>
      <c r="B1289" s="223" t="s">
        <v>2173</v>
      </c>
      <c r="C1289" s="79">
        <v>45424</v>
      </c>
      <c r="D1289" s="80">
        <v>45832</v>
      </c>
      <c r="E1289" s="41">
        <f>D1289-C1289</f>
        <v>408</v>
      </c>
      <c r="F1289" s="78" t="s">
        <v>0</v>
      </c>
      <c r="G1289" s="78" t="s">
        <v>2174</v>
      </c>
      <c r="H1289" s="78" t="s">
        <v>11</v>
      </c>
      <c r="I1289" s="78"/>
    </row>
    <row r="1290" spans="1:28" s="87" customFormat="1">
      <c r="A1290" s="87" t="s">
        <v>2737</v>
      </c>
      <c r="B1290" s="221" t="s">
        <v>2738</v>
      </c>
      <c r="C1290" s="79">
        <v>45745</v>
      </c>
      <c r="D1290" s="80">
        <v>45833</v>
      </c>
      <c r="E1290" s="41">
        <f>D1290-C1290</f>
        <v>88</v>
      </c>
      <c r="F1290" s="43" t="s">
        <v>0</v>
      </c>
      <c r="G1290" s="81" t="s">
        <v>1357</v>
      </c>
      <c r="H1290" s="83" t="s">
        <v>290</v>
      </c>
      <c r="I1290" s="83"/>
      <c r="J1290" s="81"/>
    </row>
    <row r="1291" spans="1:28" s="87" customFormat="1">
      <c r="A1291" s="205" t="s">
        <v>1374</v>
      </c>
      <c r="B1291" s="206" t="s">
        <v>2633</v>
      </c>
      <c r="C1291" s="39">
        <v>45815</v>
      </c>
      <c r="D1291" s="80">
        <v>45835</v>
      </c>
      <c r="E1291" s="41">
        <f>D1291-C1291</f>
        <v>20</v>
      </c>
      <c r="F1291" s="43" t="s">
        <v>0</v>
      </c>
      <c r="G1291" s="45" t="s">
        <v>2700</v>
      </c>
      <c r="H1291" s="41" t="s">
        <v>11</v>
      </c>
      <c r="I1291" s="207"/>
      <c r="J1291" s="205"/>
      <c r="K1291" s="220" t="s">
        <v>2244</v>
      </c>
      <c r="L1291" s="42" t="s">
        <v>1690</v>
      </c>
      <c r="M1291" s="205"/>
      <c r="N1291" s="205"/>
      <c r="O1291" s="205"/>
      <c r="P1291" s="205"/>
      <c r="Q1291" s="205"/>
      <c r="R1291" s="205"/>
      <c r="S1291" s="205"/>
      <c r="T1291" s="205"/>
      <c r="U1291" s="205"/>
      <c r="V1291" s="205"/>
      <c r="W1291" s="205"/>
      <c r="X1291" s="205"/>
      <c r="Y1291" s="205"/>
      <c r="Z1291" s="205"/>
      <c r="AA1291" s="205"/>
    </row>
    <row r="1292" spans="1:28" s="87" customFormat="1">
      <c r="A1292" s="87" t="s">
        <v>2739</v>
      </c>
      <c r="B1292" s="221" t="s">
        <v>2740</v>
      </c>
      <c r="C1292" s="79">
        <v>45251</v>
      </c>
      <c r="D1292" s="80">
        <v>45842</v>
      </c>
      <c r="E1292" s="41">
        <f>D1292-C1292</f>
        <v>591</v>
      </c>
      <c r="F1292" s="43" t="s">
        <v>0</v>
      </c>
      <c r="G1292" s="81"/>
      <c r="H1292" s="83" t="s">
        <v>290</v>
      </c>
      <c r="I1292" s="83"/>
      <c r="J1292" s="81"/>
    </row>
    <row r="1293" spans="1:28" s="87" customFormat="1">
      <c r="A1293" s="42" t="s">
        <v>2741</v>
      </c>
      <c r="B1293" s="206" t="s">
        <v>2203</v>
      </c>
      <c r="C1293" s="79">
        <v>45795</v>
      </c>
      <c r="D1293" s="80">
        <v>45843</v>
      </c>
      <c r="E1293" s="41">
        <f>D1293-C1293</f>
        <v>48</v>
      </c>
      <c r="F1293" s="43" t="s">
        <v>0</v>
      </c>
      <c r="G1293" s="81"/>
      <c r="H1293" s="83" t="s">
        <v>2</v>
      </c>
      <c r="I1293" s="207"/>
      <c r="J1293" s="205"/>
      <c r="K1293" s="220" t="s">
        <v>2204</v>
      </c>
      <c r="L1293" s="205"/>
    </row>
    <row r="1294" spans="1:28" s="87" customFormat="1">
      <c r="A1294" s="87" t="s">
        <v>2742</v>
      </c>
      <c r="B1294" s="221" t="s">
        <v>2743</v>
      </c>
      <c r="C1294" s="79">
        <v>45614</v>
      </c>
      <c r="D1294" s="80">
        <v>45850</v>
      </c>
      <c r="E1294" s="41">
        <f>D1294-C1294</f>
        <v>236</v>
      </c>
      <c r="F1294" s="46" t="s">
        <v>2528</v>
      </c>
      <c r="G1294" s="81"/>
      <c r="H1294" s="83" t="s">
        <v>290</v>
      </c>
      <c r="I1294" s="83"/>
      <c r="J1294" s="81"/>
    </row>
    <row r="1295" spans="1:28" s="87" customFormat="1">
      <c r="A1295" s="52" t="s">
        <v>681</v>
      </c>
      <c r="B1295" s="209" t="s">
        <v>1206</v>
      </c>
      <c r="C1295" s="79">
        <v>45828</v>
      </c>
      <c r="D1295" s="80">
        <v>45866</v>
      </c>
      <c r="E1295" s="41">
        <f>D1295-C1295</f>
        <v>38</v>
      </c>
      <c r="F1295" s="43" t="s">
        <v>0</v>
      </c>
      <c r="G1295" s="45" t="s">
        <v>2696</v>
      </c>
      <c r="H1295" s="45" t="s">
        <v>2</v>
      </c>
      <c r="I1295" s="45"/>
      <c r="J1295" s="207"/>
      <c r="K1295" s="205"/>
      <c r="L1295" s="53" t="s">
        <v>1207</v>
      </c>
      <c r="M1295" s="205"/>
      <c r="N1295" s="205"/>
      <c r="O1295" s="205"/>
      <c r="P1295" s="205"/>
      <c r="Q1295" s="205"/>
      <c r="R1295" s="205"/>
      <c r="S1295" s="205"/>
      <c r="T1295" s="205"/>
      <c r="U1295" s="205"/>
      <c r="V1295" s="205"/>
      <c r="W1295" s="205"/>
      <c r="X1295" s="205"/>
      <c r="Y1295" s="205"/>
      <c r="Z1295" s="205"/>
      <c r="AA1295" s="205"/>
      <c r="AB1295" s="205"/>
    </row>
    <row r="1296" spans="1:28" s="87" customFormat="1">
      <c r="A1296" s="37" t="s">
        <v>2744</v>
      </c>
      <c r="B1296" s="221" t="s">
        <v>2745</v>
      </c>
      <c r="C1296" s="79">
        <v>45172</v>
      </c>
      <c r="D1296" s="80">
        <v>45866</v>
      </c>
      <c r="E1296" s="41">
        <f>D1296-C1296</f>
        <v>694</v>
      </c>
      <c r="F1296" s="43" t="s">
        <v>0</v>
      </c>
      <c r="G1296" s="81"/>
      <c r="H1296" s="83" t="s">
        <v>290</v>
      </c>
      <c r="I1296" s="83"/>
      <c r="J1296" s="81"/>
      <c r="M1296" s="87" t="s">
        <v>2746</v>
      </c>
    </row>
    <row r="1297" spans="1:28" s="87" customFormat="1">
      <c r="A1297" s="87" t="s">
        <v>2747</v>
      </c>
      <c r="B1297" s="221" t="s">
        <v>2748</v>
      </c>
      <c r="C1297" s="79">
        <v>45684</v>
      </c>
      <c r="D1297" s="80">
        <v>45878</v>
      </c>
      <c r="E1297" s="41">
        <f>D1297-C1297</f>
        <v>194</v>
      </c>
      <c r="F1297" s="43" t="s">
        <v>0</v>
      </c>
      <c r="G1297" s="81"/>
      <c r="H1297" s="83" t="s">
        <v>290</v>
      </c>
      <c r="I1297" s="83"/>
      <c r="J1297" s="81"/>
    </row>
    <row r="1298" spans="1:28" s="87" customFormat="1">
      <c r="A1298" s="87" t="s">
        <v>2749</v>
      </c>
      <c r="B1298" s="221" t="s">
        <v>2750</v>
      </c>
      <c r="C1298" s="79">
        <v>45601</v>
      </c>
      <c r="D1298" s="80">
        <v>45885</v>
      </c>
      <c r="E1298" s="41">
        <f>D1298-C1298</f>
        <v>284</v>
      </c>
      <c r="F1298" s="83" t="s">
        <v>235</v>
      </c>
      <c r="G1298" s="81"/>
      <c r="H1298" s="83" t="s">
        <v>290</v>
      </c>
      <c r="I1298" s="83"/>
      <c r="J1298" s="81"/>
    </row>
    <row r="1299" spans="1:28" s="87" customFormat="1">
      <c r="A1299" s="87" t="s">
        <v>2751</v>
      </c>
      <c r="B1299" s="221" t="s">
        <v>2752</v>
      </c>
      <c r="C1299" s="79">
        <v>44561</v>
      </c>
      <c r="D1299" s="80">
        <v>45885</v>
      </c>
      <c r="E1299" s="41">
        <f>D1299-C1299</f>
        <v>1324</v>
      </c>
      <c r="F1299" s="83" t="s">
        <v>196</v>
      </c>
      <c r="G1299" s="81" t="s">
        <v>312</v>
      </c>
      <c r="H1299" s="83" t="s">
        <v>2</v>
      </c>
      <c r="I1299" s="83"/>
      <c r="J1299" s="81" t="s">
        <v>90</v>
      </c>
      <c r="L1299" s="220" t="s">
        <v>2753</v>
      </c>
      <c r="M1299" s="87" t="s">
        <v>2751</v>
      </c>
    </row>
    <row r="1300" spans="1:28" s="87" customFormat="1">
      <c r="A1300" s="87" t="s">
        <v>2546</v>
      </c>
      <c r="B1300" s="221" t="s">
        <v>2547</v>
      </c>
      <c r="C1300" s="79">
        <v>45464</v>
      </c>
      <c r="D1300" s="80">
        <v>45889</v>
      </c>
      <c r="E1300" s="41">
        <f>D1300-C1300</f>
        <v>425</v>
      </c>
      <c r="F1300" s="43" t="s">
        <v>0</v>
      </c>
      <c r="G1300" s="81" t="s">
        <v>2754</v>
      </c>
      <c r="H1300" s="83" t="s">
        <v>2</v>
      </c>
      <c r="I1300" s="83"/>
      <c r="J1300" s="81" t="s">
        <v>1987</v>
      </c>
      <c r="L1300" s="220" t="s">
        <v>2548</v>
      </c>
      <c r="M1300" s="87" t="s">
        <v>2549</v>
      </c>
    </row>
    <row r="1301" spans="1:28" s="87" customFormat="1">
      <c r="A1301" s="87" t="s">
        <v>2755</v>
      </c>
      <c r="B1301" s="221" t="s">
        <v>2756</v>
      </c>
      <c r="C1301" s="79">
        <v>44699</v>
      </c>
      <c r="D1301" s="80">
        <v>45894</v>
      </c>
      <c r="E1301" s="41">
        <f>D1301-C1301</f>
        <v>1195</v>
      </c>
      <c r="F1301" s="43" t="s">
        <v>0</v>
      </c>
      <c r="G1301" s="81"/>
      <c r="H1301" s="83" t="s">
        <v>2</v>
      </c>
      <c r="I1301" s="83"/>
      <c r="J1301" s="81"/>
    </row>
    <row r="1302" spans="1:28" s="87" customFormat="1">
      <c r="A1302" s="87" t="s">
        <v>2450</v>
      </c>
      <c r="B1302" s="221" t="s">
        <v>2757</v>
      </c>
      <c r="C1302" s="79">
        <v>45760</v>
      </c>
      <c r="D1302" s="80">
        <v>45899</v>
      </c>
      <c r="E1302" s="41">
        <f>D1302-C1302</f>
        <v>139</v>
      </c>
      <c r="F1302" s="43" t="s">
        <v>0</v>
      </c>
      <c r="G1302" s="81" t="s">
        <v>182</v>
      </c>
      <c r="H1302" s="83" t="s">
        <v>290</v>
      </c>
      <c r="I1302" s="83"/>
      <c r="J1302" s="81"/>
    </row>
    <row r="1303" spans="1:28" s="87" customFormat="1">
      <c r="A1303" s="87" t="s">
        <v>764</v>
      </c>
      <c r="B1303" s="221" t="s">
        <v>2144</v>
      </c>
      <c r="C1303" s="79">
        <v>45901</v>
      </c>
      <c r="D1303" s="80">
        <v>45906</v>
      </c>
      <c r="E1303" s="41">
        <f>D1303-C1303</f>
        <v>5</v>
      </c>
      <c r="F1303" s="43" t="s">
        <v>0</v>
      </c>
      <c r="G1303" s="81" t="s">
        <v>33</v>
      </c>
      <c r="H1303" s="81" t="s">
        <v>11</v>
      </c>
      <c r="I1303" s="207"/>
      <c r="J1303" s="205"/>
      <c r="K1303" s="205"/>
      <c r="L1303" s="205"/>
      <c r="M1303" s="205"/>
      <c r="N1303" s="205"/>
      <c r="O1303" s="205"/>
      <c r="P1303" s="205"/>
      <c r="Q1303" s="205"/>
      <c r="R1303" s="205"/>
      <c r="S1303" s="205"/>
      <c r="T1303" s="205"/>
      <c r="U1303" s="205"/>
      <c r="V1303" s="205"/>
      <c r="W1303" s="205"/>
      <c r="X1303" s="205"/>
      <c r="Y1303" s="205"/>
      <c r="Z1303" s="205"/>
      <c r="AA1303" s="205"/>
    </row>
    <row r="1304" spans="1:28" s="87" customFormat="1">
      <c r="A1304" s="87" t="s">
        <v>357</v>
      </c>
      <c r="B1304" s="221" t="s">
        <v>358</v>
      </c>
      <c r="C1304" s="79">
        <v>45720</v>
      </c>
      <c r="D1304" s="80">
        <v>45918</v>
      </c>
      <c r="E1304" s="41">
        <f>D1304-C1304</f>
        <v>198</v>
      </c>
      <c r="F1304" s="43" t="s">
        <v>0</v>
      </c>
      <c r="G1304" s="81"/>
      <c r="H1304" s="83" t="s">
        <v>290</v>
      </c>
      <c r="I1304" s="83"/>
      <c r="J1304" s="81"/>
    </row>
    <row r="1305" spans="1:28" s="87" customFormat="1">
      <c r="A1305" s="87" t="s">
        <v>1358</v>
      </c>
      <c r="B1305" s="221" t="s">
        <v>2758</v>
      </c>
      <c r="C1305" s="79">
        <v>44393</v>
      </c>
      <c r="D1305" s="80">
        <v>45921</v>
      </c>
      <c r="E1305" s="41">
        <f>D1305-C1305</f>
        <v>1528</v>
      </c>
      <c r="F1305" s="43" t="s">
        <v>0</v>
      </c>
      <c r="G1305" s="81"/>
      <c r="H1305" s="83" t="s">
        <v>11</v>
      </c>
      <c r="I1305" s="83"/>
      <c r="J1305" s="81" t="s">
        <v>30</v>
      </c>
      <c r="L1305" s="220" t="s">
        <v>2759</v>
      </c>
    </row>
    <row r="1306" spans="1:28" s="87" customFormat="1">
      <c r="A1306" s="205" t="s">
        <v>1715</v>
      </c>
      <c r="B1306" s="206" t="s">
        <v>1716</v>
      </c>
      <c r="C1306" s="79">
        <v>45893</v>
      </c>
      <c r="D1306" s="80">
        <v>45927</v>
      </c>
      <c r="E1306" s="41">
        <f>D1306-C1306</f>
        <v>34</v>
      </c>
      <c r="F1306" s="43" t="s">
        <v>0</v>
      </c>
      <c r="G1306" s="45" t="s">
        <v>1</v>
      </c>
      <c r="H1306" s="207" t="s">
        <v>290</v>
      </c>
      <c r="I1306" s="207"/>
      <c r="J1306" s="205"/>
      <c r="K1306" s="220" t="s">
        <v>1717</v>
      </c>
      <c r="L1306" s="42" t="s">
        <v>1718</v>
      </c>
    </row>
    <row r="1307" spans="1:28" s="87" customFormat="1">
      <c r="A1307" s="87" t="s">
        <v>2643</v>
      </c>
      <c r="B1307" s="221" t="s">
        <v>2760</v>
      </c>
      <c r="C1307" s="79">
        <v>45033</v>
      </c>
      <c r="D1307" s="80">
        <v>45934</v>
      </c>
      <c r="E1307" s="41">
        <f>D1307-C1307</f>
        <v>901</v>
      </c>
      <c r="F1307" s="43" t="s">
        <v>0</v>
      </c>
      <c r="G1307" s="81" t="s">
        <v>2700</v>
      </c>
      <c r="H1307" s="83" t="s">
        <v>290</v>
      </c>
      <c r="I1307" s="83"/>
      <c r="J1307" s="81"/>
    </row>
    <row r="1308" spans="1:28" s="87" customFormat="1">
      <c r="A1308" s="87" t="s">
        <v>2761</v>
      </c>
      <c r="B1308" s="221" t="s">
        <v>2762</v>
      </c>
      <c r="C1308" s="79">
        <v>45905</v>
      </c>
      <c r="D1308" s="80">
        <v>45945</v>
      </c>
      <c r="E1308" s="41">
        <f>D1308-C1308</f>
        <v>40</v>
      </c>
      <c r="F1308" s="43" t="s">
        <v>322</v>
      </c>
      <c r="G1308" s="81" t="s">
        <v>26</v>
      </c>
      <c r="H1308" s="207" t="s">
        <v>290</v>
      </c>
      <c r="I1308" s="83"/>
      <c r="J1308" s="81"/>
    </row>
    <row r="1309" spans="1:28" s="87" customFormat="1">
      <c r="A1309" s="87" t="s">
        <v>2763</v>
      </c>
      <c r="B1309" s="87" t="s">
        <v>2763</v>
      </c>
      <c r="C1309" s="79">
        <v>45931</v>
      </c>
      <c r="D1309" s="80">
        <v>45958</v>
      </c>
      <c r="E1309" s="41">
        <f>D1309-C1309</f>
        <v>27</v>
      </c>
      <c r="F1309" s="83" t="s">
        <v>272</v>
      </c>
      <c r="G1309" s="81"/>
      <c r="H1309" s="207" t="s">
        <v>290</v>
      </c>
      <c r="I1309" s="83"/>
      <c r="J1309" s="81"/>
    </row>
    <row r="1310" spans="1:28" s="87" customFormat="1">
      <c r="A1310" s="205" t="s">
        <v>619</v>
      </c>
      <c r="B1310" s="206" t="s">
        <v>620</v>
      </c>
      <c r="C1310" s="79">
        <v>44858</v>
      </c>
      <c r="D1310" s="80">
        <v>45959</v>
      </c>
      <c r="E1310" s="41">
        <f>D1310-C1310</f>
        <v>1101</v>
      </c>
      <c r="F1310" s="43" t="s">
        <v>0</v>
      </c>
      <c r="G1310" s="45" t="s">
        <v>2326</v>
      </c>
      <c r="H1310" s="47" t="s">
        <v>11</v>
      </c>
      <c r="I1310" s="47"/>
      <c r="J1310" s="207"/>
      <c r="K1310" s="205"/>
      <c r="L1310" s="53" t="s">
        <v>1370</v>
      </c>
      <c r="M1310" s="205"/>
      <c r="N1310" s="205"/>
      <c r="O1310" s="205"/>
      <c r="P1310" s="205"/>
      <c r="Q1310" s="205"/>
      <c r="R1310" s="205"/>
      <c r="S1310" s="205"/>
      <c r="T1310" s="205"/>
      <c r="U1310" s="205"/>
      <c r="V1310" s="205"/>
      <c r="W1310" s="205"/>
      <c r="X1310" s="205"/>
      <c r="Y1310" s="205"/>
      <c r="Z1310" s="205"/>
      <c r="AA1310" s="205"/>
      <c r="AB1310" s="205"/>
    </row>
    <row r="1311" spans="1:28" s="87" customFormat="1">
      <c r="A1311" s="37" t="s">
        <v>2629</v>
      </c>
      <c r="B1311" s="221" t="s">
        <v>2630</v>
      </c>
      <c r="C1311" s="79">
        <v>45703</v>
      </c>
      <c r="D1311" s="40">
        <v>45997</v>
      </c>
      <c r="E1311" s="41">
        <f>D1311-C1311</f>
        <v>294</v>
      </c>
      <c r="F1311" s="43" t="s">
        <v>0</v>
      </c>
      <c r="G1311" s="81"/>
      <c r="H1311" s="83" t="s">
        <v>290</v>
      </c>
      <c r="I1311" s="83"/>
      <c r="J1311" s="81"/>
    </row>
    <row r="1312" spans="1:28" s="87" customFormat="1">
      <c r="A1312" s="42" t="s">
        <v>2764</v>
      </c>
      <c r="B1312" s="206" t="s">
        <v>2765</v>
      </c>
      <c r="C1312" s="79">
        <v>44095</v>
      </c>
      <c r="D1312" s="80">
        <v>46004</v>
      </c>
      <c r="E1312" s="41">
        <f>D1312-C1312</f>
        <v>1909</v>
      </c>
      <c r="F1312" s="43" t="s">
        <v>0</v>
      </c>
      <c r="G1312" s="81" t="s">
        <v>2766</v>
      </c>
      <c r="H1312" s="83" t="s">
        <v>2</v>
      </c>
      <c r="I1312" s="83"/>
      <c r="J1312" s="81" t="s">
        <v>135</v>
      </c>
      <c r="L1312" s="220" t="s">
        <v>2767</v>
      </c>
    </row>
    <row r="1313" spans="1:27" s="87" customFormat="1">
      <c r="A1313" s="65" t="s">
        <v>2660</v>
      </c>
      <c r="B1313" s="206" t="s">
        <v>2768</v>
      </c>
      <c r="C1313" s="79">
        <v>45688</v>
      </c>
      <c r="D1313" s="80">
        <v>46011</v>
      </c>
      <c r="E1313" s="41">
        <f>D1313-C1313</f>
        <v>323</v>
      </c>
      <c r="F1313" s="43" t="s">
        <v>0</v>
      </c>
      <c r="G1313" s="81" t="s">
        <v>1</v>
      </c>
      <c r="H1313" s="83" t="s">
        <v>2</v>
      </c>
      <c r="I1313" s="83"/>
      <c r="J1313" s="81" t="s">
        <v>146</v>
      </c>
      <c r="L1313" s="220" t="s">
        <v>2662</v>
      </c>
    </row>
    <row r="1314" spans="1:27" s="87" customFormat="1">
      <c r="A1314" s="87" t="s">
        <v>2769</v>
      </c>
      <c r="B1314" s="221" t="s">
        <v>2770</v>
      </c>
      <c r="C1314" s="79">
        <v>46007</v>
      </c>
      <c r="D1314" s="80">
        <v>46012</v>
      </c>
      <c r="E1314" s="41">
        <f>D1314-C1314</f>
        <v>5</v>
      </c>
      <c r="F1314" s="83" t="s">
        <v>322</v>
      </c>
      <c r="G1314" s="81"/>
      <c r="H1314" s="83" t="s">
        <v>290</v>
      </c>
      <c r="I1314" s="83"/>
      <c r="J1314" s="81"/>
    </row>
    <row r="1315" spans="1:27" s="87" customFormat="1">
      <c r="A1315" s="87" t="s">
        <v>2771</v>
      </c>
      <c r="B1315" s="221" t="s">
        <v>2772</v>
      </c>
      <c r="C1315" s="79">
        <v>44590</v>
      </c>
      <c r="D1315" s="80">
        <v>46013</v>
      </c>
      <c r="E1315" s="41">
        <f>D1315-C1315</f>
        <v>1423</v>
      </c>
      <c r="F1315" s="43" t="s">
        <v>0</v>
      </c>
      <c r="G1315" s="81"/>
      <c r="H1315" s="83" t="s">
        <v>2</v>
      </c>
      <c r="I1315" s="83"/>
      <c r="J1315" s="81"/>
    </row>
    <row r="1316" spans="1:27" s="87" customFormat="1">
      <c r="A1316" s="87" t="s">
        <v>2737</v>
      </c>
      <c r="B1316" s="221" t="s">
        <v>2738</v>
      </c>
      <c r="C1316" s="79">
        <v>45945</v>
      </c>
      <c r="D1316" s="80">
        <v>46021</v>
      </c>
      <c r="E1316" s="41">
        <f>D1316-C1316</f>
        <v>76</v>
      </c>
      <c r="F1316" s="43" t="s">
        <v>0</v>
      </c>
      <c r="G1316" s="81" t="s">
        <v>1357</v>
      </c>
      <c r="H1316" s="83" t="s">
        <v>290</v>
      </c>
      <c r="I1316" s="83"/>
      <c r="J1316" s="81"/>
    </row>
    <row r="1317" spans="1:27" s="87" customFormat="1">
      <c r="A1317" s="87" t="s">
        <v>2773</v>
      </c>
      <c r="B1317" s="221" t="s">
        <v>2774</v>
      </c>
      <c r="C1317" s="79">
        <v>44953</v>
      </c>
      <c r="D1317" s="80">
        <v>46026</v>
      </c>
      <c r="E1317" s="41">
        <f>D1317-C1317</f>
        <v>1073</v>
      </c>
      <c r="F1317" s="83" t="s">
        <v>2572</v>
      </c>
      <c r="G1317" s="81"/>
      <c r="H1317" s="83" t="s">
        <v>290</v>
      </c>
      <c r="I1317" s="83"/>
      <c r="J1317" s="81"/>
    </row>
    <row r="1318" spans="1:27" s="87" customFormat="1">
      <c r="A1318" s="205" t="s">
        <v>1642</v>
      </c>
      <c r="B1318" s="239" t="s">
        <v>2631</v>
      </c>
      <c r="C1318" s="79">
        <v>45641</v>
      </c>
      <c r="D1318" s="80">
        <v>46029</v>
      </c>
      <c r="E1318" s="41">
        <f>D1318-C1318</f>
        <v>388</v>
      </c>
      <c r="F1318" s="43" t="s">
        <v>0</v>
      </c>
      <c r="G1318" s="207"/>
      <c r="H1318" s="41" t="s">
        <v>11</v>
      </c>
      <c r="I1318" s="207"/>
      <c r="J1318" s="205"/>
      <c r="K1318" s="205"/>
      <c r="L1318" s="42" t="s">
        <v>1643</v>
      </c>
      <c r="M1318" s="205"/>
      <c r="N1318" s="205"/>
      <c r="O1318" s="205"/>
      <c r="P1318" s="205"/>
      <c r="Q1318" s="205"/>
      <c r="R1318" s="205"/>
      <c r="S1318" s="205"/>
      <c r="T1318" s="205"/>
      <c r="U1318" s="205"/>
      <c r="V1318" s="205"/>
      <c r="W1318" s="205"/>
      <c r="X1318" s="205"/>
      <c r="Y1318" s="205"/>
      <c r="Z1318" s="205"/>
      <c r="AA1318" s="205"/>
    </row>
    <row r="1319" spans="1:27" s="87" customFormat="1">
      <c r="A1319" s="87" t="s">
        <v>2520</v>
      </c>
      <c r="B1319" s="221" t="s">
        <v>2521</v>
      </c>
      <c r="C1319" s="79">
        <v>45848</v>
      </c>
      <c r="D1319" s="39">
        <v>46046</v>
      </c>
      <c r="E1319" s="41">
        <f>D1319-C1319</f>
        <v>198</v>
      </c>
      <c r="F1319" s="43" t="s">
        <v>0</v>
      </c>
      <c r="G1319" s="45" t="s">
        <v>2326</v>
      </c>
      <c r="H1319" s="83" t="s">
        <v>2</v>
      </c>
      <c r="I1319" s="81" t="s">
        <v>2522</v>
      </c>
      <c r="K1319" s="220" t="s">
        <v>2523</v>
      </c>
      <c r="L1319" s="87" t="s">
        <v>2524</v>
      </c>
    </row>
    <row r="1320" spans="1:27" s="87" customFormat="1">
      <c r="A1320" s="87" t="s">
        <v>2775</v>
      </c>
      <c r="B1320" s="221" t="s">
        <v>2776</v>
      </c>
      <c r="C1320" s="79">
        <v>46022</v>
      </c>
      <c r="D1320" s="80">
        <v>46050</v>
      </c>
      <c r="E1320" s="41">
        <f>D1320-C1320</f>
        <v>28</v>
      </c>
      <c r="F1320" s="83" t="s">
        <v>2777</v>
      </c>
      <c r="G1320" s="81"/>
      <c r="H1320" s="83" t="s">
        <v>290</v>
      </c>
      <c r="I1320" s="83"/>
      <c r="J1320" s="81"/>
    </row>
    <row r="1321" spans="1:27" s="87" customFormat="1">
      <c r="A1321" s="87" t="s">
        <v>2778</v>
      </c>
      <c r="B1321" s="221" t="s">
        <v>2779</v>
      </c>
      <c r="C1321" s="79">
        <v>45761</v>
      </c>
      <c r="D1321" s="80">
        <v>46065</v>
      </c>
      <c r="E1321" s="41">
        <f>D1321-C1321</f>
        <v>304</v>
      </c>
      <c r="F1321" s="83" t="s">
        <v>58</v>
      </c>
      <c r="G1321" s="81"/>
      <c r="H1321" s="83" t="s">
        <v>290</v>
      </c>
      <c r="I1321" s="83"/>
      <c r="J1321" s="81"/>
    </row>
    <row r="1322" spans="1:27" s="87" customFormat="1">
      <c r="A1322" s="87" t="s">
        <v>2780</v>
      </c>
      <c r="B1322" s="221" t="s">
        <v>2781</v>
      </c>
      <c r="C1322" s="79">
        <v>46054</v>
      </c>
      <c r="D1322" s="80">
        <v>46067</v>
      </c>
      <c r="E1322" s="41">
        <f>D1322-C1322</f>
        <v>13</v>
      </c>
      <c r="F1322" s="83" t="s">
        <v>180</v>
      </c>
      <c r="G1322" s="81"/>
      <c r="H1322" s="83" t="s">
        <v>290</v>
      </c>
      <c r="I1322" s="83"/>
      <c r="J1322" s="81"/>
    </row>
    <row r="1323" spans="1:27" s="87" customFormat="1">
      <c r="A1323" s="42" t="s">
        <v>1499</v>
      </c>
      <c r="B1323" s="206" t="s">
        <v>1500</v>
      </c>
      <c r="C1323" s="39">
        <v>45658</v>
      </c>
      <c r="D1323" s="40">
        <v>46109</v>
      </c>
      <c r="E1323" s="41">
        <f>D1323-C1323</f>
        <v>451</v>
      </c>
      <c r="F1323" s="43" t="s">
        <v>0</v>
      </c>
      <c r="G1323" s="45" t="s">
        <v>2455</v>
      </c>
      <c r="H1323" s="43" t="s">
        <v>11</v>
      </c>
      <c r="I1323" s="45" t="s">
        <v>2456</v>
      </c>
      <c r="J1323" s="42"/>
      <c r="K1323" s="220" t="s">
        <v>2457</v>
      </c>
      <c r="L1323" s="42"/>
      <c r="M1323" s="42"/>
    </row>
    <row r="1324" spans="1:27" s="87" customFormat="1">
      <c r="A1324" s="37" t="s">
        <v>2782</v>
      </c>
      <c r="B1324" s="221" t="s">
        <v>2783</v>
      </c>
      <c r="C1324" s="79">
        <v>44983</v>
      </c>
      <c r="D1324" s="80">
        <v>46123</v>
      </c>
      <c r="E1324" s="41">
        <f>D1324-C1324</f>
        <v>1140</v>
      </c>
      <c r="F1324" s="43" t="s">
        <v>0</v>
      </c>
      <c r="G1324" s="81" t="s">
        <v>1</v>
      </c>
      <c r="H1324" s="83" t="s">
        <v>290</v>
      </c>
      <c r="I1324" s="83"/>
      <c r="J1324" s="81"/>
      <c r="M1324" s="87" t="s">
        <v>2784</v>
      </c>
    </row>
    <row r="1325" spans="1:27" s="87" customFormat="1">
      <c r="A1325" s="87" t="s">
        <v>2785</v>
      </c>
      <c r="B1325" s="221" t="s">
        <v>2786</v>
      </c>
      <c r="C1325" s="79">
        <v>45660</v>
      </c>
      <c r="D1325" s="80">
        <v>46137</v>
      </c>
      <c r="E1325" s="41">
        <f>D1325-C1325</f>
        <v>477</v>
      </c>
      <c r="F1325" s="43" t="s">
        <v>0</v>
      </c>
      <c r="G1325" s="81" t="s">
        <v>70</v>
      </c>
      <c r="H1325" s="83" t="s">
        <v>290</v>
      </c>
      <c r="I1325" s="83"/>
      <c r="J1325" s="81"/>
      <c r="M1325" s="221" t="s">
        <v>2787</v>
      </c>
    </row>
    <row r="1326" spans="1:27" s="87" customFormat="1">
      <c r="A1326" s="87" t="s">
        <v>2247</v>
      </c>
      <c r="B1326" s="221" t="s">
        <v>2248</v>
      </c>
      <c r="C1326" s="39">
        <v>46006</v>
      </c>
      <c r="D1326" s="80">
        <v>46137</v>
      </c>
      <c r="E1326" s="41">
        <f>D1326-C1326</f>
        <v>131</v>
      </c>
      <c r="F1326" s="83" t="s">
        <v>196</v>
      </c>
      <c r="G1326" s="81"/>
      <c r="H1326" s="83" t="s">
        <v>2</v>
      </c>
      <c r="I1326" s="81" t="s">
        <v>21</v>
      </c>
    </row>
    <row r="1327" spans="1:27" s="87" customFormat="1">
      <c r="A1327" s="87" t="s">
        <v>2788</v>
      </c>
      <c r="B1327" s="221" t="s">
        <v>2789</v>
      </c>
      <c r="C1327" s="79">
        <v>45109</v>
      </c>
      <c r="D1327" s="80">
        <v>46137</v>
      </c>
      <c r="E1327" s="41">
        <f>D1327-C1327</f>
        <v>1028</v>
      </c>
      <c r="F1327" s="43" t="s">
        <v>0</v>
      </c>
      <c r="G1327" s="81"/>
      <c r="H1327" s="83" t="s">
        <v>290</v>
      </c>
      <c r="I1327" s="83"/>
      <c r="J1327" s="81"/>
    </row>
    <row r="1328" spans="1:27" s="87" customFormat="1">
      <c r="A1328" s="87" t="s">
        <v>1013</v>
      </c>
      <c r="B1328" s="221" t="s">
        <v>1014</v>
      </c>
      <c r="C1328" s="79">
        <v>46033</v>
      </c>
      <c r="D1328" s="80">
        <v>46138</v>
      </c>
      <c r="E1328" s="41">
        <f>D1328-C1328</f>
        <v>105</v>
      </c>
      <c r="F1328" s="83" t="s">
        <v>0</v>
      </c>
      <c r="G1328" s="81"/>
      <c r="H1328" s="83" t="s">
        <v>290</v>
      </c>
      <c r="I1328" s="83" t="s">
        <v>1450</v>
      </c>
      <c r="J1328" s="81"/>
      <c r="L1328" s="87" t="s">
        <v>1503</v>
      </c>
    </row>
    <row r="1329" spans="1:28" s="87" customFormat="1">
      <c r="A1329" s="205" t="s">
        <v>1374</v>
      </c>
      <c r="B1329" s="206" t="s">
        <v>2633</v>
      </c>
      <c r="C1329" s="39">
        <v>46144</v>
      </c>
      <c r="D1329" s="80">
        <v>46166</v>
      </c>
      <c r="E1329" s="41">
        <f>D1329-C1329</f>
        <v>22</v>
      </c>
      <c r="F1329" s="43" t="s">
        <v>0</v>
      </c>
      <c r="G1329" s="45" t="s">
        <v>2790</v>
      </c>
      <c r="H1329" s="41" t="s">
        <v>11</v>
      </c>
      <c r="I1329" s="207"/>
      <c r="J1329" s="205"/>
      <c r="K1329" s="220" t="s">
        <v>2244</v>
      </c>
      <c r="L1329" s="42" t="s">
        <v>1690</v>
      </c>
      <c r="M1329" s="205"/>
      <c r="N1329" s="205"/>
      <c r="O1329" s="205"/>
      <c r="P1329" s="205"/>
      <c r="Q1329" s="205"/>
      <c r="R1329" s="205"/>
      <c r="S1329" s="205"/>
      <c r="T1329" s="205"/>
      <c r="U1329" s="205"/>
      <c r="V1329" s="205"/>
      <c r="W1329" s="205"/>
      <c r="X1329" s="205"/>
      <c r="Y1329" s="205"/>
      <c r="Z1329" s="205"/>
      <c r="AA1329" s="205"/>
    </row>
    <row r="1330" spans="1:28" s="87" customFormat="1">
      <c r="A1330" s="87" t="s">
        <v>2253</v>
      </c>
      <c r="B1330" s="221" t="s">
        <v>2254</v>
      </c>
      <c r="C1330" s="39">
        <v>46139</v>
      </c>
      <c r="D1330" s="40">
        <v>46172</v>
      </c>
      <c r="E1330" s="41">
        <f>D1330-C1330</f>
        <v>33</v>
      </c>
      <c r="F1330" s="43" t="s">
        <v>0</v>
      </c>
      <c r="G1330" s="81" t="s">
        <v>70</v>
      </c>
      <c r="H1330" s="83" t="s">
        <v>11</v>
      </c>
      <c r="I1330" s="207"/>
      <c r="J1330" s="205"/>
      <c r="K1330" s="205"/>
      <c r="L1330" s="205"/>
      <c r="M1330" s="205" t="s">
        <v>2632</v>
      </c>
      <c r="N1330" s="205"/>
      <c r="O1330" s="205"/>
      <c r="P1330" s="205"/>
      <c r="Q1330" s="205"/>
      <c r="R1330" s="205"/>
      <c r="S1330" s="205"/>
      <c r="T1330" s="205"/>
      <c r="U1330" s="205"/>
      <c r="V1330" s="205"/>
      <c r="W1330" s="205"/>
      <c r="X1330" s="205"/>
      <c r="Y1330" s="205"/>
      <c r="Z1330" s="205"/>
      <c r="AA1330" s="205"/>
    </row>
    <row r="1331" spans="1:28" s="87" customFormat="1">
      <c r="A1331" s="42" t="s">
        <v>970</v>
      </c>
      <c r="B1331" s="206" t="s">
        <v>971</v>
      </c>
      <c r="C1331" s="39">
        <v>45460</v>
      </c>
      <c r="D1331" s="39">
        <v>46204</v>
      </c>
      <c r="E1331" s="41">
        <f>D1331-C1331</f>
        <v>744</v>
      </c>
      <c r="F1331" s="43" t="s">
        <v>0</v>
      </c>
      <c r="G1331" s="45"/>
      <c r="H1331" s="45" t="s">
        <v>11</v>
      </c>
      <c r="I1331" s="45"/>
      <c r="J1331" s="54"/>
      <c r="K1331" s="205"/>
      <c r="L1331" s="205"/>
      <c r="M1331" s="205"/>
      <c r="N1331" s="205"/>
      <c r="O1331" s="205"/>
      <c r="P1331" s="205"/>
      <c r="Q1331" s="205"/>
      <c r="R1331" s="205"/>
      <c r="S1331" s="205"/>
      <c r="T1331" s="205"/>
      <c r="U1331" s="205"/>
      <c r="V1331" s="205"/>
      <c r="W1331" s="205"/>
      <c r="X1331" s="205"/>
      <c r="Y1331" s="205"/>
      <c r="Z1331" s="205"/>
      <c r="AA1331" s="205"/>
      <c r="AB1331" s="205"/>
    </row>
    <row r="1332" spans="1:28" s="87" customFormat="1">
      <c r="A1332" s="87" t="s">
        <v>370</v>
      </c>
      <c r="B1332" s="221" t="s">
        <v>371</v>
      </c>
      <c r="C1332" s="79">
        <v>46067</v>
      </c>
      <c r="D1332" s="39">
        <v>46207</v>
      </c>
      <c r="E1332" s="41">
        <f>D1332-C1332</f>
        <v>140</v>
      </c>
      <c r="F1332" s="83" t="s">
        <v>2247</v>
      </c>
      <c r="G1332" s="81" t="s">
        <v>70</v>
      </c>
      <c r="H1332" s="83" t="s">
        <v>290</v>
      </c>
      <c r="I1332" s="83"/>
      <c r="J1332" s="81"/>
    </row>
    <row r="1333" spans="1:28" s="87" customFormat="1">
      <c r="A1333" s="42" t="s">
        <v>1345</v>
      </c>
      <c r="B1333" s="209" t="s">
        <v>1346</v>
      </c>
      <c r="C1333" s="79">
        <v>46113</v>
      </c>
      <c r="D1333" s="80">
        <v>46221</v>
      </c>
      <c r="E1333" s="41">
        <f>D1333-C1333</f>
        <v>108</v>
      </c>
      <c r="F1333" s="43" t="s">
        <v>0</v>
      </c>
      <c r="G1333" s="45" t="s">
        <v>70</v>
      </c>
      <c r="H1333" s="45" t="s">
        <v>2</v>
      </c>
      <c r="I1333" s="45"/>
      <c r="J1333" s="207"/>
      <c r="K1333" s="205"/>
      <c r="L1333" s="53" t="s">
        <v>1347</v>
      </c>
      <c r="M1333" s="205"/>
      <c r="N1333" s="205"/>
    </row>
    <row r="1334" spans="1:28" s="87" customFormat="1">
      <c r="A1334" s="205" t="s">
        <v>2161</v>
      </c>
      <c r="B1334" s="205" t="s">
        <v>2230</v>
      </c>
      <c r="C1334" s="39">
        <v>46120</v>
      </c>
      <c r="D1334" s="80">
        <v>46233</v>
      </c>
      <c r="E1334" s="41">
        <f>D1334-C1334</f>
        <v>113</v>
      </c>
      <c r="F1334" s="43" t="s">
        <v>0</v>
      </c>
      <c r="G1334" s="81" t="s">
        <v>70</v>
      </c>
      <c r="H1334" s="43" t="s">
        <v>2</v>
      </c>
      <c r="I1334" s="45" t="s">
        <v>2458</v>
      </c>
      <c r="J1334" s="87" t="s">
        <v>817</v>
      </c>
      <c r="K1334" s="205"/>
      <c r="L1334" s="205"/>
      <c r="M1334" s="205"/>
      <c r="N1334" s="87" t="s">
        <v>2713</v>
      </c>
      <c r="O1334" s="205"/>
      <c r="P1334" s="205"/>
      <c r="Q1334" s="205"/>
      <c r="R1334" s="205"/>
      <c r="S1334" s="205"/>
      <c r="T1334" s="205"/>
      <c r="U1334" s="205"/>
      <c r="V1334" s="205"/>
      <c r="W1334" s="205"/>
      <c r="X1334" s="205"/>
      <c r="Y1334" s="205"/>
      <c r="Z1334" s="205"/>
      <c r="AA1334" s="205"/>
      <c r="AB1334" s="205"/>
    </row>
    <row r="1335" spans="1:28" s="87" customFormat="1">
      <c r="A1335" s="37" t="s">
        <v>2791</v>
      </c>
      <c r="B1335" s="221" t="s">
        <v>2792</v>
      </c>
      <c r="C1335" s="79">
        <v>44868</v>
      </c>
      <c r="D1335" s="80">
        <v>46248</v>
      </c>
      <c r="E1335" s="41">
        <f>D1335-C1335</f>
        <v>1380</v>
      </c>
      <c r="F1335" s="43" t="s">
        <v>0</v>
      </c>
      <c r="G1335" s="81" t="s">
        <v>2793</v>
      </c>
      <c r="H1335" s="83" t="s">
        <v>11</v>
      </c>
      <c r="I1335" s="83"/>
      <c r="J1335" s="81"/>
    </row>
    <row r="1336" spans="1:28" s="87" customFormat="1">
      <c r="A1336" s="91" t="s">
        <v>2622</v>
      </c>
      <c r="B1336" s="223" t="s">
        <v>2623</v>
      </c>
      <c r="C1336" s="79">
        <v>45459</v>
      </c>
      <c r="D1336" s="80">
        <v>46255</v>
      </c>
      <c r="E1336" s="41">
        <f>D1336-C1336</f>
        <v>796</v>
      </c>
      <c r="F1336" s="78" t="s">
        <v>0</v>
      </c>
      <c r="G1336" s="81"/>
      <c r="H1336" s="78" t="s">
        <v>290</v>
      </c>
      <c r="I1336" s="78"/>
    </row>
    <row r="1337" spans="1:28" s="87" customFormat="1">
      <c r="A1337" s="87" t="s">
        <v>2403</v>
      </c>
      <c r="B1337" s="221" t="s">
        <v>2404</v>
      </c>
      <c r="C1337" s="79">
        <v>45048</v>
      </c>
      <c r="D1337" s="80">
        <v>46255</v>
      </c>
      <c r="E1337" s="41">
        <f>D1337-C1337</f>
        <v>1207</v>
      </c>
      <c r="F1337" s="43" t="s">
        <v>0</v>
      </c>
      <c r="G1337" s="81"/>
      <c r="H1337" s="83" t="s">
        <v>11</v>
      </c>
      <c r="I1337" s="83"/>
      <c r="J1337" s="81" t="s">
        <v>3</v>
      </c>
      <c r="L1337" s="220" t="s">
        <v>2405</v>
      </c>
    </row>
    <row r="1338" spans="1:28" s="87" customFormat="1">
      <c r="A1338" s="87" t="s">
        <v>2568</v>
      </c>
      <c r="B1338" s="221" t="s">
        <v>2569</v>
      </c>
      <c r="C1338" s="79">
        <v>45893</v>
      </c>
      <c r="D1338" s="40">
        <v>46256</v>
      </c>
      <c r="E1338" s="41">
        <f>D1338-C1338</f>
        <v>363</v>
      </c>
      <c r="F1338" s="43" t="s">
        <v>0</v>
      </c>
      <c r="G1338" s="81" t="s">
        <v>1089</v>
      </c>
      <c r="H1338" s="83" t="s">
        <v>2</v>
      </c>
      <c r="I1338" s="81"/>
    </row>
    <row r="1339" spans="1:28" s="87" customFormat="1">
      <c r="A1339" s="37" t="s">
        <v>2528</v>
      </c>
      <c r="B1339" s="221" t="s">
        <v>2529</v>
      </c>
      <c r="C1339" s="79">
        <v>46015</v>
      </c>
      <c r="D1339" s="40">
        <v>46256</v>
      </c>
      <c r="E1339" s="41">
        <f>D1339-C1339</f>
        <v>241</v>
      </c>
      <c r="F1339" s="43" t="s">
        <v>0</v>
      </c>
      <c r="G1339" s="81" t="s">
        <v>33</v>
      </c>
      <c r="H1339" s="83" t="s">
        <v>11</v>
      </c>
      <c r="I1339" s="81"/>
    </row>
    <row r="1340" spans="1:28" s="87" customFormat="1">
      <c r="A1340" s="37" t="s">
        <v>2624</v>
      </c>
      <c r="B1340" s="221" t="s">
        <v>2794</v>
      </c>
      <c r="C1340" s="79">
        <v>46196</v>
      </c>
      <c r="D1340" s="80">
        <v>46267</v>
      </c>
      <c r="E1340" s="41">
        <f>D1340-C1340</f>
        <v>71</v>
      </c>
      <c r="F1340" s="43" t="s">
        <v>0</v>
      </c>
      <c r="G1340" s="81" t="s">
        <v>70</v>
      </c>
      <c r="H1340" s="83" t="s">
        <v>2</v>
      </c>
      <c r="I1340" s="81"/>
      <c r="N1340" s="87" t="s">
        <v>2394</v>
      </c>
    </row>
    <row r="1341" spans="1:28" s="87" customFormat="1">
      <c r="A1341" s="205" t="s">
        <v>2029</v>
      </c>
      <c r="B1341" s="221" t="s">
        <v>2030</v>
      </c>
      <c r="C1341" s="79">
        <v>46267</v>
      </c>
      <c r="D1341" s="80">
        <v>46270</v>
      </c>
      <c r="E1341" s="41">
        <f>D1341-C1341</f>
        <v>3</v>
      </c>
      <c r="F1341" s="43" t="s">
        <v>0</v>
      </c>
      <c r="G1341" s="81" t="s">
        <v>2638</v>
      </c>
      <c r="H1341" s="83" t="s">
        <v>2</v>
      </c>
      <c r="I1341" s="81" t="s">
        <v>21</v>
      </c>
      <c r="K1341" s="220" t="s">
        <v>2031</v>
      </c>
      <c r="L1341" s="205" t="s">
        <v>2029</v>
      </c>
    </row>
    <row r="1342" spans="1:28" s="87" customFormat="1">
      <c r="A1342" s="52" t="s">
        <v>681</v>
      </c>
      <c r="B1342" s="209" t="s">
        <v>1206</v>
      </c>
      <c r="C1342" s="79">
        <v>46128</v>
      </c>
      <c r="D1342" s="80">
        <v>46270</v>
      </c>
      <c r="E1342" s="41">
        <f>D1342-C1342</f>
        <v>142</v>
      </c>
      <c r="F1342" s="43" t="s">
        <v>0</v>
      </c>
      <c r="G1342" s="45" t="s">
        <v>2696</v>
      </c>
      <c r="H1342" s="45" t="s">
        <v>2</v>
      </c>
      <c r="I1342" s="45"/>
      <c r="J1342" s="207"/>
      <c r="K1342" s="205"/>
      <c r="L1342" s="53" t="s">
        <v>1207</v>
      </c>
      <c r="M1342" s="205"/>
      <c r="N1342" s="205"/>
      <c r="O1342" s="205"/>
      <c r="P1342" s="205"/>
      <c r="Q1342" s="205"/>
      <c r="R1342" s="205"/>
      <c r="S1342" s="205"/>
      <c r="T1342" s="205"/>
      <c r="U1342" s="205"/>
      <c r="V1342" s="205"/>
      <c r="W1342" s="205"/>
      <c r="X1342" s="205"/>
      <c r="Y1342" s="205"/>
      <c r="Z1342" s="205"/>
      <c r="AA1342" s="205"/>
      <c r="AB1342" s="205"/>
    </row>
    <row r="1343" spans="1:28" s="87" customFormat="1">
      <c r="A1343" s="87" t="s">
        <v>2795</v>
      </c>
      <c r="B1343" s="221" t="s">
        <v>2796</v>
      </c>
      <c r="C1343" s="79">
        <v>46156</v>
      </c>
      <c r="D1343" s="80">
        <v>46281</v>
      </c>
      <c r="E1343" s="41">
        <f>D1343-C1343</f>
        <v>125</v>
      </c>
      <c r="F1343" s="43" t="s">
        <v>0</v>
      </c>
      <c r="G1343" s="81" t="s">
        <v>33</v>
      </c>
      <c r="H1343" s="83" t="s">
        <v>290</v>
      </c>
      <c r="I1343" s="83"/>
      <c r="J1343" s="81"/>
    </row>
    <row r="1344" spans="1:28" s="87" customFormat="1">
      <c r="A1344" s="87" t="s">
        <v>1358</v>
      </c>
      <c r="B1344" s="221" t="s">
        <v>2797</v>
      </c>
      <c r="C1344" s="79">
        <v>46062</v>
      </c>
      <c r="D1344" s="80">
        <v>46282</v>
      </c>
      <c r="E1344" s="41">
        <f>D1344-C1344</f>
        <v>220</v>
      </c>
      <c r="F1344" s="43" t="s">
        <v>0</v>
      </c>
      <c r="G1344" s="81" t="s">
        <v>2798</v>
      </c>
      <c r="H1344" s="83" t="s">
        <v>11</v>
      </c>
      <c r="I1344" s="83"/>
      <c r="J1344" s="81" t="s">
        <v>30</v>
      </c>
      <c r="L1344" s="220" t="s">
        <v>2759</v>
      </c>
      <c r="N1344" s="87" t="s">
        <v>2758</v>
      </c>
    </row>
    <row r="1345" spans="1:14" s="87" customFormat="1">
      <c r="A1345" s="87" t="s">
        <v>2799</v>
      </c>
      <c r="B1345" s="221" t="s">
        <v>2800</v>
      </c>
      <c r="C1345" s="79">
        <v>45512</v>
      </c>
      <c r="D1345" s="80">
        <v>46283</v>
      </c>
      <c r="E1345" s="41">
        <f>D1345-C1345</f>
        <v>771</v>
      </c>
      <c r="F1345" s="83" t="s">
        <v>196</v>
      </c>
      <c r="G1345" s="81"/>
      <c r="H1345" s="83" t="s">
        <v>290</v>
      </c>
      <c r="I1345" s="83"/>
      <c r="J1345" s="81"/>
      <c r="N1345" s="221" t="s">
        <v>2801</v>
      </c>
    </row>
    <row r="1346" spans="1:14" s="87" customFormat="1">
      <c r="A1346" s="87" t="s">
        <v>2403</v>
      </c>
      <c r="B1346" s="221" t="s">
        <v>2404</v>
      </c>
      <c r="C1346" s="79">
        <v>46258</v>
      </c>
      <c r="D1346" s="80">
        <v>46291</v>
      </c>
      <c r="E1346" s="41">
        <f>D1346-C1346</f>
        <v>33</v>
      </c>
      <c r="F1346" s="43" t="s">
        <v>0</v>
      </c>
      <c r="G1346" s="81"/>
      <c r="H1346" s="83" t="s">
        <v>11</v>
      </c>
      <c r="I1346" s="83"/>
      <c r="J1346" s="81" t="s">
        <v>3</v>
      </c>
      <c r="L1346" s="220" t="s">
        <v>2405</v>
      </c>
    </row>
    <row r="1347" spans="1:14" s="87" customFormat="1">
      <c r="A1347" s="37" t="s">
        <v>2802</v>
      </c>
      <c r="B1347" s="221" t="s">
        <v>2803</v>
      </c>
      <c r="C1347" s="79">
        <v>45036</v>
      </c>
      <c r="D1347" s="80">
        <v>46313</v>
      </c>
      <c r="E1347" s="41">
        <f>D1347-C1347</f>
        <v>1277</v>
      </c>
      <c r="F1347" s="43" t="s">
        <v>0</v>
      </c>
      <c r="G1347" s="81"/>
      <c r="H1347" s="83" t="s">
        <v>290</v>
      </c>
      <c r="I1347" s="83"/>
      <c r="J1347" s="81"/>
    </row>
  </sheetData>
  <sortState xmlns:xlrd2="http://schemas.microsoft.com/office/spreadsheetml/2017/richdata2" ref="A1:M1015">
    <sortCondition ref="D1:D1015"/>
  </sortState>
  <hyperlinks>
    <hyperlink ref="K55" r:id="rId1" xr:uid="{F24669DC-A896-4DAD-9A42-945B9714C01A}"/>
    <hyperlink ref="K64" r:id="rId2" xr:uid="{B222A58E-EBF3-42B7-93A6-2FF215C86EDA}"/>
    <hyperlink ref="K67" r:id="rId3" xr:uid="{56068910-3237-4D5F-BA4A-8178A4EE0FCE}"/>
    <hyperlink ref="K70" r:id="rId4" xr:uid="{E796E352-9AF0-49F7-9641-E63665B1456C}"/>
    <hyperlink ref="K79" r:id="rId5" xr:uid="{2116BC1C-9220-49A6-AB2D-095B0236DD73}"/>
    <hyperlink ref="K80" r:id="rId6" xr:uid="{2484FCD0-E485-4E6C-B646-5436067B74F9}"/>
    <hyperlink ref="K99" r:id="rId7" xr:uid="{138B18B2-9509-41AD-83FE-C11509229307}"/>
    <hyperlink ref="K111" r:id="rId8" xr:uid="{C680D2E0-8A86-450C-8E37-6220F45E6068}"/>
    <hyperlink ref="K119" r:id="rId9" xr:uid="{B68FBED6-27FC-45C4-8C3D-BBE515194734}"/>
    <hyperlink ref="K141" r:id="rId10" xr:uid="{347649B3-E762-4D16-B920-5D0547B0169C}"/>
    <hyperlink ref="K158" r:id="rId11" xr:uid="{0A108D22-1E8E-4CF4-B72B-5C91E3690E3B}"/>
    <hyperlink ref="K204" r:id="rId12" xr:uid="{69C45C34-20C3-43F8-89C3-A59365B3278C}"/>
    <hyperlink ref="K220" r:id="rId13" xr:uid="{9566CA70-B8A4-4B6B-B523-AB1843C0887F}"/>
    <hyperlink ref="K270" r:id="rId14" xr:uid="{E3506FF1-812A-455A-A3CC-D59C6244F1C2}"/>
    <hyperlink ref="K318" r:id="rId15" xr:uid="{A0B9FF05-0B0C-4DDA-A526-616570EDB012}"/>
    <hyperlink ref="K319" r:id="rId16" xr:uid="{DEDBF0EE-C232-46DD-B6F3-188E0C62145A}"/>
    <hyperlink ref="K331" r:id="rId17" xr:uid="{3DC0E0C1-FD21-4BFE-A80F-70DAAB11495E}"/>
    <hyperlink ref="K335" r:id="rId18" xr:uid="{E0E8A8CC-9BF2-4185-AD49-73A953BD1936}"/>
    <hyperlink ref="K342" r:id="rId19" xr:uid="{3C5CDB94-2363-4C02-89A7-B0D1B74F07FC}"/>
    <hyperlink ref="K343" r:id="rId20" xr:uid="{9CBA81B8-3969-4A6B-AEE2-6B061C8C89AD}"/>
    <hyperlink ref="K351" r:id="rId21" xr:uid="{C45DDD26-658D-434D-BE91-E7A872D3B0BC}"/>
    <hyperlink ref="K352" r:id="rId22" xr:uid="{A25EE1E4-8B19-4FA1-ABCD-4C63C4F2CEFC}"/>
    <hyperlink ref="K353" r:id="rId23" xr:uid="{E49667C7-C1FB-4BB8-84EC-F3AB65D7BBD2}"/>
    <hyperlink ref="K354" r:id="rId24" xr:uid="{2B225A8F-679E-4DBB-B5F6-C5C20967F3A5}"/>
    <hyperlink ref="K355" r:id="rId25" xr:uid="{09922591-04AB-42E4-BC62-9C40E989DC83}"/>
    <hyperlink ref="K356" r:id="rId26" xr:uid="{0C4C784C-4E41-4DDF-94B8-6319CD5E6480}"/>
    <hyperlink ref="K359" r:id="rId27" xr:uid="{60E6D813-0EE5-41C8-8954-0B25B843CF45}"/>
    <hyperlink ref="K360" r:id="rId28" xr:uid="{F1B4114C-73F7-4D94-83D2-C88E14DC1643}"/>
    <hyperlink ref="K361" r:id="rId29" xr:uid="{9D909D95-2049-4C31-B062-F661964F5BF4}"/>
    <hyperlink ref="K362" r:id="rId30" xr:uid="{1AC564F1-CBB7-4DF5-A2F3-11A438C9581B}"/>
    <hyperlink ref="K363" r:id="rId31" xr:uid="{14376327-99F7-401F-9C87-E527DE52147D}"/>
    <hyperlink ref="K364" r:id="rId32" xr:uid="{71AACE42-2C1F-47B0-B462-F5CC7303E645}"/>
    <hyperlink ref="K366" r:id="rId33" xr:uid="{18BA2942-8A52-4EB9-86A9-89AFAF98D122}"/>
    <hyperlink ref="K367" r:id="rId34" xr:uid="{5052EB26-E499-425A-899A-74891A9133A9}"/>
    <hyperlink ref="K369" r:id="rId35" xr:uid="{08F2FFE0-A526-4C9E-BE4F-46A7868FBC5C}"/>
    <hyperlink ref="K371" r:id="rId36" xr:uid="{A36BC9C9-89B6-45F3-8E47-42699DC5618C}"/>
    <hyperlink ref="K372" r:id="rId37" xr:uid="{15DEB2E4-2599-4729-8E45-58A301A3132B}"/>
    <hyperlink ref="K375" r:id="rId38" xr:uid="{1CFF7C64-5E0E-4AB5-8E67-DDA873FAB40C}"/>
    <hyperlink ref="K378" r:id="rId39" xr:uid="{86177BFB-59DD-4573-AAC3-7AEB38ECE0EC}"/>
    <hyperlink ref="K380" r:id="rId40" xr:uid="{427F1059-7F4B-4F1D-87EE-B27805029493}"/>
    <hyperlink ref="K383" r:id="rId41" xr:uid="{88E129A0-47C0-4DAC-84BD-C2EF57CA6D86}"/>
    <hyperlink ref="K384" r:id="rId42" xr:uid="{AFAB4AB2-F4FB-4A51-A333-520DC5EDC9E2}"/>
    <hyperlink ref="K386" r:id="rId43" xr:uid="{C53801FA-BA65-44EE-81FB-29E4418A84AB}"/>
    <hyperlink ref="K390" r:id="rId44" xr:uid="{E8AC5224-56A8-4E27-B24A-FD736451C6C6}"/>
    <hyperlink ref="K391" r:id="rId45" xr:uid="{4E575FDC-34E9-464C-89C1-02FF8E8AC9E9}"/>
    <hyperlink ref="K395" r:id="rId46" xr:uid="{617D56DB-D3F3-4610-BF2B-DFA4AF69C9F0}"/>
    <hyperlink ref="K396" r:id="rId47" xr:uid="{0F983101-E645-49B6-891E-1F6684BDF8EB}"/>
    <hyperlink ref="K400" r:id="rId48" xr:uid="{8D858667-0F48-415A-9D8E-CEF880E21D66}"/>
    <hyperlink ref="K401" r:id="rId49" xr:uid="{8BB8425B-BB4A-464F-AEDA-6AEA409DC818}"/>
    <hyperlink ref="K402" r:id="rId50" xr:uid="{9FE4E9BE-5021-40C0-9DC0-68E61F825D8A}"/>
    <hyperlink ref="K403" r:id="rId51" xr:uid="{F42AD9A1-D1FE-4BD8-8BE6-AE33625AD598}"/>
    <hyperlink ref="K405" r:id="rId52" xr:uid="{245036B8-17F0-4F35-8A70-6D4085523C3B}"/>
    <hyperlink ref="K407" r:id="rId53" xr:uid="{A10EB4E1-A94F-4F58-8DC0-C5534AD2C203}"/>
    <hyperlink ref="K409" r:id="rId54" xr:uid="{F1E024A4-3EF4-4933-B5A2-0D9B526521FA}"/>
    <hyperlink ref="K410" r:id="rId55" xr:uid="{71BAFE16-E93D-4C3C-9C68-CFDA1BD25D7C}"/>
    <hyperlink ref="K411" r:id="rId56" xr:uid="{91B7DF4A-61BB-47CA-A986-1891B62405BD}"/>
    <hyperlink ref="K413" r:id="rId57" xr:uid="{F3EF36CF-4BB9-4A5C-A2DE-092BBA8F76B9}"/>
    <hyperlink ref="K415" r:id="rId58" xr:uid="{4D2E0797-22F8-47A5-9531-10954A107ECF}"/>
    <hyperlink ref="K417" r:id="rId59" xr:uid="{188F4743-41AF-4918-9B02-71FD8B2462E2}"/>
    <hyperlink ref="K418" r:id="rId60" xr:uid="{71116A74-3D1E-4F34-B45A-57898C1C0F84}"/>
    <hyperlink ref="K421" r:id="rId61" xr:uid="{092C20D7-1CEC-420B-8352-7E3804BC662B}"/>
    <hyperlink ref="K422" r:id="rId62" xr:uid="{975EA98B-A4B9-432D-BED7-6112672401B5}"/>
    <hyperlink ref="K423" r:id="rId63" xr:uid="{D8ECD5D3-C6CD-48AF-A30E-7484977F721E}"/>
    <hyperlink ref="K424" r:id="rId64" xr:uid="{402E0C9D-565D-4034-8AB7-9ADDA37662AE}"/>
    <hyperlink ref="K425" r:id="rId65" xr:uid="{3E0C1858-C219-4222-AD4C-CF6DBAB69CCC}"/>
    <hyperlink ref="K426" r:id="rId66" xr:uid="{8C2861C9-D39B-4CCC-A4D1-06A18904C38F}"/>
    <hyperlink ref="K427" r:id="rId67" xr:uid="{3172E280-B822-42E3-A06C-1E4167B604F6}"/>
    <hyperlink ref="K430" r:id="rId68" xr:uid="{DD89D3D4-4A0A-482B-AC32-E461853C0F76}"/>
    <hyperlink ref="K431" r:id="rId69" xr:uid="{E6105C77-828C-4685-8B58-66EE639F24D1}"/>
    <hyperlink ref="K433" r:id="rId70" xr:uid="{6F5E8748-41B3-4FE8-ADD7-9253A21260EB}"/>
    <hyperlink ref="K435" r:id="rId71" xr:uid="{15CC7F46-5280-48C6-9845-EA08EC096682}"/>
    <hyperlink ref="K438" r:id="rId72" xr:uid="{869B1388-D8B3-4B2A-B973-791E52B8C85A}"/>
    <hyperlink ref="K439" r:id="rId73" xr:uid="{554C64D6-2BF8-4D99-9690-572E535E0680}"/>
    <hyperlink ref="K440" r:id="rId74" xr:uid="{C6D10653-D00C-4E20-BC7C-6888F89620A2}"/>
    <hyperlink ref="K441" r:id="rId75" xr:uid="{953B9616-C9D4-4D28-8099-147BDAF46DAC}"/>
    <hyperlink ref="K447" r:id="rId76" xr:uid="{941C15DF-E652-45B4-9967-F76BF232FCD0}"/>
    <hyperlink ref="K448" r:id="rId77" xr:uid="{184AE7D7-C9D3-498F-9A37-6CD78F9FFF8E}"/>
    <hyperlink ref="K449" r:id="rId78" xr:uid="{84C9B1FB-4513-4E94-B4B4-1570A5EACC68}"/>
    <hyperlink ref="K453" r:id="rId79" xr:uid="{EF442EA1-284C-4B3C-9ECE-997E21C8FCF8}"/>
    <hyperlink ref="K454" r:id="rId80" xr:uid="{C9490930-FD78-4C5D-A122-004780C9B6F4}"/>
    <hyperlink ref="K455" r:id="rId81" xr:uid="{7AEE8266-9A7D-45FB-98A5-D54F6A587E56}"/>
    <hyperlink ref="K456" r:id="rId82" xr:uid="{4BDDB380-7F10-4633-8AC2-D4EC97C932BB}"/>
    <hyperlink ref="K458" r:id="rId83" xr:uid="{21B35C2C-3386-464A-9C86-FF4A0A0EA364}"/>
    <hyperlink ref="K460" r:id="rId84" xr:uid="{C76814B6-C1E7-4A90-B558-C0B58ABAD709}"/>
    <hyperlink ref="K461" r:id="rId85" xr:uid="{671EFCD7-1654-4345-830A-B4D56D37B644}"/>
    <hyperlink ref="K463" r:id="rId86" xr:uid="{6AD3DD96-2CBC-4F3C-B4E2-335D7681BB45}"/>
    <hyperlink ref="K464" r:id="rId87" xr:uid="{AC75F2A6-D467-471A-B444-44D14BCB2E3F}"/>
    <hyperlink ref="K467" r:id="rId88" xr:uid="{109A07AF-EDF1-4D7C-B2E7-CD355B213F09}"/>
    <hyperlink ref="K468" r:id="rId89" xr:uid="{A87421E3-5D24-4866-B942-073AFB4D60C0}"/>
    <hyperlink ref="K470" r:id="rId90" xr:uid="{1A865413-0D35-4D08-A63E-0B56CE9FB9B5}"/>
    <hyperlink ref="K471" r:id="rId91" xr:uid="{781EEF61-1FB9-4CE5-BBD2-64CBD2D206E1}"/>
    <hyperlink ref="K472" r:id="rId92" xr:uid="{A1F9F2A5-AEE0-493D-BA6E-A6FC9C12B80C}"/>
    <hyperlink ref="K473" r:id="rId93" xr:uid="{A7B190D0-1B4B-4ABD-9ECF-E2E854DA189C}"/>
    <hyperlink ref="K474" r:id="rId94" xr:uid="{328D895A-C442-4252-84B1-DF6CBD2733CB}"/>
    <hyperlink ref="K476" r:id="rId95" xr:uid="{C6BEF622-717D-4D72-B5EE-C1676FC5D7D4}"/>
    <hyperlink ref="K477" r:id="rId96" xr:uid="{3053ABCF-5A5E-4953-9AC8-A0FEEB5CE25E}"/>
    <hyperlink ref="K480" r:id="rId97" xr:uid="{141B492D-DD78-478C-BE92-CBCEDA9A9338}"/>
    <hyperlink ref="K481" r:id="rId98" xr:uid="{4E858BA5-A69D-41E6-9298-6DD291F23989}"/>
    <hyperlink ref="K482" r:id="rId99" xr:uid="{55F24800-360E-4E38-8D0F-96A23BF04A7D}"/>
    <hyperlink ref="K483" r:id="rId100" xr:uid="{DC4329D2-D3FF-441C-AAD0-048458CA28CB}"/>
    <hyperlink ref="K485" r:id="rId101" xr:uid="{D4BE02DC-0CCC-49DB-8B65-7E953D165183}"/>
    <hyperlink ref="K488" r:id="rId102" xr:uid="{6C5036DF-56DC-4B2D-8754-7CF7EEBACE5B}"/>
    <hyperlink ref="K489" r:id="rId103" xr:uid="{3527E780-27A3-46A9-914A-DBC6DF6835CF}"/>
    <hyperlink ref="K491" r:id="rId104" xr:uid="{78688BD7-0174-4680-AFB4-8DBE3C79F7FA}"/>
    <hyperlink ref="K492" r:id="rId105" xr:uid="{4492ACEA-E1ED-49F5-BD3D-A29F983C5839}"/>
    <hyperlink ref="K500" r:id="rId106" xr:uid="{050E2055-B681-4A51-B7A2-03C11D54FF2D}"/>
    <hyperlink ref="K502" r:id="rId107" xr:uid="{C2A21D42-0B12-448E-9E27-458C102A8D2C}"/>
    <hyperlink ref="K503" r:id="rId108" xr:uid="{39E0C6B1-AAAA-4495-9C01-E124A78C3B41}"/>
    <hyperlink ref="K505" r:id="rId109" xr:uid="{DB596C87-5858-4612-9EC6-EBE37E28CE49}"/>
    <hyperlink ref="K515" r:id="rId110" xr:uid="{68F0C64B-E103-47C8-B7DF-0556619DE9E4}"/>
    <hyperlink ref="K518" r:id="rId111" xr:uid="{4EFB0ED3-4C8B-4750-B768-CFD031DEDAE3}"/>
    <hyperlink ref="K525" r:id="rId112" xr:uid="{DC7D2B2D-47FE-449F-896D-69A9E3C9F61A}"/>
    <hyperlink ref="K528" r:id="rId113" xr:uid="{12273ECF-A2E2-424D-B528-9A30E21AF76D}"/>
    <hyperlink ref="K532" r:id="rId114" xr:uid="{0C6CF53F-5957-43E6-BC53-73067A38A8E3}"/>
    <hyperlink ref="K537" r:id="rId115" xr:uid="{C630C52D-EF77-49F7-A6BB-ECF8E938BFD6}"/>
    <hyperlink ref="K540" r:id="rId116" xr:uid="{068BBCDB-EE68-4226-8947-E613D1EAD49A}"/>
    <hyperlink ref="K541" r:id="rId117" xr:uid="{1308376E-D876-46F6-90B4-5F4E3747F0D1}"/>
    <hyperlink ref="K550" r:id="rId118" xr:uid="{EA5C0776-3659-4473-A752-BC58CF7757BB}"/>
    <hyperlink ref="K551" r:id="rId119" xr:uid="{BB4991E9-A1DD-4051-A806-E8FC73A60698}"/>
    <hyperlink ref="K554" r:id="rId120" xr:uid="{9E56D791-E7A8-4E3C-82F0-271287B4E5C1}"/>
    <hyperlink ref="K555" r:id="rId121" xr:uid="{AD9BA539-872B-4DFA-BACF-7F9D1EB65157}"/>
    <hyperlink ref="K558" r:id="rId122" xr:uid="{1FB82BC6-CC18-4E21-AB4B-7CA4E03E2753}"/>
    <hyperlink ref="K564" r:id="rId123" xr:uid="{3935FF4E-E9D8-4F23-AAC7-4FDFDCE860BE}"/>
    <hyperlink ref="K565" r:id="rId124" xr:uid="{34AB9446-1112-41BA-92AE-7975025813A6}"/>
    <hyperlink ref="K569" r:id="rId125" xr:uid="{51682DBD-F662-41E8-B312-41F0ED4FAB97}"/>
    <hyperlink ref="K573" r:id="rId126" xr:uid="{4022FE53-ADCD-47B3-A74E-E29130A82E30}"/>
    <hyperlink ref="K575" r:id="rId127" xr:uid="{3CF79822-D48B-48B2-83C1-BE19D70047F5}"/>
    <hyperlink ref="K577" r:id="rId128" xr:uid="{98D207BF-CC40-4145-8A81-4E9985FB47CC}"/>
    <hyperlink ref="K583" r:id="rId129" xr:uid="{2398011F-1AD9-4564-A20D-54AAC34C1C90}"/>
    <hyperlink ref="K586" r:id="rId130" xr:uid="{AD7AE395-B89F-45B0-8A2F-4D39814DD48B}"/>
    <hyperlink ref="K587" r:id="rId131" xr:uid="{E6C26592-04BF-4805-8BD8-7531A3A9B85D}"/>
    <hyperlink ref="K588" r:id="rId132" xr:uid="{A798D0BB-0A5F-43D1-9A15-59CDD2C7A4B3}"/>
    <hyperlink ref="K590" r:id="rId133" xr:uid="{A88324F6-CDF8-4773-9073-6E45C66BF3F4}"/>
    <hyperlink ref="K591" r:id="rId134" xr:uid="{55BFD0B4-C045-4FE6-B85F-12244D256DAE}"/>
    <hyperlink ref="K593" r:id="rId135" xr:uid="{3DF21C7B-6FFE-4210-8A0E-D6A1B688FD12}"/>
    <hyperlink ref="K597" r:id="rId136" xr:uid="{B03C434E-5892-45E9-A286-954C7B43A514}"/>
    <hyperlink ref="K601" r:id="rId137" xr:uid="{A1DF7281-853A-499C-B6BD-EC70069CFAFE}"/>
    <hyperlink ref="K605" r:id="rId138" xr:uid="{026960A1-A9C2-4563-937E-93DD8F879AB1}"/>
    <hyperlink ref="K609" r:id="rId139" xr:uid="{05D02075-3251-48D0-9A2A-0D513DB36E63}"/>
    <hyperlink ref="K613" r:id="rId140" xr:uid="{194620C9-C416-4654-9352-7EA7F3E0200D}"/>
    <hyperlink ref="K614" r:id="rId141" xr:uid="{07C6E7B9-A276-4949-A700-FF0B880ED8D1}"/>
    <hyperlink ref="K616" r:id="rId142" xr:uid="{E5F1AA14-A295-49A0-B549-591D4C054A7A}"/>
    <hyperlink ref="K617" r:id="rId143" xr:uid="{D90B7F61-877D-4AD6-ABE4-48A955923013}"/>
    <hyperlink ref="K618" r:id="rId144" xr:uid="{13244301-4344-420F-ADA9-CCCDAB53D12F}"/>
    <hyperlink ref="K623" r:id="rId145" xr:uid="{79E0A6BA-D169-4C06-AD6A-697ABA6655D6}"/>
    <hyperlink ref="K624" r:id="rId146" xr:uid="{DF04E7BB-C44B-4324-ACBE-16527B4D1A7B}"/>
    <hyperlink ref="K626" r:id="rId147" xr:uid="{876BA25D-B6A5-4F15-B902-BE878CDF536C}"/>
    <hyperlink ref="K627" r:id="rId148" xr:uid="{4D3268ED-BD8E-4281-8361-2E9236779613}"/>
    <hyperlink ref="K628" r:id="rId149" xr:uid="{03AF8980-1987-499F-AC88-C18C9983E68D}"/>
    <hyperlink ref="K632" r:id="rId150" xr:uid="{78BF59A2-288A-455D-9CE1-99A3FB55F755}"/>
    <hyperlink ref="K634" r:id="rId151" xr:uid="{876FC3D0-09D6-4D12-9493-CEB692DE59EB}"/>
    <hyperlink ref="K635" r:id="rId152" xr:uid="{124574F1-E50E-40FE-A93B-0AA4ADF34212}"/>
    <hyperlink ref="K642" r:id="rId153" xr:uid="{EB74CC1B-C38F-45B1-A86C-36615B5D1433}"/>
    <hyperlink ref="K644" r:id="rId154" xr:uid="{F4A3233F-FDB4-45C1-B5A0-646C4E7CF06C}"/>
    <hyperlink ref="K650" r:id="rId155" xr:uid="{30AE5657-3276-4B66-BFB7-6A1033668063}"/>
    <hyperlink ref="K651" r:id="rId156" xr:uid="{9610E2C4-7A1C-4288-8F74-BE1FD2BB11DD}"/>
    <hyperlink ref="K652" r:id="rId157" xr:uid="{44ACE6B3-FC34-4272-83C1-9FC48120C73C}"/>
    <hyperlink ref="K660" r:id="rId158" xr:uid="{DDBFE01C-7560-4ACA-8602-3EE638E5A06C}"/>
    <hyperlink ref="K665" r:id="rId159" xr:uid="{4E9A06B0-8048-4958-BDB1-EDC97C9BBCED}"/>
    <hyperlink ref="K667" r:id="rId160" xr:uid="{D17EB32E-E5D4-4DFB-843D-D8C0321BC40A}"/>
    <hyperlink ref="K672" r:id="rId161" xr:uid="{4C269D0A-A3A8-4A51-81F9-D39DF81B472D}"/>
    <hyperlink ref="K676" r:id="rId162" xr:uid="{4CA62B0A-4CEF-48EA-8A53-7D846F0E14ED}"/>
    <hyperlink ref="K678" r:id="rId163" xr:uid="{4F146B1E-BD27-4BE5-9937-7F731DB8EC83}"/>
    <hyperlink ref="K679" r:id="rId164" xr:uid="{EAB4BAF3-DD04-4126-9DBE-D3804C44814B}"/>
    <hyperlink ref="K681" r:id="rId165" xr:uid="{6307BEE3-14C7-4E50-9587-3F63ABB75046}"/>
    <hyperlink ref="K687" r:id="rId166" xr:uid="{E6A685B6-F19A-47E2-88A0-4245C3065F67}"/>
    <hyperlink ref="K689" r:id="rId167" xr:uid="{3255AECD-EA9E-4093-A44D-35AB7C25C036}"/>
    <hyperlink ref="K695" r:id="rId168" xr:uid="{31B8C3D1-D8C1-47D1-B234-3FA702C0436E}"/>
    <hyperlink ref="K698" r:id="rId169" xr:uid="{EE475B3E-AD0B-494E-9761-282AA3A26727}"/>
    <hyperlink ref="K699" r:id="rId170" xr:uid="{E12A91A3-CCA1-4841-B708-94191ABF49F1}"/>
    <hyperlink ref="K700" r:id="rId171" xr:uid="{EF50E913-3AAE-4F55-8061-AEB49D1F3E8F}"/>
    <hyperlink ref="K701" r:id="rId172" xr:uid="{5E132D3F-3590-40BD-AB1E-A427A2C0898C}"/>
    <hyperlink ref="K704" r:id="rId173" xr:uid="{32A5A327-D6A2-40B1-9BE8-F46F0B6F4C71}"/>
    <hyperlink ref="K705" r:id="rId174" xr:uid="{F2D562BA-B097-4433-8CAE-6B4E9FA07775}"/>
    <hyperlink ref="K706" r:id="rId175" xr:uid="{D4064CB8-F104-4E8F-B670-05C0567E00B3}"/>
    <hyperlink ref="K707" r:id="rId176" xr:uid="{D5904035-2D95-4D24-9063-4FB79C10D6B4}"/>
    <hyperlink ref="K708" r:id="rId177" xr:uid="{790E44BC-FB69-4840-AAB3-F22146299DD3}"/>
    <hyperlink ref="K709" r:id="rId178" xr:uid="{96F68974-BB99-481C-8B3C-A18E1609B0FA}"/>
    <hyperlink ref="K710" r:id="rId179" xr:uid="{64F4FEFE-EC8D-4172-9763-5A7E237DC6DA}"/>
    <hyperlink ref="K711" r:id="rId180" xr:uid="{2AF062D9-8514-4B47-A004-A561519707F1}"/>
    <hyperlink ref="K714" r:id="rId181" xr:uid="{6A4C079C-24E9-41B4-B3A1-3FB09524F454}"/>
    <hyperlink ref="K717" r:id="rId182" xr:uid="{D58B390B-3A3C-4E53-8523-129ECA47439B}"/>
    <hyperlink ref="K720" r:id="rId183" xr:uid="{A6E09422-5901-4372-91FA-CCF70397CD52}"/>
    <hyperlink ref="K723" r:id="rId184" xr:uid="{C020D506-0A2B-493E-8178-EB12D3DF8A04}"/>
    <hyperlink ref="K724" r:id="rId185" xr:uid="{CF94A7C5-C513-404C-A490-0A8610857997}"/>
    <hyperlink ref="K728" r:id="rId186" xr:uid="{32C88E21-9D54-46ED-A9B6-86F4787FECDB}"/>
    <hyperlink ref="K732" r:id="rId187" xr:uid="{C52CC32F-753B-45EE-AEB5-288F0A22345C}"/>
    <hyperlink ref="K734" r:id="rId188" xr:uid="{342769D1-2B1C-45B1-BBCF-02D1BB9221A9}"/>
    <hyperlink ref="K737" r:id="rId189" xr:uid="{7E2D0F76-ECB4-4E28-BF0B-C6EC678A68D3}"/>
    <hyperlink ref="K738" r:id="rId190" xr:uid="{76E42C66-F217-4585-BFFF-139FBAA2D47B}"/>
    <hyperlink ref="K742" r:id="rId191" xr:uid="{D6920392-2BA5-4982-A06D-1623C4A24C36}"/>
    <hyperlink ref="K744" r:id="rId192" xr:uid="{3D1FA2EE-9C9A-40D9-8A4D-28AE17D71E64}"/>
    <hyperlink ref="K749" r:id="rId193" xr:uid="{C5B89A7B-3FF1-4BB3-9B2F-810AD11D6D6D}"/>
    <hyperlink ref="K751" r:id="rId194" xr:uid="{8B4EF3F4-1A0F-47B9-9C78-7A7A0E5245F7}"/>
    <hyperlink ref="K754" r:id="rId195" xr:uid="{C4A3CEB4-3792-4D50-8ECF-2A7CAE221FB4}"/>
    <hyperlink ref="K755" r:id="rId196" xr:uid="{CD1B7C2F-EE56-4C4E-9519-2D063046DAC3}"/>
    <hyperlink ref="K757" r:id="rId197" xr:uid="{2EC1ED50-BE90-474C-9914-2DB5B43D6A4E}"/>
    <hyperlink ref="K758" r:id="rId198" xr:uid="{357E5280-6076-4D2B-A672-75C234BCD397}"/>
    <hyperlink ref="K761" r:id="rId199" xr:uid="{9B337B5A-383A-4444-B984-ED4463B38181}"/>
    <hyperlink ref="K762" r:id="rId200" xr:uid="{EE458AEC-9191-4359-B8EB-A0DA99195D08}"/>
    <hyperlink ref="K768" r:id="rId201" xr:uid="{1EE9FAF7-0DD1-413E-8A0B-E8C32B69EE22}"/>
    <hyperlink ref="K769" r:id="rId202" xr:uid="{5CE252FD-02F4-4762-A8C1-378B6197C3D2}"/>
    <hyperlink ref="K770" r:id="rId203" xr:uid="{DD0F9C2E-BAD1-4F24-A8CE-E0ED8895421D}"/>
    <hyperlink ref="K772" r:id="rId204" xr:uid="{032A7171-2C6A-409E-9868-8FA7202525A8}"/>
    <hyperlink ref="K775" r:id="rId205" xr:uid="{6D39143C-1A08-4397-B949-980799B3D483}"/>
    <hyperlink ref="K776" r:id="rId206" xr:uid="{BDEEBE18-02FE-4B82-A68F-720B2CD0ED6F}"/>
    <hyperlink ref="K778" r:id="rId207" xr:uid="{6EC5F00F-56E0-46BA-A247-160DFAEEDCB4}"/>
    <hyperlink ref="K781" r:id="rId208" xr:uid="{4996B7AB-7604-435B-81CE-BE122ED43487}"/>
    <hyperlink ref="K785" r:id="rId209" xr:uid="{D8CFAEA4-4CE4-45DD-85E2-3A02B6B7004E}"/>
    <hyperlink ref="K787" r:id="rId210" xr:uid="{16769635-1515-4449-922A-431442744DD7}"/>
    <hyperlink ref="K789" r:id="rId211" xr:uid="{0FFD13C5-8CE3-4BF2-975E-0895DE69D79F}"/>
    <hyperlink ref="K791" r:id="rId212" xr:uid="{163054C7-BB7F-4934-9F6F-5B13F6616AEA}"/>
    <hyperlink ref="K792" r:id="rId213" xr:uid="{99B9CA47-A2B8-4D3E-9B06-4EDB8D9D3440}"/>
    <hyperlink ref="K793" r:id="rId214" xr:uid="{5CC4B9D2-FFFA-4FA1-AC0D-D1D31EBE7785}"/>
    <hyperlink ref="K795" r:id="rId215" xr:uid="{BAD69D82-8EB8-450D-9B61-503BB46CA384}"/>
    <hyperlink ref="K796" r:id="rId216" xr:uid="{E518F74B-3ECF-4C72-92C2-957769D27EA5}"/>
    <hyperlink ref="K800" r:id="rId217" xr:uid="{41262D97-E696-4EA6-96BF-C470378BC437}"/>
    <hyperlink ref="K803" r:id="rId218" xr:uid="{A1AAAE80-0CDA-4E90-94CE-EFFE89C33BDD}"/>
    <hyperlink ref="K804" r:id="rId219" xr:uid="{B6C554C6-A865-4DE8-ABEA-99FF9737AE1E}"/>
    <hyperlink ref="K806" r:id="rId220" xr:uid="{75DA6F71-CBF9-4BFC-961C-929126835363}"/>
    <hyperlink ref="K809" r:id="rId221" xr:uid="{256F5FD7-8213-4969-B3CA-4CB6321F9132}"/>
    <hyperlink ref="K810" r:id="rId222" xr:uid="{57D508BC-5A43-45A8-A49B-EEA632002847}"/>
    <hyperlink ref="K811" r:id="rId223" xr:uid="{D6821E90-1A8E-427C-88A4-437B6CCCC679}"/>
    <hyperlink ref="K812" r:id="rId224" xr:uid="{EB551616-1AF6-400C-8806-CAC93F320311}"/>
    <hyperlink ref="K813" r:id="rId225" xr:uid="{32C244F5-014C-4E1C-B05C-D0698A427759}"/>
    <hyperlink ref="K816" r:id="rId226" xr:uid="{1368CAFB-45FF-4C6F-89B3-47B1C5BF8AD7}"/>
    <hyperlink ref="K817" r:id="rId227" xr:uid="{7F8D962F-7D9F-4E36-8C05-85D8E53F23DC}"/>
    <hyperlink ref="K819" r:id="rId228" xr:uid="{6087486A-9AEA-4E8B-A348-557A58F1C08C}"/>
    <hyperlink ref="K820" r:id="rId229" xr:uid="{9D57590D-21F5-48A6-A76E-8A27A9542D3B}"/>
    <hyperlink ref="K822" r:id="rId230" xr:uid="{FC97AF5C-1939-4FAD-A693-FE5CF88B7DC1}"/>
    <hyperlink ref="K824" r:id="rId231" xr:uid="{AB725273-9A06-4FA8-AB2D-E2192F81B7BC}"/>
    <hyperlink ref="K829" r:id="rId232" xr:uid="{18D9F28F-1127-4DA8-8F45-8D14D0B23791}"/>
    <hyperlink ref="K830" r:id="rId233" xr:uid="{5F942468-5AE4-41AF-BEE3-79EF8E8F9B09}"/>
    <hyperlink ref="K832" r:id="rId234" xr:uid="{45236FBE-5552-4EDA-836B-0464EEC90190}"/>
    <hyperlink ref="K840" r:id="rId235" xr:uid="{22C098C8-0EA2-4AE2-8975-4155FEECA716}"/>
    <hyperlink ref="K843" r:id="rId236" xr:uid="{FDF535FE-0CAA-49DC-B5CE-C2E162C6DBBB}"/>
    <hyperlink ref="K853" r:id="rId237" xr:uid="{AB5001D3-162A-4C54-8101-83FE8E6E4D35}"/>
    <hyperlink ref="K854" r:id="rId238" xr:uid="{A8A45EBA-7EF0-436C-8E29-F01F9B767D50}"/>
    <hyperlink ref="K863" r:id="rId239" xr:uid="{A28F295B-D083-47FE-9E0B-2C356CE123F1}"/>
    <hyperlink ref="K864" r:id="rId240" xr:uid="{6C9A0682-CB36-4FE2-9F64-A2DADB3C08CF}"/>
    <hyperlink ref="K865" r:id="rId241" xr:uid="{D31CB94B-20A3-492F-B2EA-64875556C59A}"/>
    <hyperlink ref="K867" r:id="rId242" xr:uid="{92F83522-21DA-451D-A6F1-5DF4C43C5CA0}"/>
    <hyperlink ref="K869" r:id="rId243" xr:uid="{8447C3D3-C0C0-4061-9721-25F7A298C142}"/>
    <hyperlink ref="K871" r:id="rId244" xr:uid="{8A353641-F02F-42FD-AC7D-E9AE72F0DB1B}"/>
    <hyperlink ref="K872" r:id="rId245" xr:uid="{C2554AC3-C50E-4C16-B752-EA92E514A45F}"/>
    <hyperlink ref="K874" r:id="rId246" xr:uid="{50C58F6E-2DF1-47D1-81F9-4AA4D7477920}"/>
    <hyperlink ref="K876" r:id="rId247" xr:uid="{E12F8C1F-92D6-4A68-AA10-9050CAB27961}"/>
    <hyperlink ref="K877" r:id="rId248" xr:uid="{B705CF1B-1257-4450-B875-6D1B87F1CFA8}"/>
    <hyperlink ref="K878" r:id="rId249" xr:uid="{FA937D36-F608-47B0-AB4D-522EE6C89D6C}"/>
    <hyperlink ref="K880" r:id="rId250" xr:uid="{BDE3657D-5B20-4A31-89B0-E11F4661D02C}"/>
    <hyperlink ref="K882" r:id="rId251" xr:uid="{476B0B39-32AC-497A-AF8F-D694CCA810B2}"/>
    <hyperlink ref="K884" r:id="rId252" xr:uid="{263424C4-1F4C-474B-AAE3-10208C6FFD7F}"/>
    <hyperlink ref="K886" r:id="rId253" xr:uid="{3CF01001-629E-4495-A113-2F14771D3599}"/>
    <hyperlink ref="K887" r:id="rId254" xr:uid="{7A5D10F2-C658-4CED-A76D-EE5B149D8E9F}"/>
    <hyperlink ref="K888" r:id="rId255" xr:uid="{139E1030-327E-4072-A44C-B173C94FFE2B}"/>
    <hyperlink ref="K891" r:id="rId256" xr:uid="{FAF7242A-AF88-4E17-A1CC-7DF6C1ADFACE}"/>
    <hyperlink ref="K892" r:id="rId257" xr:uid="{5846D982-BD40-4CD4-AE19-F2DC68E9D3FC}"/>
    <hyperlink ref="K893" r:id="rId258" xr:uid="{BF7D9517-7D85-4135-A607-28782A887A95}"/>
    <hyperlink ref="K897" r:id="rId259" xr:uid="{2D9CDBA6-8D2D-4E86-B5D6-2BA90E0809B7}"/>
    <hyperlink ref="K902" r:id="rId260" xr:uid="{8D21097E-FD12-44A5-BF2D-4C66692EA352}"/>
    <hyperlink ref="K903" r:id="rId261" xr:uid="{05B97C67-E20E-49E8-871A-6C8BB6F42FCB}"/>
    <hyperlink ref="K904" r:id="rId262" xr:uid="{EF5E20E8-4D77-4CDC-93B0-3ABE88C2DBF0}"/>
    <hyperlink ref="K910" r:id="rId263" xr:uid="{B7C42F61-AF41-4354-9CAB-E3059B6360B8}"/>
    <hyperlink ref="K911" r:id="rId264" xr:uid="{27C12756-6A0A-41C7-A8AB-E78CB59FB5A2}"/>
    <hyperlink ref="K912" r:id="rId265" xr:uid="{FFD42CB1-4CEE-45DF-BF96-4425C97AF21D}"/>
    <hyperlink ref="K913" r:id="rId266" xr:uid="{EFB0A4C2-0C94-4877-8A65-7E171E344CA4}"/>
    <hyperlink ref="K914" r:id="rId267" xr:uid="{C8EC72AC-8AA5-494C-9A54-FB7395F31DF3}"/>
    <hyperlink ref="K915" r:id="rId268" xr:uid="{76B8CFE7-A0E3-4614-90D4-255DA958892A}"/>
    <hyperlink ref="K916" r:id="rId269" xr:uid="{49A49CD3-C970-49A7-B432-EDC085573D6C}"/>
    <hyperlink ref="K922" r:id="rId270" xr:uid="{929A4BE1-0E9D-490D-AF42-9983D1F0F19B}"/>
    <hyperlink ref="K924" r:id="rId271" xr:uid="{5E244CD9-235B-4803-8F83-07ADBB499887}"/>
    <hyperlink ref="K925" r:id="rId272" xr:uid="{2FB8EE55-69C5-4278-945A-769203C62B31}"/>
    <hyperlink ref="K926" r:id="rId273" xr:uid="{86047493-191E-47D1-B9CC-BB2EFE760DE5}"/>
    <hyperlink ref="K928" r:id="rId274" xr:uid="{45582A08-36F6-46A7-BC74-12906DC89A6D}"/>
    <hyperlink ref="K930" r:id="rId275" xr:uid="{2652D596-ECDC-4BD1-BA51-750F4567F759}"/>
    <hyperlink ref="K931" r:id="rId276" xr:uid="{5CB1BAD8-0464-411A-A74D-84694EFDD541}"/>
    <hyperlink ref="K933" r:id="rId277" xr:uid="{D25A2E22-76DF-4075-A1D1-2F31394F4ADE}"/>
    <hyperlink ref="K937" r:id="rId278" xr:uid="{6A255984-BB0F-4E78-B2F1-10189FD4462A}"/>
    <hyperlink ref="K938" r:id="rId279" xr:uid="{716B2601-5F1A-4E6D-870C-486EF1085B51}"/>
    <hyperlink ref="K941" r:id="rId280" xr:uid="{FC9936BE-E5E1-463C-ACB4-6DA2065103E2}"/>
    <hyperlink ref="K942" r:id="rId281" xr:uid="{95B0E1A8-C02E-4AC7-9A0B-178899A596EC}"/>
    <hyperlink ref="K943" r:id="rId282" xr:uid="{05B5C5F4-238C-4820-8360-60F903B10C09}"/>
    <hyperlink ref="K950" r:id="rId283" xr:uid="{96B89B1B-1D83-45FE-98B0-EE9290696ECB}"/>
    <hyperlink ref="K952" r:id="rId284" xr:uid="{F3A56E0E-E0FA-49ED-8CB3-C39A74DDBE08}"/>
    <hyperlink ref="K953" r:id="rId285" xr:uid="{D295D382-0FC8-4D9D-8059-29CD2337D45E}"/>
    <hyperlink ref="K954" r:id="rId286" xr:uid="{5A209CEA-6679-4AB4-8EF0-C88CE77095AF}"/>
    <hyperlink ref="K958" r:id="rId287" xr:uid="{C6226564-DC82-465A-B241-0056D79ED5CD}"/>
    <hyperlink ref="K959" r:id="rId288" xr:uid="{DBD2CB33-7AAC-40A7-AF33-8D8EFF2E896B}"/>
    <hyperlink ref="K962" r:id="rId289" xr:uid="{599CB7EB-10B8-453B-BB68-2440C6E912CA}"/>
    <hyperlink ref="K970" r:id="rId290" xr:uid="{C2BEE2F7-915E-4003-BD98-94E8AF603ECC}"/>
    <hyperlink ref="K972" r:id="rId291" xr:uid="{59CB4741-CCCC-407B-84E9-3FD1BA786B80}"/>
    <hyperlink ref="K974" r:id="rId292" xr:uid="{615FCD66-FC4F-4031-8D5D-F427E886C178}"/>
    <hyperlink ref="K975" r:id="rId293" xr:uid="{DA2D9D53-1137-4B35-804A-9AA861A1922D}"/>
    <hyperlink ref="K976" r:id="rId294" xr:uid="{C105CDB7-E8FC-4020-97A2-4139DAC51881}"/>
    <hyperlink ref="K991" r:id="rId295" xr:uid="{5209867F-E692-4275-A72C-906070FE0CF4}"/>
    <hyperlink ref="K993" r:id="rId296" xr:uid="{FBB61AA6-B4D6-4245-83D8-A3B2AAC147E4}"/>
    <hyperlink ref="K996" r:id="rId297" xr:uid="{EA818EEA-C8BD-4EE1-8E20-9F45DAA16A40}"/>
    <hyperlink ref="K997" r:id="rId298" xr:uid="{89F74935-34AC-42F9-98B5-5801782B20BA}"/>
    <hyperlink ref="K999" r:id="rId299" xr:uid="{DDBAAD82-AE14-4D2E-BD02-A71B23E6EF47}"/>
    <hyperlink ref="K1000" r:id="rId300" xr:uid="{0449C89B-6D61-4428-A413-C7C97589435B}"/>
    <hyperlink ref="K1001" r:id="rId301" xr:uid="{57555E43-0570-4680-B2EA-B9ED8ECAB47B}"/>
    <hyperlink ref="K1002" r:id="rId302" xr:uid="{C017FC40-BA98-479E-9A62-0642DCCCA446}"/>
    <hyperlink ref="K1003" r:id="rId303" xr:uid="{5F7F6D87-814F-4F09-AE55-42482FA6F05C}"/>
    <hyperlink ref="K1005" r:id="rId304" xr:uid="{0E32E6A1-6694-475A-A2AA-972F4287C427}"/>
    <hyperlink ref="K1006" r:id="rId305" xr:uid="{541DE34C-F258-4292-9FB0-D66B2FCBBCB9}"/>
    <hyperlink ref="K1007" r:id="rId306" xr:uid="{10750312-F53E-4B54-88F1-8A1E07A2883B}"/>
    <hyperlink ref="K1008" r:id="rId307" xr:uid="{C95CCFE9-54E2-48FF-8AA9-5BE0C706146B}"/>
    <hyperlink ref="K1011" r:id="rId308" xr:uid="{BDD79A06-ADEF-459A-AAF2-C1A21035CA0D}"/>
    <hyperlink ref="K1013" r:id="rId309" xr:uid="{EFCDB271-8B92-4770-8DDA-5AE96168D385}"/>
    <hyperlink ref="K1016" r:id="rId310" xr:uid="{00CCE3EC-9104-405F-9CEB-35423D15AD4C}"/>
    <hyperlink ref="K1017" r:id="rId311" xr:uid="{84817648-A1D5-4138-8B44-68D48F1124E3}"/>
    <hyperlink ref="K1018" r:id="rId312" xr:uid="{8A501C6C-DCF4-4058-B351-78CC3FAA25B6}"/>
    <hyperlink ref="K1020" r:id="rId313" xr:uid="{C776E984-0C8B-4F04-B4B5-E7D5EA9D16DB}"/>
    <hyperlink ref="K1023" r:id="rId314" xr:uid="{09DD28C6-A378-4A8B-AB95-6720AB46D69B}"/>
    <hyperlink ref="K1024" r:id="rId315" xr:uid="{102C511B-EE78-41C3-ACE8-9F6091571CF7}"/>
    <hyperlink ref="K1036" r:id="rId316" xr:uid="{119554E2-5772-4023-8CAE-69A43F3888FE}"/>
    <hyperlink ref="K1039" r:id="rId317" xr:uid="{89727CD3-69E0-4BE9-B632-E9AB13F59D25}"/>
    <hyperlink ref="K1041" r:id="rId318" xr:uid="{327935B0-EBD0-49CB-8097-6814FED57184}"/>
    <hyperlink ref="K1050" r:id="rId319" xr:uid="{49460E40-B396-4614-8F7D-23A88398A0BE}"/>
    <hyperlink ref="K1052" r:id="rId320" xr:uid="{11413E31-22F0-4D92-902D-B1ACBDB22B7F}"/>
    <hyperlink ref="K1053" r:id="rId321" xr:uid="{7865A436-AC04-44AE-8B8D-46A8D52CA522}"/>
    <hyperlink ref="K1054" r:id="rId322" xr:uid="{AF473AE7-417C-441A-9ADC-94522007D54E}"/>
    <hyperlink ref="K1057" r:id="rId323" xr:uid="{87B38633-0E42-40BA-A47B-122E94D18D2C}"/>
    <hyperlink ref="K1058" r:id="rId324" xr:uid="{DF3DB77E-714C-4956-B0E7-32CD6496A8B4}"/>
    <hyperlink ref="K1060" r:id="rId325" xr:uid="{5AF86685-9716-40BF-BD20-7AF9FC0C52A5}"/>
    <hyperlink ref="K1062" r:id="rId326" xr:uid="{F1565170-885A-4CCE-B455-942798665175}"/>
    <hyperlink ref="K1064" r:id="rId327" xr:uid="{7E08BF72-3639-479F-8ADC-D621777BA8CB}"/>
    <hyperlink ref="K1070" r:id="rId328" xr:uid="{F0C454EB-9AA5-45C5-80D4-938CA3614B66}"/>
    <hyperlink ref="K1071" r:id="rId329" xr:uid="{A950557A-E929-4540-9637-F63DCA842933}"/>
    <hyperlink ref="K1072" r:id="rId330" xr:uid="{55EF55EE-EE8A-4845-B8CD-4B55846235FD}"/>
    <hyperlink ref="K1074" r:id="rId331" xr:uid="{773BD532-A208-4857-A3FC-E4E67599FF0A}"/>
    <hyperlink ref="K1075" r:id="rId332" xr:uid="{3FEABE3A-BAC4-4F4E-9341-D9B8965353B0}"/>
    <hyperlink ref="K1077" r:id="rId333" xr:uid="{935DC115-3B6B-4988-BE3A-3DB610656137}"/>
    <hyperlink ref="K1078" r:id="rId334" xr:uid="{8C26B099-4DED-416B-AEC1-F97337B6873F}"/>
    <hyperlink ref="K1080" r:id="rId335" xr:uid="{4061A0B6-8620-4E76-96E1-ED5E131E1B3E}"/>
    <hyperlink ref="K1081" r:id="rId336" xr:uid="{FD75E234-68C5-4195-BC79-D7EDAA2A6E7E}"/>
    <hyperlink ref="K1086" r:id="rId337" xr:uid="{7B63BFFA-BCA9-44B8-AB10-79006E56CB91}"/>
    <hyperlink ref="K1087" r:id="rId338" xr:uid="{3FB30E4F-81D8-44DE-96E2-336A0499C481}"/>
    <hyperlink ref="K1093" r:id="rId339" xr:uid="{8A9FA7B6-8D77-4264-822B-0ECFCA4E5760}"/>
    <hyperlink ref="K1098" r:id="rId340" xr:uid="{9591D5C3-0A45-48F7-ADBA-D9E72F2525C9}"/>
    <hyperlink ref="K1108" r:id="rId341" xr:uid="{4D8DDD72-AEA6-42F9-A663-BA9BCAFF1450}"/>
    <hyperlink ref="K1110" r:id="rId342" xr:uid="{196B9EA6-7E4B-4019-A287-7EC5A1C7C1CA}"/>
    <hyperlink ref="K1115" r:id="rId343" xr:uid="{761BE555-C4B1-4DB5-8542-36CC5C96D330}"/>
    <hyperlink ref="K1120" r:id="rId344" xr:uid="{FE33439C-BAD4-4FF4-BD03-BB31C36BA6E8}"/>
    <hyperlink ref="K1122" r:id="rId345" xr:uid="{7848AE17-7CA0-4A32-AD80-1CAA172EE4D3}"/>
    <hyperlink ref="K1128" r:id="rId346" xr:uid="{D917D872-1395-45C8-822E-58A22E752B94}"/>
    <hyperlink ref="K1132" r:id="rId347" xr:uid="{6810E4E0-18BE-4DDA-9A19-B60C035ACA5C}"/>
    <hyperlink ref="K1133" r:id="rId348" xr:uid="{D33DABB6-0AD5-450E-A1E5-AFEEC49B7530}"/>
    <hyperlink ref="K1134" r:id="rId349" xr:uid="{91C39256-C543-4FB7-A09F-04D45A58A3F2}"/>
    <hyperlink ref="K1140" r:id="rId350" xr:uid="{608D2238-8136-4346-9658-D9962D1B962D}"/>
    <hyperlink ref="K1155" r:id="rId351" xr:uid="{F705DF5B-D721-48E5-AE90-D73185585CD6}"/>
    <hyperlink ref="K1157" r:id="rId352" xr:uid="{B50923E0-65FD-44EE-BA68-45A7EB2ED301}"/>
    <hyperlink ref="K1165" r:id="rId353" xr:uid="{D1AFBB68-13BD-483A-B7F2-327D27AAE9AE}"/>
    <hyperlink ref="K1166" r:id="rId354" xr:uid="{41CC1F5E-7160-45BC-B224-CC83A5DE71FE}"/>
    <hyperlink ref="K1167" r:id="rId355" xr:uid="{2B4A070C-A82D-4A1A-9098-B2CF2F4AF839}"/>
    <hyperlink ref="K1175" r:id="rId356" xr:uid="{F8DB7170-C837-4800-96E7-ED59C98FD934}"/>
    <hyperlink ref="K1177" r:id="rId357" xr:uid="{5842E065-0D13-4DCF-9E6F-92417A25683D}"/>
    <hyperlink ref="K1187" r:id="rId358" xr:uid="{50DCFF32-2783-4FCF-B3FE-DBA1BDDB815B}"/>
    <hyperlink ref="K1188" r:id="rId359" xr:uid="{983FEFE3-EAC5-4A92-8900-EA369CE12ED0}"/>
    <hyperlink ref="K1193" r:id="rId360" xr:uid="{290089D8-CDC7-4AF0-85F3-E65BB87E88B9}"/>
    <hyperlink ref="K1194" r:id="rId361" xr:uid="{31DD32C8-9B76-445F-B7D0-AB23C4B4DB0B}"/>
    <hyperlink ref="K1199" r:id="rId362" xr:uid="{AD16142B-43C7-48EB-8B28-1ADDA889A41B}"/>
    <hyperlink ref="K1201" r:id="rId363" xr:uid="{B7CA4A25-2522-4E2B-B66C-D2EE4DAA4508}"/>
    <hyperlink ref="K1205" r:id="rId364" xr:uid="{FF4F03D7-9E90-4A57-9692-BB8C4158159E}"/>
    <hyperlink ref="K1208" r:id="rId365" xr:uid="{4B5B2130-077F-439E-9B1C-9A3059B08808}"/>
    <hyperlink ref="K1209" r:id="rId366" xr:uid="{8BCDD2A2-7C96-4BF2-A813-7714BDC19425}"/>
    <hyperlink ref="K1213" r:id="rId367" xr:uid="{0851B014-C6D0-4753-BCC9-BC91461B4A80}"/>
    <hyperlink ref="K1216" r:id="rId368" xr:uid="{B68EB13C-61D9-40F5-B4AB-4CFC087CB710}"/>
    <hyperlink ref="K1217" r:id="rId369" xr:uid="{64111554-7F5C-4DBC-80B1-2D39F0A836F2}"/>
    <hyperlink ref="L1227" r:id="rId370" xr:uid="{57E4735D-8610-4EDA-8622-A41E3FE5BF91}"/>
    <hyperlink ref="L1230" r:id="rId371" xr:uid="{8AFE133A-E778-4F80-BCCD-7D711F15EA9D}"/>
    <hyperlink ref="L1234" r:id="rId372" xr:uid="{FF1E4780-48D2-46E0-9CEA-9E0508972119}"/>
    <hyperlink ref="K1232" r:id="rId373" xr:uid="{EEB2000B-708D-4653-98E6-907C239E93F9}"/>
    <hyperlink ref="L1233" r:id="rId374" xr:uid="{CC9CD357-2095-4CCB-86E8-DF8B17ED2961}"/>
    <hyperlink ref="L1235" r:id="rId375" xr:uid="{8979F356-639D-406D-A27A-459DF1FC2785}"/>
    <hyperlink ref="L1236" r:id="rId376" xr:uid="{BC6377AF-7292-410F-950E-F8BC993B481B}"/>
    <hyperlink ref="L1237" r:id="rId377" xr:uid="{30353713-CA50-4976-A4B8-B8D0177DACE6}"/>
    <hyperlink ref="L1244" r:id="rId378" xr:uid="{FC3EA42C-44E1-4068-8B3B-98E70B82FD2A}"/>
    <hyperlink ref="L1245" r:id="rId379" xr:uid="{7FB0295B-D96D-4763-94B3-F76D228668D6}"/>
    <hyperlink ref="L1246" r:id="rId380" xr:uid="{478EC0D2-6010-4A01-B6CF-2548EB260379}"/>
    <hyperlink ref="L1254" r:id="rId381" xr:uid="{DAA0D473-2637-417D-AA4E-93C7DDCB5AE8}"/>
    <hyperlink ref="L1257" r:id="rId382" xr:uid="{9010C267-2E87-4CBB-8B41-890508FE4336}"/>
    <hyperlink ref="L1262" r:id="rId383" xr:uid="{F24DD415-AC8F-46EC-AD84-D2DABBAEB6C7}"/>
    <hyperlink ref="K1263" r:id="rId384" xr:uid="{17F33D9A-0D4A-42DA-8ECC-34D0242B7E79}"/>
    <hyperlink ref="L1264" r:id="rId385" xr:uid="{C7E70379-5D10-41F8-9F4C-C0FA5D7ED46F}"/>
    <hyperlink ref="K1266" r:id="rId386" xr:uid="{06D8D0F5-CF7B-4A81-B8A7-803EE6BAA878}"/>
    <hyperlink ref="L1268" r:id="rId387" xr:uid="{2B11A147-4238-436E-83A6-1EA609B9C053}"/>
    <hyperlink ref="L1269" r:id="rId388" xr:uid="{1900543A-4CF4-4B13-BB3B-6728604A87E1}"/>
    <hyperlink ref="K1270" r:id="rId389" xr:uid="{42265D09-8792-4CB5-BF16-36883362A6AB}"/>
    <hyperlink ref="L1274" r:id="rId390" xr:uid="{82C58491-3BD3-4FCE-9C60-8DCFA8A6F245}"/>
    <hyperlink ref="L1278" r:id="rId391" xr:uid="{0C78AC1C-BEBD-4B01-A855-C6CFC4631EF7}"/>
    <hyperlink ref="L1279" r:id="rId392" xr:uid="{9499180C-0D46-4C34-BF07-ADE0BD33DC4A}"/>
    <hyperlink ref="L1280" r:id="rId393" xr:uid="{026E60A8-10CD-4868-8042-7125C1A2793C}"/>
    <hyperlink ref="L1286" r:id="rId394" xr:uid="{41DC85A8-7CF4-4825-BDC4-83A0F45D779B}"/>
    <hyperlink ref="K1291" r:id="rId395" xr:uid="{E4DA8CD4-D8E2-45E0-AB75-F3FB4EFA6CD0}"/>
    <hyperlink ref="K1293" r:id="rId396" xr:uid="{FAAFCBAD-70FA-4018-BFA1-2BF6E740AE20}"/>
    <hyperlink ref="L1295" r:id="rId397" xr:uid="{EC8710CC-6C3F-4363-842F-DD215793A4F9}"/>
    <hyperlink ref="L1299" r:id="rId398" xr:uid="{2803F801-5AEF-4CCB-BD25-DA0E9580E0E8}"/>
    <hyperlink ref="L1300" r:id="rId399" xr:uid="{2740137D-92DE-4E76-9015-EF47652DE806}"/>
    <hyperlink ref="L1305" r:id="rId400" xr:uid="{7A1AF836-DAEE-444C-AB54-8B9BBCB838CD}"/>
    <hyperlink ref="K1306" r:id="rId401" xr:uid="{ECB6171E-4F33-43A5-9FC9-D7671383FF0B}"/>
    <hyperlink ref="L1310" r:id="rId402" xr:uid="{62639E0D-91E6-4B60-9BCF-4D13A8EDB5F6}"/>
    <hyperlink ref="L1312" r:id="rId403" xr:uid="{FB37BDA7-48AE-4858-A50D-9A396B624E67}"/>
    <hyperlink ref="L1313" r:id="rId404" xr:uid="{53D373CC-E48B-404F-B279-C119B441EA36}"/>
    <hyperlink ref="K1319" r:id="rId405" xr:uid="{CE5C5045-780A-4EA8-90E3-A8C2B6E52C36}"/>
    <hyperlink ref="K1323" r:id="rId406" xr:uid="{C25149C8-5C78-4D3C-8E98-214EDB11850E}"/>
    <hyperlink ref="K1329" r:id="rId407" xr:uid="{FB529BC4-C689-43F4-A2A9-5A5A29D95C50}"/>
    <hyperlink ref="L1333" r:id="rId408" xr:uid="{FAAEBC3A-176C-4028-98F7-18B8ABC76353}"/>
    <hyperlink ref="L1337" r:id="rId409" xr:uid="{5BF85B98-A79D-41DC-9D96-3AAE08BD7A06}"/>
    <hyperlink ref="K1341" r:id="rId410" xr:uid="{31370D85-3531-4944-84D7-4FF112918EF4}"/>
    <hyperlink ref="L1342" r:id="rId411" xr:uid="{A48A66F4-0142-48DA-A1E2-76A372419035}"/>
    <hyperlink ref="L1344" r:id="rId412" xr:uid="{9F8FB03D-301D-409E-A44A-37709B8158DA}"/>
    <hyperlink ref="L1346" r:id="rId413" xr:uid="{49C7CF1E-C781-47FF-8BE7-14288F6E914B}"/>
  </hyperlinks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5" zoomScaleNormal="100" workbookViewId="0">
      <selection activeCell="E38" sqref="E38"/>
    </sheetView>
  </sheetViews>
  <sheetFormatPr defaultColWidth="14.42578125" defaultRowHeight="15"/>
  <cols>
    <col min="1" max="1" width="17.28515625" customWidth="1"/>
    <col min="2" max="2" width="13.42578125" customWidth="1"/>
    <col min="3" max="3" width="9.42578125" customWidth="1"/>
    <col min="4" max="5" width="9.140625" customWidth="1"/>
    <col min="6" max="7" width="8.85546875" customWidth="1"/>
    <col min="8" max="8" width="9.140625" customWidth="1"/>
    <col min="9" max="9" width="8.7109375" customWidth="1"/>
    <col min="10" max="10" width="9.85546875" customWidth="1"/>
    <col min="11" max="16" width="8.7109375" customWidth="1"/>
    <col min="17" max="17" width="9.140625" customWidth="1"/>
    <col min="18" max="18" width="8.7109375" customWidth="1"/>
    <col min="19" max="19" width="9.140625" customWidth="1"/>
    <col min="20" max="20" width="8.7109375" customWidth="1"/>
    <col min="21" max="21" width="9.140625" customWidth="1"/>
    <col min="22" max="22" width="8.7109375" customWidth="1"/>
    <col min="23" max="23" width="8.85546875" customWidth="1"/>
    <col min="24" max="24" width="8.7109375" customWidth="1"/>
    <col min="25" max="25" width="8.85546875" customWidth="1"/>
    <col min="26" max="26" width="8.7109375" customWidth="1"/>
  </cols>
  <sheetData>
    <row r="1" spans="1:26">
      <c r="A1" s="1"/>
      <c r="B1" s="1"/>
      <c r="C1" s="5">
        <v>101</v>
      </c>
      <c r="D1" s="5">
        <v>102</v>
      </c>
      <c r="E1" s="5">
        <v>103</v>
      </c>
      <c r="F1" s="5">
        <v>104</v>
      </c>
      <c r="G1" s="5">
        <v>105</v>
      </c>
      <c r="H1" s="5">
        <v>106</v>
      </c>
      <c r="I1" s="44">
        <v>107</v>
      </c>
      <c r="J1" s="44">
        <v>108</v>
      </c>
      <c r="K1" s="44">
        <v>109</v>
      </c>
      <c r="L1" s="5">
        <v>110</v>
      </c>
      <c r="M1" s="5">
        <v>111</v>
      </c>
      <c r="N1" s="5">
        <v>112</v>
      </c>
      <c r="O1" s="5">
        <v>113</v>
      </c>
      <c r="P1" s="44">
        <v>114</v>
      </c>
      <c r="Q1" s="44"/>
      <c r="R1" s="44">
        <v>115</v>
      </c>
      <c r="S1" s="44"/>
      <c r="T1" s="44">
        <v>116</v>
      </c>
      <c r="U1" s="44"/>
      <c r="V1" s="5">
        <v>117</v>
      </c>
      <c r="W1" s="5"/>
      <c r="X1" s="1"/>
      <c r="Y1" s="44"/>
    </row>
    <row r="2" spans="1:26">
      <c r="A2" s="1"/>
      <c r="B2" s="1"/>
      <c r="C2" s="11" t="s">
        <v>2804</v>
      </c>
      <c r="D2" s="11" t="s">
        <v>2805</v>
      </c>
      <c r="E2" s="11" t="s">
        <v>2806</v>
      </c>
      <c r="F2" s="11" t="s">
        <v>2807</v>
      </c>
      <c r="G2" s="11" t="s">
        <v>2808</v>
      </c>
      <c r="H2" s="11" t="s">
        <v>2809</v>
      </c>
      <c r="I2" s="27" t="s">
        <v>2810</v>
      </c>
      <c r="J2" s="27" t="s">
        <v>2811</v>
      </c>
      <c r="K2" s="27">
        <v>2948</v>
      </c>
      <c r="L2" s="27">
        <v>3720</v>
      </c>
      <c r="M2" s="27">
        <v>3585</v>
      </c>
      <c r="N2" s="5">
        <v>3195</v>
      </c>
      <c r="O2" s="5">
        <v>3549</v>
      </c>
      <c r="P2" s="44">
        <v>3198</v>
      </c>
      <c r="Q2" s="5"/>
      <c r="R2" s="44">
        <v>3055</v>
      </c>
      <c r="S2" s="5"/>
      <c r="T2" s="44">
        <v>2965</v>
      </c>
      <c r="U2" s="5"/>
      <c r="V2" s="5">
        <v>3425</v>
      </c>
      <c r="W2" s="5"/>
      <c r="X2" s="1"/>
      <c r="Y2" s="5" t="s">
        <v>2812</v>
      </c>
    </row>
    <row r="3" spans="1:26">
      <c r="A3" s="1"/>
      <c r="B3" s="1"/>
      <c r="C3" s="11"/>
      <c r="D3" s="11"/>
      <c r="E3" s="11"/>
      <c r="F3" s="11"/>
      <c r="G3" s="11"/>
      <c r="H3" s="11"/>
      <c r="I3" s="27"/>
      <c r="J3" s="27"/>
      <c r="K3" s="27"/>
      <c r="L3" s="27"/>
      <c r="M3" s="27"/>
      <c r="N3" s="5"/>
      <c r="O3" s="5"/>
      <c r="P3" s="44"/>
      <c r="Q3" s="5"/>
      <c r="R3" s="44"/>
      <c r="S3" s="5"/>
      <c r="T3" s="44"/>
      <c r="U3" s="5"/>
      <c r="V3" s="5"/>
      <c r="W3" s="5"/>
      <c r="X3" s="1"/>
      <c r="Y3" s="5"/>
    </row>
    <row r="4" spans="1:26">
      <c r="A4" s="1"/>
      <c r="B4" s="1"/>
      <c r="C4" s="5"/>
      <c r="D4" s="5"/>
      <c r="E4" s="5"/>
      <c r="F4" s="5"/>
      <c r="G4" s="5"/>
      <c r="H4" s="5"/>
      <c r="I4" s="44"/>
      <c r="J4" s="44"/>
      <c r="K4" s="44"/>
      <c r="L4" s="5"/>
      <c r="M4" s="5"/>
      <c r="N4" s="5"/>
      <c r="O4" s="5"/>
      <c r="P4" s="44"/>
      <c r="Q4" s="44"/>
      <c r="R4" s="44"/>
      <c r="S4" s="44"/>
      <c r="T4" s="44"/>
      <c r="U4" s="44"/>
      <c r="V4" s="5"/>
      <c r="W4" s="5"/>
      <c r="X4" s="1"/>
      <c r="Y4" s="44"/>
    </row>
    <row r="5" spans="1:26">
      <c r="A5" s="1" t="s">
        <v>828</v>
      </c>
      <c r="B5" s="4" t="s">
        <v>827</v>
      </c>
      <c r="C5" s="5" t="s">
        <v>2813</v>
      </c>
      <c r="D5" s="5" t="s">
        <v>2813</v>
      </c>
      <c r="E5" s="5" t="s">
        <v>2813</v>
      </c>
      <c r="F5" s="5" t="s">
        <v>2813</v>
      </c>
      <c r="G5" s="5" t="s">
        <v>2813</v>
      </c>
      <c r="H5" s="92">
        <v>294</v>
      </c>
      <c r="I5" s="93">
        <v>268</v>
      </c>
      <c r="J5" s="93">
        <v>566</v>
      </c>
      <c r="K5" s="93">
        <v>523</v>
      </c>
      <c r="L5" s="93">
        <v>735</v>
      </c>
      <c r="M5" s="93">
        <v>359</v>
      </c>
      <c r="N5" s="92">
        <v>145</v>
      </c>
      <c r="O5" s="94" t="s">
        <v>2814</v>
      </c>
      <c r="P5" s="44" t="s">
        <v>2814</v>
      </c>
      <c r="Q5" s="95">
        <v>0</v>
      </c>
      <c r="R5" s="44" t="s">
        <v>2814</v>
      </c>
      <c r="S5" s="95">
        <v>0</v>
      </c>
      <c r="T5" s="96">
        <v>1070</v>
      </c>
      <c r="U5" s="95">
        <f>(1-T5/2965)*80+10</f>
        <v>61.129848229342329</v>
      </c>
      <c r="V5" s="92">
        <v>56</v>
      </c>
      <c r="W5" s="97">
        <f>(1-V5/3425)*80+20</f>
        <v>98.691970802919712</v>
      </c>
      <c r="X5" s="1"/>
      <c r="Y5" s="95">
        <f>(SUM(S5,U5,W5)-MIN(S5,U5,W5))/2</f>
        <v>79.910909516131028</v>
      </c>
    </row>
    <row r="6" spans="1:26">
      <c r="A6" s="1" t="s">
        <v>13</v>
      </c>
      <c r="B6" s="1" t="s">
        <v>13</v>
      </c>
      <c r="C6" s="5" t="s">
        <v>2813</v>
      </c>
      <c r="D6" s="5" t="s">
        <v>2813</v>
      </c>
      <c r="E6" s="5" t="s">
        <v>2813</v>
      </c>
      <c r="F6" s="5" t="s">
        <v>2813</v>
      </c>
      <c r="G6" s="5" t="s">
        <v>2813</v>
      </c>
      <c r="H6" s="5" t="s">
        <v>2813</v>
      </c>
      <c r="I6" s="5" t="s">
        <v>2813</v>
      </c>
      <c r="J6" s="92">
        <v>41</v>
      </c>
      <c r="K6" s="92">
        <v>16</v>
      </c>
      <c r="L6" s="92">
        <v>26</v>
      </c>
      <c r="M6" s="92">
        <v>12</v>
      </c>
      <c r="N6" s="5" t="s">
        <v>377</v>
      </c>
      <c r="O6" s="92">
        <v>7</v>
      </c>
      <c r="P6" s="92">
        <v>46</v>
      </c>
      <c r="Q6" s="95">
        <f>(1-P6/3198)*80+20</f>
        <v>98.84928080050031</v>
      </c>
      <c r="R6" s="92">
        <v>3</v>
      </c>
      <c r="S6" s="95">
        <f>(1-R6/3055)*80+20</f>
        <v>99.921440261865797</v>
      </c>
      <c r="T6" s="92">
        <v>23</v>
      </c>
      <c r="U6" s="95">
        <f>(1-T6/2965)*80+20</f>
        <v>99.379426644182132</v>
      </c>
      <c r="V6" s="92">
        <v>59</v>
      </c>
      <c r="W6" s="97">
        <f>(1-V6/3425)*80+20</f>
        <v>98.621897810218982</v>
      </c>
      <c r="X6" s="1"/>
      <c r="Y6" s="95">
        <f>(SUM(S6,U6,W6)-MIN(S6,U6,W6))/2</f>
        <v>99.650433453023965</v>
      </c>
    </row>
    <row r="7" spans="1:26">
      <c r="A7" s="1" t="s">
        <v>537</v>
      </c>
      <c r="B7" s="1" t="s">
        <v>536</v>
      </c>
      <c r="C7" s="5" t="s">
        <v>2813</v>
      </c>
      <c r="D7" s="5" t="s">
        <v>2813</v>
      </c>
      <c r="E7" s="5" t="s">
        <v>2813</v>
      </c>
      <c r="F7" s="5" t="s">
        <v>2813</v>
      </c>
      <c r="G7" s="5" t="s">
        <v>2813</v>
      </c>
      <c r="H7" s="5" t="s">
        <v>2813</v>
      </c>
      <c r="I7" s="5" t="s">
        <v>2813</v>
      </c>
      <c r="J7" s="5" t="s">
        <v>2813</v>
      </c>
      <c r="K7" s="5" t="s">
        <v>2813</v>
      </c>
      <c r="L7" s="5" t="s">
        <v>2813</v>
      </c>
      <c r="M7" s="5" t="s">
        <v>2813</v>
      </c>
      <c r="N7" s="5" t="s">
        <v>2813</v>
      </c>
      <c r="O7" s="5" t="s">
        <v>2813</v>
      </c>
      <c r="P7" s="5" t="s">
        <v>2813</v>
      </c>
      <c r="Q7" s="95">
        <v>0</v>
      </c>
      <c r="R7" s="5" t="s">
        <v>2813</v>
      </c>
      <c r="S7" s="95">
        <v>0</v>
      </c>
      <c r="T7" s="96">
        <v>452</v>
      </c>
      <c r="U7" s="95">
        <f>(1-T7/2965)*80+10</f>
        <v>77.804384485666105</v>
      </c>
      <c r="V7" s="92">
        <v>73</v>
      </c>
      <c r="W7" s="97">
        <f>(1-V7/3425)*80+20</f>
        <v>98.294890510948903</v>
      </c>
      <c r="X7" s="1"/>
      <c r="Y7" s="95">
        <f>(SUM(S7,U7,W7)-MIN(S7,U7,W7))/2</f>
        <v>88.049637498307504</v>
      </c>
    </row>
    <row r="8" spans="1:26">
      <c r="A8" s="8" t="s">
        <v>526</v>
      </c>
      <c r="B8" s="8" t="s">
        <v>525</v>
      </c>
      <c r="C8" s="5" t="s">
        <v>2813</v>
      </c>
      <c r="D8" s="5" t="s">
        <v>2813</v>
      </c>
      <c r="E8" s="5" t="s">
        <v>2813</v>
      </c>
      <c r="F8" s="5" t="s">
        <v>2813</v>
      </c>
      <c r="G8" s="5" t="s">
        <v>2813</v>
      </c>
      <c r="H8" s="5" t="s">
        <v>2813</v>
      </c>
      <c r="I8" s="5" t="s">
        <v>2813</v>
      </c>
      <c r="J8" s="5" t="s">
        <v>2813</v>
      </c>
      <c r="K8" s="5" t="s">
        <v>2813</v>
      </c>
      <c r="L8" s="5" t="s">
        <v>2813</v>
      </c>
      <c r="M8" s="5" t="s">
        <v>2813</v>
      </c>
      <c r="N8" s="5" t="s">
        <v>2813</v>
      </c>
      <c r="O8" s="5" t="s">
        <v>2813</v>
      </c>
      <c r="P8" s="5" t="s">
        <v>2813</v>
      </c>
      <c r="Q8" s="95">
        <v>0</v>
      </c>
      <c r="R8" s="5" t="s">
        <v>2813</v>
      </c>
      <c r="S8" s="95">
        <v>0</v>
      </c>
      <c r="T8" s="93">
        <v>161</v>
      </c>
      <c r="U8" s="95">
        <f>(1-T8/2965)*80+15</f>
        <v>90.655986509274868</v>
      </c>
      <c r="V8" s="92">
        <v>84</v>
      </c>
      <c r="W8" s="97">
        <f>(1-V8/3425)*80+20</f>
        <v>98.037956204379554</v>
      </c>
      <c r="X8" s="1"/>
      <c r="Y8" s="95">
        <f>(SUM(S8,U8,W8)-MIN(S8,U8,W8))/2</f>
        <v>94.346971356827211</v>
      </c>
    </row>
    <row r="9" spans="1:26">
      <c r="A9" s="1" t="s">
        <v>530</v>
      </c>
      <c r="B9" s="4" t="s">
        <v>529</v>
      </c>
      <c r="C9" s="98">
        <v>1430</v>
      </c>
      <c r="D9" s="99">
        <v>1040</v>
      </c>
      <c r="E9" s="5" t="s">
        <v>377</v>
      </c>
      <c r="F9" s="93">
        <v>733</v>
      </c>
      <c r="G9" s="44" t="s">
        <v>377</v>
      </c>
      <c r="H9" s="96">
        <v>2151</v>
      </c>
      <c r="I9" s="44" t="s">
        <v>377</v>
      </c>
      <c r="J9" s="98">
        <v>2495</v>
      </c>
      <c r="K9" s="44" t="s">
        <v>377</v>
      </c>
      <c r="L9" s="5" t="s">
        <v>377</v>
      </c>
      <c r="M9" s="92">
        <v>151</v>
      </c>
      <c r="N9" s="93">
        <v>309</v>
      </c>
      <c r="O9" s="96">
        <v>933</v>
      </c>
      <c r="P9" s="44" t="s">
        <v>377</v>
      </c>
      <c r="Q9" s="95">
        <v>0</v>
      </c>
      <c r="R9" s="96">
        <v>671</v>
      </c>
      <c r="S9" s="95">
        <f>(1-R9/3055)*80+10</f>
        <v>72.428805237315871</v>
      </c>
      <c r="T9" s="96">
        <v>370</v>
      </c>
      <c r="U9" s="95">
        <f>(1-T9/2965)*80+10</f>
        <v>80.016863406408092</v>
      </c>
      <c r="V9" s="92">
        <v>196</v>
      </c>
      <c r="W9" s="97">
        <f>(1-V9/3425)*80+20</f>
        <v>95.421897810218979</v>
      </c>
      <c r="X9" s="1"/>
      <c r="Y9" s="95">
        <f>(SUM(S9,U9,W9)-MIN(S9,U9,W9))/2</f>
        <v>87.719380608313543</v>
      </c>
    </row>
    <row r="10" spans="1:26">
      <c r="A10" s="42" t="s">
        <v>499</v>
      </c>
      <c r="B10" s="37" t="s">
        <v>498</v>
      </c>
      <c r="C10" s="100">
        <v>2393</v>
      </c>
      <c r="D10" s="101">
        <v>2905</v>
      </c>
      <c r="E10" s="101">
        <v>2176</v>
      </c>
      <c r="F10" s="43" t="s">
        <v>377</v>
      </c>
      <c r="G10" s="101">
        <v>1784</v>
      </c>
      <c r="H10" s="102">
        <v>1603</v>
      </c>
      <c r="I10" s="101">
        <v>2241</v>
      </c>
      <c r="J10" s="43" t="s">
        <v>377</v>
      </c>
      <c r="K10" s="101">
        <v>1621</v>
      </c>
      <c r="L10" s="102">
        <v>1543</v>
      </c>
      <c r="M10" s="103">
        <v>1066</v>
      </c>
      <c r="N10" s="101">
        <v>1563</v>
      </c>
      <c r="O10" s="41" t="s">
        <v>377</v>
      </c>
      <c r="P10" s="101">
        <v>1262</v>
      </c>
      <c r="Q10" s="104">
        <f>(1-P10/3198)*80+5</f>
        <v>53.4302689180738</v>
      </c>
      <c r="R10" s="47" t="s">
        <v>377</v>
      </c>
      <c r="S10" s="104">
        <v>0</v>
      </c>
      <c r="T10" s="102">
        <v>416</v>
      </c>
      <c r="U10" s="104">
        <f>(1-T10/2965)*80+10</f>
        <v>78.775716694772342</v>
      </c>
      <c r="V10" s="105">
        <v>198</v>
      </c>
      <c r="W10" s="106">
        <f>(1-V10/3425)*80+20</f>
        <v>95.375182481751821</v>
      </c>
      <c r="X10" s="37"/>
      <c r="Y10" s="104">
        <f>(SUM(S10,U10,W10)-MIN(S10,U10,W10))/2</f>
        <v>87.075449588262074</v>
      </c>
      <c r="Z10" s="37"/>
    </row>
    <row r="11" spans="1:26">
      <c r="A11" s="8" t="s">
        <v>20</v>
      </c>
      <c r="B11" s="8" t="s">
        <v>19</v>
      </c>
      <c r="C11" s="5" t="s">
        <v>2813</v>
      </c>
      <c r="D11" s="5" t="s">
        <v>2813</v>
      </c>
      <c r="E11" s="5" t="s">
        <v>2813</v>
      </c>
      <c r="F11" s="5" t="s">
        <v>2813</v>
      </c>
      <c r="G11" s="5" t="s">
        <v>2813</v>
      </c>
      <c r="H11" s="5" t="s">
        <v>2813</v>
      </c>
      <c r="I11" s="5" t="s">
        <v>2813</v>
      </c>
      <c r="J11" s="5" t="s">
        <v>2813</v>
      </c>
      <c r="K11" s="5" t="s">
        <v>2813</v>
      </c>
      <c r="L11" s="5" t="s">
        <v>2813</v>
      </c>
      <c r="M11" s="5" t="s">
        <v>2813</v>
      </c>
      <c r="N11" s="5" t="s">
        <v>2813</v>
      </c>
      <c r="O11" s="5" t="s">
        <v>2813</v>
      </c>
      <c r="P11" s="5" t="s">
        <v>2813</v>
      </c>
      <c r="Q11" s="95">
        <v>0</v>
      </c>
      <c r="R11" s="5" t="s">
        <v>2813</v>
      </c>
      <c r="S11" s="95">
        <v>0</v>
      </c>
      <c r="T11" s="98">
        <v>1737</v>
      </c>
      <c r="U11" s="95">
        <f>(1-T11/2965)*80+5</f>
        <v>38.133220910623947</v>
      </c>
      <c r="V11" s="92">
        <v>201</v>
      </c>
      <c r="W11" s="97">
        <f>(1-V11/3425)*80+20</f>
        <v>95.305109489051091</v>
      </c>
      <c r="X11" s="1"/>
      <c r="Y11" s="95">
        <f>(SUM(S11,U11,W11)-MIN(S11,U11,W11))/2</f>
        <v>66.719165199837519</v>
      </c>
    </row>
    <row r="12" spans="1:26">
      <c r="A12" s="1" t="s">
        <v>625</v>
      </c>
      <c r="B12" s="4" t="s">
        <v>624</v>
      </c>
      <c r="C12" s="5" t="s">
        <v>2813</v>
      </c>
      <c r="D12" s="5" t="s">
        <v>2813</v>
      </c>
      <c r="E12" s="5" t="s">
        <v>2813</v>
      </c>
      <c r="F12" s="5" t="s">
        <v>2813</v>
      </c>
      <c r="G12" s="5" t="s">
        <v>2813</v>
      </c>
      <c r="H12" s="5" t="s">
        <v>2813</v>
      </c>
      <c r="I12" s="5" t="s">
        <v>2813</v>
      </c>
      <c r="J12" s="5" t="s">
        <v>2813</v>
      </c>
      <c r="K12" s="5" t="s">
        <v>2813</v>
      </c>
      <c r="L12" s="5" t="s">
        <v>2813</v>
      </c>
      <c r="M12" s="5" t="s">
        <v>2813</v>
      </c>
      <c r="N12" s="93">
        <v>280</v>
      </c>
      <c r="O12" s="93">
        <v>308</v>
      </c>
      <c r="P12" s="93">
        <v>309</v>
      </c>
      <c r="Q12" s="95">
        <f>(1-P12/3198)*80+15</f>
        <v>87.270168855534706</v>
      </c>
      <c r="R12" s="96">
        <v>527</v>
      </c>
      <c r="S12" s="95">
        <f>(1-R12/3055)*80+10</f>
        <v>76.199672667757767</v>
      </c>
      <c r="T12" s="44" t="s">
        <v>377</v>
      </c>
      <c r="U12" s="95">
        <v>0</v>
      </c>
      <c r="V12" s="93">
        <v>209</v>
      </c>
      <c r="W12" s="97">
        <f>(1-V11/3425)*80+15</f>
        <v>90.305109489051091</v>
      </c>
      <c r="X12" s="1"/>
      <c r="Y12" s="95">
        <f>(SUM(S12,U12,W12)-MIN(S12,U12,W12))/2</f>
        <v>83.252391078404429</v>
      </c>
    </row>
    <row r="13" spans="1:26">
      <c r="A13" s="1" t="s">
        <v>2815</v>
      </c>
      <c r="B13" s="1" t="s">
        <v>14</v>
      </c>
      <c r="C13" s="98">
        <v>1402</v>
      </c>
      <c r="D13" s="99">
        <v>1428</v>
      </c>
      <c r="E13" s="98">
        <v>996</v>
      </c>
      <c r="F13" s="5" t="s">
        <v>377</v>
      </c>
      <c r="G13" s="96">
        <v>868</v>
      </c>
      <c r="H13" s="93">
        <v>1081</v>
      </c>
      <c r="I13" s="98">
        <v>1767</v>
      </c>
      <c r="J13" s="96">
        <v>1136</v>
      </c>
      <c r="K13" s="98">
        <v>1333</v>
      </c>
      <c r="L13" s="93">
        <v>828</v>
      </c>
      <c r="M13" s="93">
        <v>1452</v>
      </c>
      <c r="N13" s="93">
        <v>552</v>
      </c>
      <c r="O13" s="96">
        <v>1145</v>
      </c>
      <c r="P13" s="96">
        <v>800</v>
      </c>
      <c r="Q13" s="95">
        <f>(1-P13/3198)*80+10</f>
        <v>69.987492182614133</v>
      </c>
      <c r="R13" s="98">
        <v>1682</v>
      </c>
      <c r="S13" s="95">
        <f>(1-R13/3055)*80+5</f>
        <v>40.954173486088379</v>
      </c>
      <c r="T13" s="96">
        <v>1066</v>
      </c>
      <c r="U13" s="95">
        <f>(1-T13/2965)*80+10</f>
        <v>61.237774030354132</v>
      </c>
      <c r="V13" s="93">
        <v>378</v>
      </c>
      <c r="W13" s="97">
        <f>(1-V12/3425)*80+15</f>
        <v>90.118248175182487</v>
      </c>
      <c r="X13" s="1"/>
      <c r="Y13" s="95">
        <f>(SUM(S13,U13,W13)-MIN(S13,U13,W13))/2</f>
        <v>75.678011102768295</v>
      </c>
    </row>
    <row r="14" spans="1:26">
      <c r="A14" s="10" t="s">
        <v>583</v>
      </c>
      <c r="B14" s="4" t="s">
        <v>490</v>
      </c>
      <c r="C14" s="5" t="s">
        <v>2813</v>
      </c>
      <c r="D14" s="5" t="s">
        <v>2813</v>
      </c>
      <c r="E14" s="5" t="s">
        <v>2813</v>
      </c>
      <c r="F14" s="5" t="s">
        <v>2813</v>
      </c>
      <c r="G14" s="5" t="s">
        <v>2813</v>
      </c>
      <c r="H14" s="5" t="s">
        <v>2813</v>
      </c>
      <c r="I14" s="5" t="s">
        <v>2813</v>
      </c>
      <c r="J14" s="5" t="s">
        <v>2813</v>
      </c>
      <c r="K14" s="5" t="s">
        <v>2813</v>
      </c>
      <c r="L14" s="5" t="s">
        <v>2813</v>
      </c>
      <c r="M14" s="5" t="s">
        <v>2813</v>
      </c>
      <c r="N14" s="5" t="s">
        <v>2813</v>
      </c>
      <c r="O14" s="5" t="s">
        <v>2813</v>
      </c>
      <c r="P14" s="96">
        <v>666</v>
      </c>
      <c r="Q14" s="95">
        <f>(1-P14/3198)*80+10</f>
        <v>73.339587242026269</v>
      </c>
      <c r="R14" s="98">
        <v>1534</v>
      </c>
      <c r="S14" s="95">
        <f>(1-R14/3055)*80+5</f>
        <v>44.829787234042556</v>
      </c>
      <c r="T14" s="93">
        <v>195</v>
      </c>
      <c r="U14" s="95">
        <f>(1-T14/2965)*80+15</f>
        <v>89.73861720067454</v>
      </c>
      <c r="V14" s="93">
        <v>386</v>
      </c>
      <c r="W14" s="97">
        <f>(1-V13/3425)*80+15</f>
        <v>86.170802919708024</v>
      </c>
      <c r="X14" s="1"/>
      <c r="Y14" s="95">
        <f>(SUM(S14,U14,W14)-MIN(S14,U14,W14))/2</f>
        <v>87.954710060191275</v>
      </c>
    </row>
    <row r="15" spans="1:26">
      <c r="A15" s="8" t="s">
        <v>608</v>
      </c>
      <c r="B15" s="4" t="s">
        <v>607</v>
      </c>
      <c r="C15" s="5" t="s">
        <v>2813</v>
      </c>
      <c r="D15" s="5" t="s">
        <v>2813</v>
      </c>
      <c r="E15" s="5" t="s">
        <v>2813</v>
      </c>
      <c r="F15" s="5" t="s">
        <v>2813</v>
      </c>
      <c r="G15" s="5" t="s">
        <v>2813</v>
      </c>
      <c r="H15" s="5" t="s">
        <v>2813</v>
      </c>
      <c r="I15" s="5" t="s">
        <v>2813</v>
      </c>
      <c r="J15" s="5" t="s">
        <v>2813</v>
      </c>
      <c r="K15" s="5" t="s">
        <v>2813</v>
      </c>
      <c r="L15" s="5" t="s">
        <v>2813</v>
      </c>
      <c r="M15" s="5" t="s">
        <v>2813</v>
      </c>
      <c r="N15" s="5" t="s">
        <v>2813</v>
      </c>
      <c r="O15" s="5" t="s">
        <v>2813</v>
      </c>
      <c r="P15" s="5" t="s">
        <v>2813</v>
      </c>
      <c r="Q15" s="5" t="s">
        <v>2813</v>
      </c>
      <c r="R15" s="5" t="s">
        <v>2813</v>
      </c>
      <c r="S15" s="95">
        <v>0</v>
      </c>
      <c r="T15" s="5" t="s">
        <v>2813</v>
      </c>
      <c r="U15" s="95">
        <v>0</v>
      </c>
      <c r="V15" s="93">
        <v>474</v>
      </c>
      <c r="W15" s="97">
        <f>(1-V14/3425)*80+15</f>
        <v>85.983941605839419</v>
      </c>
      <c r="X15" s="1"/>
      <c r="Y15" s="95">
        <f>(SUM(S15,U15,W15)-MIN(S15,U15,W15))/2</f>
        <v>42.99197080291971</v>
      </c>
    </row>
    <row r="16" spans="1:26">
      <c r="A16" s="10" t="s">
        <v>509</v>
      </c>
      <c r="B16" s="10" t="s">
        <v>506</v>
      </c>
      <c r="C16" s="5" t="s">
        <v>2813</v>
      </c>
      <c r="D16" s="5" t="s">
        <v>2813</v>
      </c>
      <c r="E16" s="5" t="s">
        <v>2813</v>
      </c>
      <c r="F16" s="5" t="s">
        <v>2813</v>
      </c>
      <c r="G16" s="5" t="s">
        <v>2813</v>
      </c>
      <c r="H16" s="5" t="s">
        <v>2813</v>
      </c>
      <c r="I16" s="5" t="s">
        <v>2813</v>
      </c>
      <c r="J16" s="5" t="s">
        <v>2813</v>
      </c>
      <c r="K16" s="5" t="s">
        <v>2813</v>
      </c>
      <c r="L16" s="5" t="s">
        <v>2813</v>
      </c>
      <c r="M16" s="5" t="s">
        <v>2813</v>
      </c>
      <c r="N16" s="5" t="s">
        <v>2813</v>
      </c>
      <c r="O16" s="5" t="s">
        <v>2813</v>
      </c>
      <c r="P16" s="5" t="s">
        <v>2813</v>
      </c>
      <c r="Q16" s="95">
        <v>0</v>
      </c>
      <c r="R16" s="96">
        <v>810</v>
      </c>
      <c r="S16" s="95">
        <f>(1-R16/3055)*80+10</f>
        <v>68.788870703764331</v>
      </c>
      <c r="T16" s="98">
        <v>1641</v>
      </c>
      <c r="U16" s="95">
        <f>(1-T16/2965)*80+5</f>
        <v>40.72344013490725</v>
      </c>
      <c r="V16" s="93">
        <v>548</v>
      </c>
      <c r="W16" s="97">
        <f>(1-V15/3425)*80+15</f>
        <v>83.928467153284672</v>
      </c>
      <c r="X16" s="1"/>
      <c r="Y16" s="95">
        <f>(SUM(S16,U16,W16)-MIN(S16,U16,W16))/2</f>
        <v>76.358668928524509</v>
      </c>
    </row>
    <row r="17" spans="1:25">
      <c r="A17" s="1" t="s">
        <v>10</v>
      </c>
      <c r="B17" s="4" t="s">
        <v>9</v>
      </c>
      <c r="C17" s="5" t="s">
        <v>2813</v>
      </c>
      <c r="D17" s="5" t="s">
        <v>2813</v>
      </c>
      <c r="E17" s="98">
        <v>719</v>
      </c>
      <c r="F17" s="98">
        <v>1698</v>
      </c>
      <c r="G17" s="93">
        <v>423</v>
      </c>
      <c r="H17" s="93">
        <v>605</v>
      </c>
      <c r="I17" s="98">
        <v>1444</v>
      </c>
      <c r="J17" s="96">
        <v>1059</v>
      </c>
      <c r="K17" s="98">
        <v>1425</v>
      </c>
      <c r="L17" s="96">
        <v>1266</v>
      </c>
      <c r="M17" s="93">
        <v>815</v>
      </c>
      <c r="N17" s="96">
        <v>1289</v>
      </c>
      <c r="O17" s="93">
        <v>670</v>
      </c>
      <c r="P17" s="98">
        <v>1406</v>
      </c>
      <c r="Q17" s="95">
        <f>(1-P17/3198)*80+5</f>
        <v>49.828017510944342</v>
      </c>
      <c r="R17" s="98">
        <v>972</v>
      </c>
      <c r="S17" s="95">
        <f>(1-R17/3055)*80+5</f>
        <v>59.546644844517189</v>
      </c>
      <c r="T17" s="98">
        <v>1097</v>
      </c>
      <c r="U17" s="95">
        <f>(1-T17/2965)*80+5</f>
        <v>55.401349072512645</v>
      </c>
      <c r="V17" s="93">
        <v>564</v>
      </c>
      <c r="W17" s="97">
        <f>(1-V16/3425)*80+15</f>
        <v>82.2</v>
      </c>
      <c r="X17" s="1"/>
      <c r="Y17" s="95">
        <f>(SUM(S17,U17,W17)-MIN(S17,U17,W17))/2</f>
        <v>70.87332242225861</v>
      </c>
    </row>
    <row r="18" spans="1:25">
      <c r="A18" s="1" t="s">
        <v>486</v>
      </c>
      <c r="B18" s="1" t="s">
        <v>2816</v>
      </c>
      <c r="C18" s="5" t="s">
        <v>2813</v>
      </c>
      <c r="D18" s="99">
        <v>711</v>
      </c>
      <c r="E18" s="98">
        <v>1728</v>
      </c>
      <c r="F18" s="96">
        <v>1105</v>
      </c>
      <c r="G18" s="98">
        <v>1417</v>
      </c>
      <c r="H18" s="5" t="s">
        <v>377</v>
      </c>
      <c r="I18" s="96">
        <v>1297</v>
      </c>
      <c r="J18" s="5" t="s">
        <v>377</v>
      </c>
      <c r="K18" s="96">
        <v>786</v>
      </c>
      <c r="L18" s="5" t="s">
        <v>377</v>
      </c>
      <c r="M18" s="98">
        <v>2285</v>
      </c>
      <c r="N18" s="5" t="s">
        <v>377</v>
      </c>
      <c r="O18" s="98">
        <v>1618</v>
      </c>
      <c r="P18" s="98">
        <v>1305</v>
      </c>
      <c r="Q18" s="95">
        <f>(1-P18/3198)*80+5</f>
        <v>52.354596622889304</v>
      </c>
      <c r="R18" s="107" t="s">
        <v>377</v>
      </c>
      <c r="S18" s="95">
        <v>0</v>
      </c>
      <c r="T18" s="98">
        <v>1118</v>
      </c>
      <c r="U18" s="95">
        <f>(1-T18/2965)*80+5</f>
        <v>54.834738617200678</v>
      </c>
      <c r="V18" s="93">
        <v>571</v>
      </c>
      <c r="W18" s="97">
        <f>(1-V17/3425)*80+15</f>
        <v>81.82627737226278</v>
      </c>
      <c r="X18" s="1"/>
      <c r="Y18" s="95">
        <f>(SUM(S18,U18,W18)-MIN(S18,U18,W18))/2</f>
        <v>68.330507994731732</v>
      </c>
    </row>
    <row r="19" spans="1:25">
      <c r="A19" s="1" t="s">
        <v>0</v>
      </c>
      <c r="B19" s="1" t="s">
        <v>0</v>
      </c>
      <c r="C19" s="93">
        <v>250</v>
      </c>
      <c r="D19" s="92">
        <v>110</v>
      </c>
      <c r="E19" s="96">
        <v>610</v>
      </c>
      <c r="F19" s="92">
        <v>24</v>
      </c>
      <c r="G19" s="92">
        <v>26</v>
      </c>
      <c r="H19" s="5" t="s">
        <v>377</v>
      </c>
      <c r="I19" s="92">
        <v>104</v>
      </c>
      <c r="J19" s="93">
        <v>299</v>
      </c>
      <c r="K19" s="93">
        <v>77</v>
      </c>
      <c r="L19" s="92">
        <v>46</v>
      </c>
      <c r="M19" s="92">
        <v>3</v>
      </c>
      <c r="N19" s="5" t="s">
        <v>377</v>
      </c>
      <c r="O19" s="94" t="s">
        <v>377</v>
      </c>
      <c r="P19" s="93">
        <v>470</v>
      </c>
      <c r="Q19" s="95">
        <f>(1-P19/3198)*80+15</f>
        <v>83.242651657285805</v>
      </c>
      <c r="R19" s="96">
        <v>493</v>
      </c>
      <c r="S19" s="95">
        <f>(1-R19/3055)*80+10</f>
        <v>77.090016366612119</v>
      </c>
      <c r="T19" s="93">
        <v>222</v>
      </c>
      <c r="U19" s="95">
        <f>(1-T19/2965)*80+15</f>
        <v>89.010118043844855</v>
      </c>
      <c r="V19" s="93">
        <v>583</v>
      </c>
      <c r="W19" s="97">
        <f>(1-V18/3425)*80+15</f>
        <v>81.662773722627733</v>
      </c>
      <c r="X19" s="1"/>
      <c r="Y19" s="95">
        <f>(SUM(S19,U19,W19)-MIN(S19,U19,W19))/2</f>
        <v>85.33644588323628</v>
      </c>
    </row>
    <row r="20" spans="1:25">
      <c r="A20" s="1" t="s">
        <v>520</v>
      </c>
      <c r="B20" s="4" t="s">
        <v>519</v>
      </c>
      <c r="C20" s="98">
        <v>1614</v>
      </c>
      <c r="D20" s="98">
        <v>2541</v>
      </c>
      <c r="E20" s="98">
        <v>1523</v>
      </c>
      <c r="F20" s="96">
        <v>1274</v>
      </c>
      <c r="G20" s="96">
        <v>1178</v>
      </c>
      <c r="H20" s="5" t="s">
        <v>377</v>
      </c>
      <c r="I20" s="93">
        <v>473</v>
      </c>
      <c r="J20" s="5" t="s">
        <v>377</v>
      </c>
      <c r="K20" s="96">
        <v>934</v>
      </c>
      <c r="L20" s="93">
        <v>615</v>
      </c>
      <c r="M20" s="96">
        <v>1953</v>
      </c>
      <c r="N20" s="96">
        <v>1380</v>
      </c>
      <c r="O20" s="94" t="s">
        <v>377</v>
      </c>
      <c r="P20" s="98">
        <v>1722</v>
      </c>
      <c r="Q20" s="95">
        <f>(1-P20/3198)*80+5</f>
        <v>41.923076923076927</v>
      </c>
      <c r="R20" s="107" t="s">
        <v>377</v>
      </c>
      <c r="S20" s="95">
        <v>0</v>
      </c>
      <c r="T20" s="107" t="s">
        <v>377</v>
      </c>
      <c r="U20" s="95">
        <v>0</v>
      </c>
      <c r="V20" s="93">
        <v>608</v>
      </c>
      <c r="W20" s="97">
        <f>(1-V19/3425)*80+15</f>
        <v>81.382481751824812</v>
      </c>
      <c r="X20" s="1"/>
      <c r="Y20" s="95">
        <f>(SUM(S20,U20,W20)-MIN(S20,U20,W20))/2</f>
        <v>40.691240875912406</v>
      </c>
    </row>
    <row r="21" spans="1:25" ht="15.75" customHeight="1">
      <c r="A21" s="1" t="s">
        <v>539</v>
      </c>
      <c r="B21" s="4" t="s">
        <v>901</v>
      </c>
      <c r="C21" s="5" t="s">
        <v>2813</v>
      </c>
      <c r="D21" s="5" t="s">
        <v>2813</v>
      </c>
      <c r="E21" s="5" t="s">
        <v>2813</v>
      </c>
      <c r="F21" s="5" t="s">
        <v>2813</v>
      </c>
      <c r="G21" s="5" t="s">
        <v>2813</v>
      </c>
      <c r="H21" s="5" t="s">
        <v>2813</v>
      </c>
      <c r="I21" s="5" t="s">
        <v>2813</v>
      </c>
      <c r="J21" s="5" t="s">
        <v>2813</v>
      </c>
      <c r="K21" s="5" t="s">
        <v>2813</v>
      </c>
      <c r="L21" s="5" t="s">
        <v>2813</v>
      </c>
      <c r="M21" s="93">
        <v>1035</v>
      </c>
      <c r="N21" s="92">
        <v>66</v>
      </c>
      <c r="O21" s="96">
        <v>1021</v>
      </c>
      <c r="P21" s="96">
        <v>765</v>
      </c>
      <c r="Q21" s="95">
        <f>(1-P21/3198)*80+10</f>
        <v>70.863039399624768</v>
      </c>
      <c r="R21" s="96">
        <v>231</v>
      </c>
      <c r="S21" s="95">
        <f>(1-R21/3055)*80+10</f>
        <v>83.95090016366612</v>
      </c>
      <c r="T21" s="96">
        <v>490</v>
      </c>
      <c r="U21" s="95">
        <f>(1-T21/2965)*80+10</f>
        <v>76.77908937605396</v>
      </c>
      <c r="V21" s="96">
        <v>646</v>
      </c>
      <c r="W21" s="97">
        <f>(1-V20/3425)*80+10</f>
        <v>75.798540145985399</v>
      </c>
      <c r="X21" s="1"/>
      <c r="Y21" s="95">
        <f>(SUM(S21,U21,W21)-MIN(S21,U21,W21))/2</f>
        <v>80.364994769860033</v>
      </c>
    </row>
    <row r="22" spans="1:25" ht="15.75" customHeight="1">
      <c r="A22" s="1" t="s">
        <v>562</v>
      </c>
      <c r="B22" s="4" t="s">
        <v>561</v>
      </c>
      <c r="C22" s="5"/>
      <c r="D22" s="5"/>
      <c r="E22" s="5"/>
      <c r="F22" s="5"/>
      <c r="G22" s="98">
        <v>1655</v>
      </c>
      <c r="H22" s="93">
        <v>993</v>
      </c>
      <c r="I22" s="96">
        <v>1056</v>
      </c>
      <c r="J22" s="98">
        <v>1739</v>
      </c>
      <c r="K22" s="96">
        <v>1003</v>
      </c>
      <c r="L22" s="93">
        <v>700</v>
      </c>
      <c r="M22" s="5" t="s">
        <v>377</v>
      </c>
      <c r="N22" s="93">
        <v>638</v>
      </c>
      <c r="O22" s="96">
        <v>1066</v>
      </c>
      <c r="P22" s="96">
        <v>863</v>
      </c>
      <c r="Q22" s="95">
        <f>(1-P22/3198)*80+10</f>
        <v>68.411507191995</v>
      </c>
      <c r="R22" s="98">
        <v>1161</v>
      </c>
      <c r="S22" s="95">
        <f>(1-R22/3055)*80+5</f>
        <v>54.597381342062192</v>
      </c>
      <c r="T22" s="93">
        <v>119</v>
      </c>
      <c r="U22" s="95">
        <f>(1-T22/2965)*80+15</f>
        <v>91.789207419898815</v>
      </c>
      <c r="V22" s="96">
        <v>662</v>
      </c>
      <c r="W22" s="97">
        <f>(1-V21/3425)*80+10</f>
        <v>74.910948905109493</v>
      </c>
      <c r="X22" s="1"/>
      <c r="Y22" s="95">
        <f>(SUM(S22,U22,W22)-MIN(S22,U22,W22))/2</f>
        <v>83.350078162504161</v>
      </c>
    </row>
    <row r="23" spans="1:25" ht="15.75" customHeight="1">
      <c r="A23" s="10" t="s">
        <v>2817</v>
      </c>
      <c r="B23" s="10" t="s">
        <v>2817</v>
      </c>
      <c r="C23" s="5" t="s">
        <v>2813</v>
      </c>
      <c r="D23" s="5" t="s">
        <v>2813</v>
      </c>
      <c r="E23" s="5" t="s">
        <v>2813</v>
      </c>
      <c r="F23" s="5" t="s">
        <v>2813</v>
      </c>
      <c r="G23" s="5" t="s">
        <v>2813</v>
      </c>
      <c r="H23" s="5" t="s">
        <v>2813</v>
      </c>
      <c r="I23" s="5" t="s">
        <v>2813</v>
      </c>
      <c r="J23" s="5" t="s">
        <v>2813</v>
      </c>
      <c r="K23" s="5" t="s">
        <v>2813</v>
      </c>
      <c r="L23" s="5" t="s">
        <v>2813</v>
      </c>
      <c r="M23" s="5" t="s">
        <v>2813</v>
      </c>
      <c r="N23" s="5" t="s">
        <v>2813</v>
      </c>
      <c r="O23" s="5" t="s">
        <v>2813</v>
      </c>
      <c r="P23" s="96">
        <v>918</v>
      </c>
      <c r="Q23" s="95">
        <f>(1-P23/3198)*80+10</f>
        <v>67.035647279549721</v>
      </c>
      <c r="R23" s="98">
        <v>1108</v>
      </c>
      <c r="S23" s="95">
        <f>(1-R23/3055)*80+5</f>
        <v>55.985270049099839</v>
      </c>
      <c r="T23" s="96">
        <v>1060</v>
      </c>
      <c r="U23" s="95">
        <f>(1-T23/2965)*80+10</f>
        <v>61.399662731871842</v>
      </c>
      <c r="V23" s="96">
        <v>796</v>
      </c>
      <c r="W23" s="97">
        <f>(1-V22/3425)*80+10</f>
        <v>74.53722627737227</v>
      </c>
      <c r="X23" s="1"/>
      <c r="Y23" s="95">
        <f>(SUM(S23,U23,W23)-MIN(S23,U23,W23))/2</f>
        <v>67.968444504622056</v>
      </c>
    </row>
    <row r="24" spans="1:25" ht="15.75" customHeight="1">
      <c r="A24" s="1" t="s">
        <v>2818</v>
      </c>
      <c r="B24" s="4" t="s">
        <v>31</v>
      </c>
      <c r="C24" s="5" t="s">
        <v>2813</v>
      </c>
      <c r="D24" s="5" t="s">
        <v>2813</v>
      </c>
      <c r="E24" s="5" t="s">
        <v>2813</v>
      </c>
      <c r="F24" s="93">
        <v>395</v>
      </c>
      <c r="G24" s="93">
        <v>330</v>
      </c>
      <c r="H24" s="93">
        <v>681</v>
      </c>
      <c r="I24" s="93">
        <v>465</v>
      </c>
      <c r="J24" s="93">
        <v>160</v>
      </c>
      <c r="K24" s="96">
        <v>890</v>
      </c>
      <c r="L24" s="5" t="s">
        <v>377</v>
      </c>
      <c r="M24" s="93">
        <v>512</v>
      </c>
      <c r="N24" s="5" t="s">
        <v>377</v>
      </c>
      <c r="O24" s="94" t="s">
        <v>377</v>
      </c>
      <c r="P24" s="44" t="s">
        <v>377</v>
      </c>
      <c r="Q24" s="95">
        <v>0</v>
      </c>
      <c r="R24" s="98">
        <v>1210</v>
      </c>
      <c r="S24" s="95">
        <f>(1-R24/3055)*80+5</f>
        <v>53.314238952536819</v>
      </c>
      <c r="T24" s="93">
        <v>293</v>
      </c>
      <c r="U24" s="95">
        <f>(1-T24/2965)*80+15</f>
        <v>87.094435075885329</v>
      </c>
      <c r="V24" s="96">
        <v>805</v>
      </c>
      <c r="W24" s="97">
        <f>(1-V23/3425)*80+10</f>
        <v>71.407299270072997</v>
      </c>
      <c r="X24" s="1"/>
      <c r="Y24" s="95">
        <f>(SUM(S24,U24,W24)-MIN(S24,U24,W24))/2</f>
        <v>79.25086717297917</v>
      </c>
    </row>
    <row r="25" spans="1:25" ht="15.75" customHeight="1">
      <c r="A25" s="10" t="s">
        <v>394</v>
      </c>
      <c r="B25" s="10" t="s">
        <v>393</v>
      </c>
      <c r="C25" s="108">
        <v>1983</v>
      </c>
      <c r="D25" s="5" t="s">
        <v>2813</v>
      </c>
      <c r="E25" s="5" t="s">
        <v>2813</v>
      </c>
      <c r="F25" s="5" t="s">
        <v>2813</v>
      </c>
      <c r="G25" s="5" t="s">
        <v>2813</v>
      </c>
      <c r="H25" s="5" t="s">
        <v>2813</v>
      </c>
      <c r="I25" s="5" t="s">
        <v>2813</v>
      </c>
      <c r="J25" s="5" t="s">
        <v>2813</v>
      </c>
      <c r="K25" s="5" t="s">
        <v>2813</v>
      </c>
      <c r="L25" s="5" t="s">
        <v>2813</v>
      </c>
      <c r="M25" s="96">
        <v>1925</v>
      </c>
      <c r="N25" s="98">
        <v>1649</v>
      </c>
      <c r="O25" s="94" t="s">
        <v>377</v>
      </c>
      <c r="P25" s="98">
        <v>1338</v>
      </c>
      <c r="Q25" s="95">
        <f>(1-P25/3198)*80+5</f>
        <v>51.529080675422136</v>
      </c>
      <c r="R25" s="98">
        <v>948</v>
      </c>
      <c r="S25" s="95">
        <f>(1-R25/3055)*80+5</f>
        <v>60.175122749590827</v>
      </c>
      <c r="T25" s="98">
        <v>1173</v>
      </c>
      <c r="U25" s="95">
        <f>(1-T25/2965)*80+5</f>
        <v>53.350758853288355</v>
      </c>
      <c r="V25" s="96">
        <v>860</v>
      </c>
      <c r="W25" s="97">
        <f>(1-V24/3425)*80+10</f>
        <v>71.197080291970806</v>
      </c>
      <c r="X25" s="1"/>
      <c r="Y25" s="95">
        <f>(SUM(S25,U25,W25)-MIN(S25,U25,W25))/2</f>
        <v>65.686101520780824</v>
      </c>
    </row>
    <row r="26" spans="1:25" ht="15.75" customHeight="1">
      <c r="A26" s="33" t="s">
        <v>528</v>
      </c>
      <c r="B26" s="1" t="s">
        <v>2819</v>
      </c>
      <c r="C26" s="5" t="s">
        <v>2813</v>
      </c>
      <c r="D26" s="98">
        <v>1877</v>
      </c>
      <c r="E26" s="98">
        <v>1432</v>
      </c>
      <c r="F26" s="93">
        <v>772</v>
      </c>
      <c r="G26" s="98">
        <v>2032</v>
      </c>
      <c r="H26" s="5" t="s">
        <v>377</v>
      </c>
      <c r="I26" s="98">
        <v>1441</v>
      </c>
      <c r="J26" s="5" t="s">
        <v>377</v>
      </c>
      <c r="K26" s="98">
        <v>1319</v>
      </c>
      <c r="L26" s="5" t="s">
        <v>377</v>
      </c>
      <c r="M26" s="93">
        <v>1512</v>
      </c>
      <c r="N26" s="98">
        <v>1773</v>
      </c>
      <c r="O26" s="93">
        <v>307</v>
      </c>
      <c r="P26" s="93">
        <v>352</v>
      </c>
      <c r="Q26" s="95">
        <f>(1-P26/3198)*80+15</f>
        <v>86.194496560350217</v>
      </c>
      <c r="R26" s="96">
        <v>597</v>
      </c>
      <c r="S26" s="95">
        <f>(1-R26/3055)*80+10</f>
        <v>74.366612111292966</v>
      </c>
      <c r="T26" s="44" t="s">
        <v>377</v>
      </c>
      <c r="U26" s="95">
        <v>0</v>
      </c>
      <c r="V26" s="96">
        <v>883</v>
      </c>
      <c r="W26" s="97">
        <f>(1-V25/3425)*80+10</f>
        <v>69.912408759124091</v>
      </c>
      <c r="X26" s="1"/>
      <c r="Y26" s="95">
        <f>(SUM(S26,U26,W26)-MIN(S26,U26,W26))/2</f>
        <v>72.139510435208535</v>
      </c>
    </row>
    <row r="27" spans="1:25" ht="15.75" customHeight="1">
      <c r="A27" s="1" t="s">
        <v>500</v>
      </c>
      <c r="B27" s="1" t="s">
        <v>500</v>
      </c>
      <c r="C27" s="98">
        <v>1677</v>
      </c>
      <c r="D27" s="99">
        <v>935</v>
      </c>
      <c r="E27" s="98">
        <v>2368</v>
      </c>
      <c r="F27" s="93">
        <v>361</v>
      </c>
      <c r="G27" s="96">
        <v>567</v>
      </c>
      <c r="H27" s="92">
        <v>446</v>
      </c>
      <c r="I27" s="44" t="s">
        <v>377</v>
      </c>
      <c r="J27" s="98">
        <v>1722</v>
      </c>
      <c r="K27" s="96">
        <v>806</v>
      </c>
      <c r="L27" s="92">
        <v>189</v>
      </c>
      <c r="M27" s="96">
        <v>1568</v>
      </c>
      <c r="N27" s="93">
        <v>614</v>
      </c>
      <c r="O27" s="93">
        <v>193</v>
      </c>
      <c r="P27" s="96">
        <v>760</v>
      </c>
      <c r="Q27" s="95">
        <f>(1-P27/3198)*80+10</f>
        <v>70.988117573483436</v>
      </c>
      <c r="R27" s="98">
        <v>1068</v>
      </c>
      <c r="S27" s="95">
        <f>(1-R27/3055)*80+5</f>
        <v>57.032733224222589</v>
      </c>
      <c r="T27" s="96">
        <v>385</v>
      </c>
      <c r="U27" s="95">
        <f>(1-T27/2965)*80+10</f>
        <v>79.612141652613829</v>
      </c>
      <c r="V27" s="96">
        <v>888</v>
      </c>
      <c r="W27" s="97">
        <f>(1-V26/3425)*80+10</f>
        <v>69.375182481751821</v>
      </c>
      <c r="X27" s="1"/>
      <c r="Y27" s="95">
        <f>(SUM(S27,U27,W27)-MIN(S27,U27,W27))/2</f>
        <v>74.493662067182825</v>
      </c>
    </row>
    <row r="28" spans="1:25" ht="15.75" customHeight="1">
      <c r="A28" s="10" t="s">
        <v>653</v>
      </c>
      <c r="B28" s="10" t="s">
        <v>653</v>
      </c>
      <c r="C28" s="5" t="s">
        <v>2813</v>
      </c>
      <c r="D28" s="5" t="s">
        <v>2813</v>
      </c>
      <c r="E28" s="5" t="s">
        <v>2813</v>
      </c>
      <c r="F28" s="5" t="s">
        <v>2813</v>
      </c>
      <c r="G28" s="5" t="s">
        <v>2813</v>
      </c>
      <c r="H28" s="5" t="s">
        <v>2813</v>
      </c>
      <c r="I28" s="5" t="s">
        <v>2813</v>
      </c>
      <c r="J28" s="5" t="s">
        <v>2813</v>
      </c>
      <c r="K28" s="5" t="s">
        <v>2813</v>
      </c>
      <c r="L28" s="5" t="s">
        <v>2813</v>
      </c>
      <c r="M28" s="5" t="s">
        <v>2813</v>
      </c>
      <c r="N28" s="5" t="s">
        <v>2813</v>
      </c>
      <c r="O28" s="5" t="s">
        <v>2813</v>
      </c>
      <c r="P28" s="5" t="s">
        <v>2813</v>
      </c>
      <c r="Q28" s="95">
        <v>0</v>
      </c>
      <c r="R28" s="98">
        <v>1644</v>
      </c>
      <c r="S28" s="95">
        <f>(1-R28/3055)*80+5</f>
        <v>41.94926350245499</v>
      </c>
      <c r="T28" s="98">
        <v>1508</v>
      </c>
      <c r="U28" s="95">
        <f>(1-T28/2965)*80+5</f>
        <v>44.31197301854975</v>
      </c>
      <c r="V28" s="96">
        <v>904</v>
      </c>
      <c r="W28" s="97">
        <f>(1-V27/3425)*80+10</f>
        <v>69.258394160583947</v>
      </c>
      <c r="X28" s="1"/>
      <c r="Y28" s="95">
        <f>(SUM(S28,U28,W28)-MIN(S28,U28,W28))/2</f>
        <v>56.785183589566856</v>
      </c>
    </row>
    <row r="29" spans="1:25" ht="15.75" customHeight="1">
      <c r="A29" s="1" t="s">
        <v>791</v>
      </c>
      <c r="B29" s="1" t="s">
        <v>707</v>
      </c>
      <c r="C29" s="5" t="s">
        <v>2813</v>
      </c>
      <c r="D29" s="5" t="s">
        <v>2813</v>
      </c>
      <c r="E29" s="98">
        <v>1766</v>
      </c>
      <c r="F29" s="5" t="s">
        <v>377</v>
      </c>
      <c r="G29" s="96">
        <v>841</v>
      </c>
      <c r="H29" s="5" t="s">
        <v>377</v>
      </c>
      <c r="I29" s="96">
        <v>1243</v>
      </c>
      <c r="J29" s="93">
        <v>632</v>
      </c>
      <c r="K29" s="44" t="s">
        <v>377</v>
      </c>
      <c r="L29" s="93">
        <v>751</v>
      </c>
      <c r="M29" s="93">
        <v>1490</v>
      </c>
      <c r="N29" s="5" t="s">
        <v>377</v>
      </c>
      <c r="O29" s="93">
        <v>533</v>
      </c>
      <c r="P29" s="96">
        <v>802</v>
      </c>
      <c r="Q29" s="95">
        <f>(1-P29/3198)*80+10</f>
        <v>69.937460913070666</v>
      </c>
      <c r="R29" s="98">
        <v>1048</v>
      </c>
      <c r="S29" s="95">
        <f>(1-R29/3055)*80+5</f>
        <v>57.556464811783961</v>
      </c>
      <c r="T29" s="96">
        <v>689</v>
      </c>
      <c r="U29" s="95">
        <f>(1-T29/2965)*80+10</f>
        <v>71.409780775716698</v>
      </c>
      <c r="V29" s="96">
        <v>964</v>
      </c>
      <c r="W29" s="97">
        <f>(1-V28/3425)*80+10</f>
        <v>68.88467153284671</v>
      </c>
      <c r="X29" s="1"/>
      <c r="Y29" s="95">
        <f>(SUM(S29,U29,W29)-MIN(S29,U29,W29))/2</f>
        <v>70.147226154281697</v>
      </c>
    </row>
    <row r="30" spans="1:25" ht="15.75" customHeight="1">
      <c r="A30" s="1" t="s">
        <v>16</v>
      </c>
      <c r="B30" s="4" t="s">
        <v>15</v>
      </c>
      <c r="C30" s="5" t="s">
        <v>2813</v>
      </c>
      <c r="D30" s="5" t="s">
        <v>2813</v>
      </c>
      <c r="E30" s="5" t="s">
        <v>2813</v>
      </c>
      <c r="F30" s="5" t="s">
        <v>2813</v>
      </c>
      <c r="G30" s="5" t="s">
        <v>2813</v>
      </c>
      <c r="H30" s="5" t="s">
        <v>2813</v>
      </c>
      <c r="I30" s="5" t="s">
        <v>2813</v>
      </c>
      <c r="J30" s="5" t="s">
        <v>2813</v>
      </c>
      <c r="K30" s="5" t="s">
        <v>2813</v>
      </c>
      <c r="L30" s="5" t="s">
        <v>2813</v>
      </c>
      <c r="M30" s="5" t="s">
        <v>2813</v>
      </c>
      <c r="N30" s="96">
        <v>1283</v>
      </c>
      <c r="O30" s="96">
        <v>1122</v>
      </c>
      <c r="P30" s="96">
        <v>904</v>
      </c>
      <c r="Q30" s="95">
        <f>(1-P30/3198)*80+10</f>
        <v>67.385866166353964</v>
      </c>
      <c r="R30" s="98">
        <v>1021</v>
      </c>
      <c r="S30" s="95">
        <f>(1-R30/3055)*80+5</f>
        <v>58.263502454991816</v>
      </c>
      <c r="T30" s="96">
        <v>911</v>
      </c>
      <c r="U30" s="95">
        <f>(1-T30/2965)*80+10</f>
        <v>65.419898819561553</v>
      </c>
      <c r="V30" s="96">
        <v>1017</v>
      </c>
      <c r="W30" s="97">
        <f>(1-V29/3425)*80+10</f>
        <v>67.48321167883212</v>
      </c>
      <c r="X30" s="1"/>
      <c r="Y30" s="95">
        <f>(SUM(S30,U30,W30)-MIN(S30,U30,W30))/2</f>
        <v>66.451555249196829</v>
      </c>
    </row>
    <row r="31" spans="1:25" ht="15.75" customHeight="1">
      <c r="A31" s="1" t="s">
        <v>532</v>
      </c>
      <c r="B31" s="4" t="s">
        <v>531</v>
      </c>
      <c r="C31" s="5" t="s">
        <v>377</v>
      </c>
      <c r="D31" s="99">
        <v>791</v>
      </c>
      <c r="E31" s="98">
        <v>2015</v>
      </c>
      <c r="F31" s="96">
        <v>1468</v>
      </c>
      <c r="G31" s="96">
        <v>1167</v>
      </c>
      <c r="H31" s="93">
        <v>954</v>
      </c>
      <c r="I31" s="98">
        <v>1413</v>
      </c>
      <c r="J31" s="5" t="s">
        <v>377</v>
      </c>
      <c r="K31" s="98">
        <v>1693</v>
      </c>
      <c r="L31" s="5" t="s">
        <v>377</v>
      </c>
      <c r="M31" s="93">
        <v>361</v>
      </c>
      <c r="N31" s="5" t="s">
        <v>377</v>
      </c>
      <c r="O31" s="93">
        <v>570</v>
      </c>
      <c r="P31" s="96">
        <v>970</v>
      </c>
      <c r="Q31" s="95">
        <f>(1-P31/3198)*80+10</f>
        <v>65.734834271419643</v>
      </c>
      <c r="R31" s="98">
        <v>1433</v>
      </c>
      <c r="S31" s="95">
        <f>(1-R31/3055)*80+5</f>
        <v>47.474631751227498</v>
      </c>
      <c r="T31" s="107" t="s">
        <v>377</v>
      </c>
      <c r="U31" s="95">
        <v>0</v>
      </c>
      <c r="V31" s="96">
        <v>1063</v>
      </c>
      <c r="W31" s="97">
        <f>(1-V30/3425)*80+10</f>
        <v>66.245255474452563</v>
      </c>
      <c r="X31" s="1"/>
      <c r="Y31" s="95">
        <f>(SUM(S31,U31,W31)-MIN(S31,U31,W31))/2</f>
        <v>56.859943612840027</v>
      </c>
    </row>
    <row r="32" spans="1:25" ht="15.75" customHeight="1">
      <c r="A32" s="10" t="s">
        <v>504</v>
      </c>
      <c r="B32" s="10" t="s">
        <v>25</v>
      </c>
      <c r="C32" s="5" t="s">
        <v>2813</v>
      </c>
      <c r="D32" s="5" t="s">
        <v>2813</v>
      </c>
      <c r="E32" s="5" t="s">
        <v>2813</v>
      </c>
      <c r="F32" s="5" t="s">
        <v>2813</v>
      </c>
      <c r="G32" s="5" t="s">
        <v>2813</v>
      </c>
      <c r="H32" s="5" t="s">
        <v>2813</v>
      </c>
      <c r="I32" s="5" t="s">
        <v>2813</v>
      </c>
      <c r="J32" s="5" t="s">
        <v>2813</v>
      </c>
      <c r="K32" s="5" t="s">
        <v>2813</v>
      </c>
      <c r="L32" s="5" t="s">
        <v>2813</v>
      </c>
      <c r="M32" s="5" t="s">
        <v>2813</v>
      </c>
      <c r="N32" s="5" t="s">
        <v>2813</v>
      </c>
      <c r="O32" s="5" t="s">
        <v>2813</v>
      </c>
      <c r="P32" s="5" t="s">
        <v>2813</v>
      </c>
      <c r="Q32" s="95">
        <v>0</v>
      </c>
      <c r="R32" s="5" t="s">
        <v>2813</v>
      </c>
      <c r="S32" s="95">
        <v>0</v>
      </c>
      <c r="T32" s="98">
        <v>1475</v>
      </c>
      <c r="U32" s="95">
        <f>(1-T32/2965)*80+5</f>
        <v>45.202360876897139</v>
      </c>
      <c r="V32" s="96">
        <v>1131</v>
      </c>
      <c r="W32" s="97">
        <f>(1-V31/3425)*80+10</f>
        <v>65.170802919708024</v>
      </c>
      <c r="X32" s="1"/>
      <c r="Y32" s="95">
        <f>(SUM(S32,U32,W32)-MIN(S32,U32,W32))/2</f>
        <v>55.186581898302578</v>
      </c>
    </row>
    <row r="33" spans="1:26" ht="15.75" customHeight="1">
      <c r="A33" s="1" t="s">
        <v>1021</v>
      </c>
      <c r="B33" s="4" t="s">
        <v>641</v>
      </c>
      <c r="C33" s="5" t="s">
        <v>2813</v>
      </c>
      <c r="D33" s="5" t="s">
        <v>2813</v>
      </c>
      <c r="E33" s="5" t="s">
        <v>2813</v>
      </c>
      <c r="F33" s="5" t="s">
        <v>2813</v>
      </c>
      <c r="G33" s="5" t="s">
        <v>2813</v>
      </c>
      <c r="H33" s="5" t="s">
        <v>2813</v>
      </c>
      <c r="I33" s="5" t="s">
        <v>2813</v>
      </c>
      <c r="J33" s="5" t="s">
        <v>377</v>
      </c>
      <c r="K33" s="44" t="s">
        <v>377</v>
      </c>
      <c r="L33" s="96">
        <v>1068</v>
      </c>
      <c r="M33" s="93">
        <v>1071</v>
      </c>
      <c r="N33" s="96">
        <v>1346</v>
      </c>
      <c r="O33" s="96">
        <v>1114</v>
      </c>
      <c r="P33" s="96">
        <v>730</v>
      </c>
      <c r="Q33" s="95">
        <f>(1-P33/3198)*80+10</f>
        <v>71.738586616635402</v>
      </c>
      <c r="R33" s="96">
        <v>466</v>
      </c>
      <c r="S33" s="95">
        <f>(1-R33/3055)*80+10</f>
        <v>77.797054009819973</v>
      </c>
      <c r="T33" s="96">
        <v>726</v>
      </c>
      <c r="U33" s="95">
        <f>(1-T33/2965)*80+10</f>
        <v>70.4114671163575</v>
      </c>
      <c r="V33" s="96">
        <v>1149</v>
      </c>
      <c r="W33" s="97">
        <f>(1-V32/3425)*80+10</f>
        <v>63.582481751824815</v>
      </c>
      <c r="X33" s="1"/>
      <c r="Y33" s="95">
        <f>(SUM(S33,U33,W33)-MIN(S33,U33,W33))/2</f>
        <v>74.104260563088729</v>
      </c>
    </row>
    <row r="34" spans="1:26" ht="15.75" customHeight="1">
      <c r="A34" s="10" t="s">
        <v>466</v>
      </c>
      <c r="B34" s="10" t="s">
        <v>511</v>
      </c>
      <c r="C34" s="5" t="s">
        <v>2813</v>
      </c>
      <c r="D34" s="5" t="s">
        <v>2813</v>
      </c>
      <c r="E34" s="5" t="s">
        <v>2813</v>
      </c>
      <c r="F34" s="5" t="s">
        <v>2813</v>
      </c>
      <c r="G34" s="5" t="s">
        <v>2813</v>
      </c>
      <c r="H34" s="5" t="s">
        <v>2813</v>
      </c>
      <c r="I34" s="5" t="s">
        <v>2813</v>
      </c>
      <c r="J34" s="5" t="s">
        <v>2813</v>
      </c>
      <c r="K34" s="5" t="s">
        <v>2813</v>
      </c>
      <c r="L34" s="5" t="s">
        <v>2813</v>
      </c>
      <c r="M34" s="5" t="s">
        <v>2813</v>
      </c>
      <c r="N34" s="93">
        <v>558</v>
      </c>
      <c r="O34" s="98">
        <v>1571</v>
      </c>
      <c r="P34" s="98">
        <v>1405</v>
      </c>
      <c r="Q34" s="95">
        <f>(1-P34/3198)*80+5</f>
        <v>49.853033145716083</v>
      </c>
      <c r="R34" s="96">
        <v>844</v>
      </c>
      <c r="S34" s="95">
        <f>(1-R34/3055)*80+10</f>
        <v>67.89852700490998</v>
      </c>
      <c r="T34" s="96">
        <v>838</v>
      </c>
      <c r="U34" s="95">
        <f>(1-T34/2965)*80+10</f>
        <v>67.389544688026973</v>
      </c>
      <c r="V34" s="96">
        <v>1150</v>
      </c>
      <c r="W34" s="97">
        <f>(1-V33/3425)*80+10</f>
        <v>63.162043795620441</v>
      </c>
      <c r="X34" s="1"/>
      <c r="Y34" s="95">
        <f>(SUM(S34,U34,W34)-MIN(S34,U34,W34))/2</f>
        <v>67.644035846468483</v>
      </c>
    </row>
    <row r="35" spans="1:26" ht="15.75" customHeight="1">
      <c r="A35" s="10" t="s">
        <v>553</v>
      </c>
      <c r="B35" s="4" t="s">
        <v>552</v>
      </c>
      <c r="C35" s="5" t="s">
        <v>2813</v>
      </c>
      <c r="D35" s="5" t="s">
        <v>2813</v>
      </c>
      <c r="E35" s="5" t="s">
        <v>2813</v>
      </c>
      <c r="F35" s="5" t="s">
        <v>2813</v>
      </c>
      <c r="G35" s="5" t="s">
        <v>2813</v>
      </c>
      <c r="H35" s="5" t="s">
        <v>2813</v>
      </c>
      <c r="I35" s="5" t="s">
        <v>2813</v>
      </c>
      <c r="J35" s="5" t="s">
        <v>2813</v>
      </c>
      <c r="K35" s="5" t="s">
        <v>2813</v>
      </c>
      <c r="L35" s="5" t="s">
        <v>2813</v>
      </c>
      <c r="M35" s="5" t="s">
        <v>2813</v>
      </c>
      <c r="N35" s="5" t="s">
        <v>2813</v>
      </c>
      <c r="O35" s="5" t="s">
        <v>2813</v>
      </c>
      <c r="P35" s="5" t="s">
        <v>2813</v>
      </c>
      <c r="Q35" s="95">
        <v>0</v>
      </c>
      <c r="R35" s="98">
        <v>1728</v>
      </c>
      <c r="S35" s="95">
        <f>(1-R35/3055)*80+5</f>
        <v>39.749590834697216</v>
      </c>
      <c r="T35" s="96">
        <v>1049</v>
      </c>
      <c r="U35" s="95">
        <f>(1-T35/2965)*80+10</f>
        <v>61.696458684654303</v>
      </c>
      <c r="V35" s="96">
        <v>1168</v>
      </c>
      <c r="W35" s="97">
        <f>(1-V34/3425)*80+10</f>
        <v>63.138686131386862</v>
      </c>
      <c r="X35" s="1"/>
      <c r="Y35" s="95">
        <f>(SUM(S35,U35,W35)-MIN(S35,U35,W35))/2</f>
        <v>62.417572408020575</v>
      </c>
    </row>
    <row r="36" spans="1:26" ht="15.75" customHeight="1">
      <c r="A36" s="1" t="s">
        <v>2603</v>
      </c>
      <c r="B36" s="4" t="s">
        <v>2602</v>
      </c>
      <c r="C36" s="93">
        <v>321</v>
      </c>
      <c r="D36" s="98">
        <v>2185</v>
      </c>
      <c r="E36" s="5" t="s">
        <v>377</v>
      </c>
      <c r="F36" s="5" t="s">
        <v>377</v>
      </c>
      <c r="G36" s="93">
        <v>163</v>
      </c>
      <c r="H36" s="96">
        <v>1433</v>
      </c>
      <c r="I36" s="96">
        <v>807</v>
      </c>
      <c r="J36" s="96">
        <v>1631</v>
      </c>
      <c r="K36" s="98">
        <v>1115</v>
      </c>
      <c r="L36" s="93">
        <v>762</v>
      </c>
      <c r="M36" s="93">
        <v>820</v>
      </c>
      <c r="N36" s="96">
        <v>935</v>
      </c>
      <c r="O36" s="98">
        <v>1480</v>
      </c>
      <c r="P36" s="96">
        <v>566</v>
      </c>
      <c r="Q36" s="95">
        <f>(1-P36/3198)*80+10</f>
        <v>75.841150719199504</v>
      </c>
      <c r="R36" s="96">
        <v>753</v>
      </c>
      <c r="S36" s="95">
        <f>(1-R36/3055)*80+10</f>
        <v>70.281505728314244</v>
      </c>
      <c r="T36" s="96">
        <v>419</v>
      </c>
      <c r="U36" s="95">
        <f>(1-T36/2965)*80+10</f>
        <v>78.694772344013487</v>
      </c>
      <c r="V36" s="96">
        <v>1177</v>
      </c>
      <c r="W36" s="97">
        <f>(1-V35/3425)*80+10</f>
        <v>62.718248175182481</v>
      </c>
      <c r="X36" s="1"/>
      <c r="Y36" s="95">
        <f>(SUM(S36,U36,W36)-MIN(S36,U36,W36))/2</f>
        <v>74.488139036163858</v>
      </c>
    </row>
    <row r="37" spans="1:26" ht="15.75" customHeight="1">
      <c r="A37" s="1" t="s">
        <v>425</v>
      </c>
      <c r="B37" s="4" t="s">
        <v>424</v>
      </c>
      <c r="C37" s="5" t="s">
        <v>2813</v>
      </c>
      <c r="D37" s="5" t="s">
        <v>377</v>
      </c>
      <c r="E37" s="5" t="s">
        <v>377</v>
      </c>
      <c r="F37" s="98">
        <v>1936</v>
      </c>
      <c r="G37" s="44" t="s">
        <v>377</v>
      </c>
      <c r="H37" s="96">
        <v>1498</v>
      </c>
      <c r="I37" s="5" t="s">
        <v>2813</v>
      </c>
      <c r="J37" s="5" t="s">
        <v>2813</v>
      </c>
      <c r="K37" s="5" t="s">
        <v>2813</v>
      </c>
      <c r="L37" s="5" t="s">
        <v>2813</v>
      </c>
      <c r="M37" s="5" t="s">
        <v>2813</v>
      </c>
      <c r="N37" s="5" t="s">
        <v>2813</v>
      </c>
      <c r="O37" s="5" t="s">
        <v>2813</v>
      </c>
      <c r="P37" s="94" t="s">
        <v>377</v>
      </c>
      <c r="Q37" s="95">
        <v>0</v>
      </c>
      <c r="R37" s="98">
        <v>1352</v>
      </c>
      <c r="S37" s="95">
        <f>(1-R37/3055)*80+5</f>
        <v>49.59574468085107</v>
      </c>
      <c r="T37" s="44" t="s">
        <v>377</v>
      </c>
      <c r="U37" s="95">
        <v>0</v>
      </c>
      <c r="V37" s="96">
        <v>1242</v>
      </c>
      <c r="W37" s="97">
        <f>(1-V36/3425)*80+10</f>
        <v>62.50802919708029</v>
      </c>
      <c r="X37" s="1"/>
      <c r="Y37" s="95">
        <f>(SUM(S37,U37,W37)-MIN(S37,U37,W37))/2</f>
        <v>56.05188693896568</v>
      </c>
    </row>
    <row r="38" spans="1:26" ht="15.75" customHeight="1">
      <c r="A38" s="1" t="s">
        <v>1290</v>
      </c>
      <c r="B38" s="1" t="s">
        <v>1289</v>
      </c>
      <c r="C38" s="5" t="s">
        <v>2813</v>
      </c>
      <c r="D38" s="5" t="s">
        <v>2813</v>
      </c>
      <c r="E38" s="98">
        <v>1882</v>
      </c>
      <c r="F38" s="96">
        <v>1338</v>
      </c>
      <c r="G38" s="98">
        <v>1318</v>
      </c>
      <c r="H38" s="93">
        <v>791</v>
      </c>
      <c r="I38" s="98">
        <v>1424</v>
      </c>
      <c r="J38" s="93">
        <v>416</v>
      </c>
      <c r="K38" s="98">
        <v>1098</v>
      </c>
      <c r="L38" s="96">
        <v>1351</v>
      </c>
      <c r="M38" s="93">
        <v>1384</v>
      </c>
      <c r="N38" s="96">
        <v>1079</v>
      </c>
      <c r="O38" s="98">
        <v>1535</v>
      </c>
      <c r="P38" s="44" t="s">
        <v>377</v>
      </c>
      <c r="Q38" s="95">
        <v>0</v>
      </c>
      <c r="R38" s="98">
        <v>1571</v>
      </c>
      <c r="S38" s="95">
        <f>(1-R38/3055)*80+5</f>
        <v>43.860883797054015</v>
      </c>
      <c r="T38" s="98">
        <v>1232</v>
      </c>
      <c r="U38" s="95">
        <f>(1-T38/2965)*80+5</f>
        <v>51.75885328836425</v>
      </c>
      <c r="V38" s="96">
        <v>1260</v>
      </c>
      <c r="W38" s="97">
        <f>(1-V37/3425)*80+10</f>
        <v>60.989781021897812</v>
      </c>
      <c r="X38" s="1"/>
      <c r="Y38" s="95">
        <f>(SUM(S38,U38,W38)-MIN(S38,U38,W38))/2</f>
        <v>56.374317155131038</v>
      </c>
    </row>
    <row r="39" spans="1:26" ht="15.75" customHeight="1">
      <c r="A39" s="1" t="s">
        <v>1121</v>
      </c>
      <c r="B39" s="4" t="s">
        <v>568</v>
      </c>
      <c r="C39" s="5" t="s">
        <v>2813</v>
      </c>
      <c r="D39" s="5" t="s">
        <v>2813</v>
      </c>
      <c r="E39" s="5" t="s">
        <v>2813</v>
      </c>
      <c r="F39" s="5" t="s">
        <v>2813</v>
      </c>
      <c r="G39" s="96">
        <v>686</v>
      </c>
      <c r="H39" s="96">
        <v>1170</v>
      </c>
      <c r="I39" s="109">
        <v>2616</v>
      </c>
      <c r="J39" s="96">
        <v>1518</v>
      </c>
      <c r="K39" s="44" t="s">
        <v>377</v>
      </c>
      <c r="L39" s="96">
        <v>1706</v>
      </c>
      <c r="M39" s="93">
        <v>1277</v>
      </c>
      <c r="N39" s="98">
        <v>1635</v>
      </c>
      <c r="O39" s="98">
        <v>1425</v>
      </c>
      <c r="P39" s="98">
        <v>1383</v>
      </c>
      <c r="Q39" s="95">
        <f>(1-P39/3198)*80+5</f>
        <v>50.403377110694187</v>
      </c>
      <c r="R39" s="98">
        <v>1718</v>
      </c>
      <c r="S39" s="95">
        <f>(1-R39/3055)*80+5</f>
        <v>40.011456628477902</v>
      </c>
      <c r="T39" s="96">
        <v>332</v>
      </c>
      <c r="U39" s="95">
        <f>(1-T39/2965)*80+10</f>
        <v>81.042158516020237</v>
      </c>
      <c r="V39" s="96">
        <v>1418</v>
      </c>
      <c r="W39" s="97">
        <f>(1-V38/3425)*80+10</f>
        <v>60.569343065693431</v>
      </c>
      <c r="X39" s="1"/>
      <c r="Y39" s="95">
        <f>(SUM(S39,U39,W39)-MIN(S39,U39,W39))/2</f>
        <v>70.805750790856834</v>
      </c>
    </row>
    <row r="40" spans="1:26" ht="15.75" customHeight="1">
      <c r="A40" s="1" t="s">
        <v>514</v>
      </c>
      <c r="B40" s="1" t="s">
        <v>514</v>
      </c>
      <c r="C40" s="109">
        <v>2611</v>
      </c>
      <c r="D40" s="98">
        <v>2357</v>
      </c>
      <c r="E40" s="98">
        <v>1139</v>
      </c>
      <c r="F40" s="93">
        <v>896</v>
      </c>
      <c r="G40" s="98">
        <v>1437</v>
      </c>
      <c r="H40" s="5" t="s">
        <v>377</v>
      </c>
      <c r="I40" s="44" t="s">
        <v>377</v>
      </c>
      <c r="J40" s="98">
        <v>1826</v>
      </c>
      <c r="K40" s="98">
        <v>1647</v>
      </c>
      <c r="L40" s="5" t="s">
        <v>377</v>
      </c>
      <c r="M40" s="98">
        <v>2155</v>
      </c>
      <c r="N40" s="5" t="s">
        <v>377</v>
      </c>
      <c r="O40" s="98">
        <v>1786</v>
      </c>
      <c r="P40" s="98">
        <v>1292</v>
      </c>
      <c r="Q40" s="95">
        <f>(1-P40/3198)*80+5</f>
        <v>52.679799874921827</v>
      </c>
      <c r="R40" s="107" t="s">
        <v>377</v>
      </c>
      <c r="S40" s="95">
        <v>0</v>
      </c>
      <c r="T40" s="98">
        <v>1518</v>
      </c>
      <c r="U40" s="95">
        <f>(1-T40/2965)*80+5</f>
        <v>44.042158516020237</v>
      </c>
      <c r="V40" s="96">
        <v>1453</v>
      </c>
      <c r="W40" s="97">
        <f>(1-V39/3425)*80+10</f>
        <v>56.878832116788317</v>
      </c>
      <c r="X40" s="1"/>
      <c r="Y40" s="95">
        <f>(SUM(S40,U40,W40)-MIN(S40,U40,W40))/2</f>
        <v>50.460495316404277</v>
      </c>
    </row>
    <row r="41" spans="1:26" ht="15.75" customHeight="1">
      <c r="A41" s="1" t="s">
        <v>1170</v>
      </c>
      <c r="B41" s="4" t="s">
        <v>1169</v>
      </c>
      <c r="C41" s="99">
        <v>929</v>
      </c>
      <c r="D41" s="99">
        <v>665</v>
      </c>
      <c r="E41" s="96">
        <v>344</v>
      </c>
      <c r="F41" s="93">
        <v>840</v>
      </c>
      <c r="G41" s="96">
        <v>1016</v>
      </c>
      <c r="H41" s="96">
        <v>1903</v>
      </c>
      <c r="I41" s="98">
        <v>1445</v>
      </c>
      <c r="J41" s="98">
        <v>2512</v>
      </c>
      <c r="K41" s="98">
        <v>1615</v>
      </c>
      <c r="L41" s="96">
        <v>929</v>
      </c>
      <c r="M41" s="96">
        <v>1826</v>
      </c>
      <c r="N41" s="96">
        <v>796</v>
      </c>
      <c r="O41" s="96">
        <v>1003</v>
      </c>
      <c r="P41" s="96">
        <v>1121</v>
      </c>
      <c r="Q41" s="95">
        <f>(1-P41/3198)*80+10</f>
        <v>61.957473420888064</v>
      </c>
      <c r="R41" s="98">
        <v>1083</v>
      </c>
      <c r="S41" s="95">
        <f>(1-R41/3055)*80+5</f>
        <v>56.639934533551553</v>
      </c>
      <c r="T41" s="96">
        <v>339</v>
      </c>
      <c r="U41" s="95">
        <f>(1-T41/2965)*80+10</f>
        <v>80.853288364249579</v>
      </c>
      <c r="V41" s="96">
        <v>1486</v>
      </c>
      <c r="W41" s="97">
        <f>(1-V40/3425)*80+10</f>
        <v>56.061313868613141</v>
      </c>
      <c r="X41" s="1"/>
      <c r="Y41" s="95">
        <f>(SUM(S41,U41,W41)-MIN(S41,U41,W41))/2</f>
        <v>68.74661144890058</v>
      </c>
    </row>
    <row r="42" spans="1:26" ht="15.75" customHeight="1">
      <c r="A42" s="1" t="s">
        <v>464</v>
      </c>
      <c r="B42" s="4" t="s">
        <v>543</v>
      </c>
      <c r="C42" s="5" t="s">
        <v>2813</v>
      </c>
      <c r="D42" s="5" t="s">
        <v>2813</v>
      </c>
      <c r="E42" s="5" t="s">
        <v>2813</v>
      </c>
      <c r="F42" s="96">
        <v>1128</v>
      </c>
      <c r="G42" s="98">
        <v>1714</v>
      </c>
      <c r="H42" s="96">
        <v>1201</v>
      </c>
      <c r="I42" s="98">
        <v>1695</v>
      </c>
      <c r="J42" s="96">
        <v>1415</v>
      </c>
      <c r="K42" s="98">
        <v>1196</v>
      </c>
      <c r="L42" s="96">
        <v>1120</v>
      </c>
      <c r="M42" s="93">
        <v>871</v>
      </c>
      <c r="N42" s="5" t="s">
        <v>377</v>
      </c>
      <c r="O42" s="94" t="s">
        <v>377</v>
      </c>
      <c r="P42" s="44" t="s">
        <v>377</v>
      </c>
      <c r="Q42" s="95">
        <v>0</v>
      </c>
      <c r="R42" s="98">
        <v>1049</v>
      </c>
      <c r="S42" s="95">
        <f>(1-R42/3055)*80+5</f>
        <v>57.530278232405898</v>
      </c>
      <c r="T42" s="98">
        <v>1458</v>
      </c>
      <c r="U42" s="95">
        <f>(1-T42/2965)*80+5</f>
        <v>45.661045531197303</v>
      </c>
      <c r="V42" s="98">
        <v>1549</v>
      </c>
      <c r="W42" s="97">
        <f>(1-V41/3425)*80+5</f>
        <v>50.290510948905109</v>
      </c>
      <c r="X42" s="1"/>
      <c r="Y42" s="95">
        <f>(SUM(S42,U42,W42)-MIN(S42,U42,W42))/2</f>
        <v>53.910394590655507</v>
      </c>
    </row>
    <row r="43" spans="1:26" ht="15.75" customHeight="1">
      <c r="A43" s="52" t="s">
        <v>387</v>
      </c>
      <c r="B43" s="42" t="s">
        <v>2820</v>
      </c>
      <c r="C43" s="101">
        <v>1596</v>
      </c>
      <c r="D43" s="43" t="s">
        <v>2813</v>
      </c>
      <c r="E43" s="43" t="s">
        <v>2813</v>
      </c>
      <c r="F43" s="43" t="s">
        <v>2813</v>
      </c>
      <c r="G43" s="43" t="s">
        <v>2813</v>
      </c>
      <c r="H43" s="43" t="s">
        <v>2813</v>
      </c>
      <c r="I43" s="43" t="s">
        <v>2813</v>
      </c>
      <c r="J43" s="43" t="s">
        <v>2813</v>
      </c>
      <c r="K43" s="43" t="s">
        <v>2813</v>
      </c>
      <c r="L43" s="43" t="s">
        <v>2813</v>
      </c>
      <c r="M43" s="43" t="s">
        <v>2813</v>
      </c>
      <c r="N43" s="43" t="s">
        <v>2813</v>
      </c>
      <c r="O43" s="43" t="s">
        <v>2813</v>
      </c>
      <c r="P43" s="43" t="s">
        <v>2813</v>
      </c>
      <c r="Q43" s="104">
        <v>0</v>
      </c>
      <c r="R43" s="43" t="s">
        <v>2813</v>
      </c>
      <c r="S43" s="104">
        <v>0</v>
      </c>
      <c r="T43" s="101">
        <v>1976</v>
      </c>
      <c r="U43" s="104">
        <f>(1-T43/2965)*80+5</f>
        <v>31.684654300168631</v>
      </c>
      <c r="V43" s="101">
        <v>1576</v>
      </c>
      <c r="W43" s="106">
        <f>(1-V42/3425)*80+5</f>
        <v>48.818978102189789</v>
      </c>
      <c r="X43" s="37"/>
      <c r="Y43" s="104">
        <f>(SUM(S43,U43,W43)-MIN(S43,U43,W43))/2</f>
        <v>40.25181620117921</v>
      </c>
      <c r="Z43" s="37"/>
    </row>
    <row r="44" spans="1:26" ht="15.75" customHeight="1">
      <c r="A44" s="1" t="s">
        <v>478</v>
      </c>
      <c r="B44" s="1" t="s">
        <v>477</v>
      </c>
      <c r="C44" s="5" t="s">
        <v>2813</v>
      </c>
      <c r="D44" s="99">
        <v>2641</v>
      </c>
      <c r="E44" s="98">
        <v>866</v>
      </c>
      <c r="F44" s="93">
        <v>242</v>
      </c>
      <c r="G44" s="98">
        <v>1584</v>
      </c>
      <c r="H44" s="98">
        <v>2238</v>
      </c>
      <c r="I44" s="96">
        <v>784</v>
      </c>
      <c r="J44" s="5" t="s">
        <v>377</v>
      </c>
      <c r="K44" s="98">
        <v>1662</v>
      </c>
      <c r="L44" s="5" t="s">
        <v>377</v>
      </c>
      <c r="M44" s="93">
        <v>1080</v>
      </c>
      <c r="N44" s="98">
        <v>1667</v>
      </c>
      <c r="O44" s="98">
        <v>1655</v>
      </c>
      <c r="P44" s="44" t="s">
        <v>377</v>
      </c>
      <c r="Q44" s="95">
        <v>0</v>
      </c>
      <c r="R44" s="109">
        <v>2360</v>
      </c>
      <c r="S44" s="95">
        <v>0</v>
      </c>
      <c r="T44" s="98">
        <v>1825</v>
      </c>
      <c r="U44" s="95">
        <f>(1-T44/2965)*80+5</f>
        <v>35.75885328836425</v>
      </c>
      <c r="V44" s="98">
        <v>1594</v>
      </c>
      <c r="W44" s="97">
        <f>(1-V43/3425)*80+5</f>
        <v>48.188321167883217</v>
      </c>
      <c r="X44" s="1"/>
      <c r="Y44" s="95">
        <f>(SUM(S44,U44,W44)-MIN(S44,U44,W44))/2</f>
        <v>41.973587228123733</v>
      </c>
    </row>
    <row r="45" spans="1:26" ht="15.75" customHeight="1">
      <c r="A45" s="1" t="s">
        <v>627</v>
      </c>
      <c r="B45" s="4" t="s">
        <v>565</v>
      </c>
      <c r="C45" s="5" t="s">
        <v>2813</v>
      </c>
      <c r="D45" s="5" t="s">
        <v>377</v>
      </c>
      <c r="E45" s="96">
        <v>562</v>
      </c>
      <c r="F45" s="93">
        <v>727</v>
      </c>
      <c r="G45" s="98">
        <v>1389</v>
      </c>
      <c r="H45" s="96">
        <v>1594</v>
      </c>
      <c r="I45" s="98">
        <v>2291</v>
      </c>
      <c r="J45" s="98">
        <v>2433</v>
      </c>
      <c r="K45" s="98">
        <v>1087</v>
      </c>
      <c r="L45" s="96">
        <v>1488</v>
      </c>
      <c r="M45" s="93">
        <v>1347</v>
      </c>
      <c r="N45" s="93">
        <v>648</v>
      </c>
      <c r="O45" s="96">
        <v>860</v>
      </c>
      <c r="P45" s="96">
        <v>878</v>
      </c>
      <c r="Q45" s="95">
        <f>(1-P45/3198)*80+10</f>
        <v>68.03627267041901</v>
      </c>
      <c r="R45" s="107" t="s">
        <v>377</v>
      </c>
      <c r="S45" s="95">
        <v>0</v>
      </c>
      <c r="T45" s="107" t="s">
        <v>377</v>
      </c>
      <c r="U45" s="95">
        <v>0</v>
      </c>
      <c r="V45" s="98">
        <v>1596</v>
      </c>
      <c r="W45" s="97">
        <f>(1-V44/3425)*80+5</f>
        <v>47.767883211678836</v>
      </c>
      <c r="X45" s="1"/>
      <c r="Y45" s="95">
        <f>(SUM(S45,U45,W45)-MIN(S45,U45,W45))/2</f>
        <v>23.883941605839418</v>
      </c>
    </row>
    <row r="46" spans="1:26" ht="15.75" customHeight="1">
      <c r="A46" s="1" t="s">
        <v>920</v>
      </c>
      <c r="B46" s="1" t="s">
        <v>2821</v>
      </c>
      <c r="C46" s="5" t="s">
        <v>2813</v>
      </c>
      <c r="D46" s="5" t="s">
        <v>2813</v>
      </c>
      <c r="E46" s="96">
        <v>638</v>
      </c>
      <c r="F46" s="96">
        <v>1238</v>
      </c>
      <c r="G46" s="93">
        <v>213</v>
      </c>
      <c r="H46" s="93">
        <v>771</v>
      </c>
      <c r="I46" s="93">
        <v>433</v>
      </c>
      <c r="J46" s="93">
        <v>1035</v>
      </c>
      <c r="K46" s="96">
        <v>701</v>
      </c>
      <c r="L46" s="96">
        <v>1128</v>
      </c>
      <c r="M46" s="92">
        <v>61</v>
      </c>
      <c r="N46" s="96">
        <v>1029</v>
      </c>
      <c r="O46" s="98">
        <v>1651</v>
      </c>
      <c r="P46" s="44" t="s">
        <v>377</v>
      </c>
      <c r="Q46" s="95">
        <v>0</v>
      </c>
      <c r="R46" s="98">
        <v>954</v>
      </c>
      <c r="S46" s="95">
        <f>(1-R46/3055)*80+5</f>
        <v>60.018003273322421</v>
      </c>
      <c r="T46" s="44" t="s">
        <v>377</v>
      </c>
      <c r="U46" s="95">
        <v>0</v>
      </c>
      <c r="V46" s="98">
        <v>1615</v>
      </c>
      <c r="W46" s="97">
        <f>(1-V45/3425)*80+5</f>
        <v>47.721167883211677</v>
      </c>
      <c r="X46" s="1"/>
      <c r="Y46" s="95">
        <f>(SUM(S46,U46,W46)-MIN(S46,U46,W46))/2</f>
        <v>53.869585578267049</v>
      </c>
    </row>
    <row r="47" spans="1:26" ht="15.75" customHeight="1">
      <c r="A47" s="1" t="s">
        <v>848</v>
      </c>
      <c r="B47" s="4" t="s">
        <v>847</v>
      </c>
      <c r="C47" s="5" t="s">
        <v>2813</v>
      </c>
      <c r="D47" s="5" t="s">
        <v>2813</v>
      </c>
      <c r="E47" s="5" t="s">
        <v>2813</v>
      </c>
      <c r="F47" s="5" t="s">
        <v>2813</v>
      </c>
      <c r="G47" s="5" t="s">
        <v>2813</v>
      </c>
      <c r="H47" s="5" t="s">
        <v>2813</v>
      </c>
      <c r="I47" s="5" t="s">
        <v>2813</v>
      </c>
      <c r="J47" s="5" t="s">
        <v>2813</v>
      </c>
      <c r="K47" s="5" t="s">
        <v>2813</v>
      </c>
      <c r="L47" s="5" t="s">
        <v>2813</v>
      </c>
      <c r="M47" s="5" t="s">
        <v>2813</v>
      </c>
      <c r="N47" s="5" t="s">
        <v>2813</v>
      </c>
      <c r="O47" s="5" t="s">
        <v>2813</v>
      </c>
      <c r="P47" s="5" t="s">
        <v>2813</v>
      </c>
      <c r="Q47" s="5" t="s">
        <v>2813</v>
      </c>
      <c r="R47" s="5" t="s">
        <v>2813</v>
      </c>
      <c r="S47" s="95">
        <v>0</v>
      </c>
      <c r="T47" s="5" t="s">
        <v>2813</v>
      </c>
      <c r="U47" s="95">
        <v>0</v>
      </c>
      <c r="V47" s="98">
        <v>1622</v>
      </c>
      <c r="W47" s="97">
        <f>(1-V46/3425)*80+5</f>
        <v>47.277372262773724</v>
      </c>
      <c r="X47" s="1"/>
      <c r="Y47" s="95">
        <f>(SUM(S47,U47,W47)-MIN(S47,U47,W47))/2</f>
        <v>23.638686131386862</v>
      </c>
    </row>
    <row r="48" spans="1:26" ht="15.75" customHeight="1">
      <c r="A48" s="42" t="s">
        <v>482</v>
      </c>
      <c r="B48" s="37" t="s">
        <v>2822</v>
      </c>
      <c r="C48" s="43" t="s">
        <v>2813</v>
      </c>
      <c r="D48" s="43" t="s">
        <v>2813</v>
      </c>
      <c r="E48" s="43" t="s">
        <v>2813</v>
      </c>
      <c r="F48" s="43" t="s">
        <v>2813</v>
      </c>
      <c r="G48" s="43" t="s">
        <v>2813</v>
      </c>
      <c r="H48" s="43" t="s">
        <v>2813</v>
      </c>
      <c r="I48" s="43" t="s">
        <v>2813</v>
      </c>
      <c r="J48" s="43" t="s">
        <v>2813</v>
      </c>
      <c r="K48" s="43" t="s">
        <v>2813</v>
      </c>
      <c r="L48" s="43" t="s">
        <v>2813</v>
      </c>
      <c r="M48" s="43" t="s">
        <v>2813</v>
      </c>
      <c r="N48" s="43" t="s">
        <v>2813</v>
      </c>
      <c r="O48" s="43" t="s">
        <v>2813</v>
      </c>
      <c r="P48" s="41" t="s">
        <v>377</v>
      </c>
      <c r="Q48" s="104">
        <v>0</v>
      </c>
      <c r="R48" s="101">
        <v>1563</v>
      </c>
      <c r="S48" s="104">
        <f>(1-R48/3055)*80+5</f>
        <v>44.070376432078561</v>
      </c>
      <c r="T48" s="102">
        <v>1004</v>
      </c>
      <c r="U48" s="104">
        <f>(1-T48/2965)*80+10</f>
        <v>62.910623946037099</v>
      </c>
      <c r="V48" s="101">
        <v>1768</v>
      </c>
      <c r="W48" s="106">
        <f>(1-V47/3425)*80+5</f>
        <v>47.113868613138692</v>
      </c>
      <c r="X48" s="37"/>
      <c r="Y48" s="104">
        <f>(SUM(S48,U48,W48)-MIN(S48,U48,W48))/2</f>
        <v>55.012246279587892</v>
      </c>
      <c r="Z48" s="37"/>
    </row>
    <row r="49" spans="1:25" ht="15.75" customHeight="1">
      <c r="A49" s="1" t="s">
        <v>602</v>
      </c>
      <c r="B49" s="1" t="s">
        <v>601</v>
      </c>
      <c r="C49" s="99">
        <v>864</v>
      </c>
      <c r="D49" s="99">
        <v>1017</v>
      </c>
      <c r="E49" s="98">
        <v>989</v>
      </c>
      <c r="F49" s="93">
        <v>919</v>
      </c>
      <c r="G49" s="96">
        <v>1238</v>
      </c>
      <c r="H49" s="96">
        <v>1463</v>
      </c>
      <c r="I49" s="93">
        <v>472</v>
      </c>
      <c r="J49" s="5" t="s">
        <v>377</v>
      </c>
      <c r="K49" s="98">
        <v>1589</v>
      </c>
      <c r="L49" s="98">
        <v>2138</v>
      </c>
      <c r="M49" s="93">
        <v>420</v>
      </c>
      <c r="N49" s="98">
        <v>1881</v>
      </c>
      <c r="O49" s="93">
        <v>481</v>
      </c>
      <c r="P49" s="93">
        <v>201</v>
      </c>
      <c r="Q49" s="95">
        <f>(1-P49/3198)*80+15</f>
        <v>89.971857410881796</v>
      </c>
      <c r="R49" s="98">
        <v>1417</v>
      </c>
      <c r="S49" s="95">
        <f>(1-R49/3055)*80+5</f>
        <v>47.893617021276597</v>
      </c>
      <c r="T49" s="96">
        <v>540</v>
      </c>
      <c r="U49" s="95">
        <f>(1-T49/2965)*80+10</f>
        <v>75.430016863406408</v>
      </c>
      <c r="V49" s="98">
        <v>1777</v>
      </c>
      <c r="W49" s="97">
        <f>(1-V48/3425)*80+5</f>
        <v>43.703649635036498</v>
      </c>
      <c r="X49" s="1"/>
      <c r="Y49" s="95">
        <f>(SUM(S49,U49,W49)-MIN(S49,U49,W49))/2</f>
        <v>61.661816942341503</v>
      </c>
    </row>
    <row r="50" spans="1:25" ht="15.75" customHeight="1">
      <c r="A50" s="1" t="s">
        <v>777</v>
      </c>
      <c r="B50" s="1" t="s">
        <v>777</v>
      </c>
      <c r="C50" s="5" t="s">
        <v>2813</v>
      </c>
      <c r="D50" s="5" t="s">
        <v>2813</v>
      </c>
      <c r="E50" s="5" t="s">
        <v>2813</v>
      </c>
      <c r="F50" s="5" t="s">
        <v>2813</v>
      </c>
      <c r="G50" s="5" t="s">
        <v>2813</v>
      </c>
      <c r="H50" s="96">
        <v>1453</v>
      </c>
      <c r="I50" s="98">
        <v>1419</v>
      </c>
      <c r="J50" s="96">
        <v>1184</v>
      </c>
      <c r="K50" s="98">
        <v>1558</v>
      </c>
      <c r="L50" s="93">
        <v>781</v>
      </c>
      <c r="M50" s="93">
        <v>1199</v>
      </c>
      <c r="N50" s="96">
        <v>1317</v>
      </c>
      <c r="O50" s="98">
        <v>1721</v>
      </c>
      <c r="P50" s="96">
        <v>1125</v>
      </c>
      <c r="Q50" s="95">
        <f>(1-P50/3198)*80+10</f>
        <v>61.857410881801123</v>
      </c>
      <c r="R50" s="96">
        <v>748</v>
      </c>
      <c r="S50" s="95">
        <f>(1-R50/3055)*80+10</f>
        <v>70.412438625204587</v>
      </c>
      <c r="T50" s="98">
        <v>1148</v>
      </c>
      <c r="U50" s="95">
        <f>(1-T50/2965)*80+5</f>
        <v>54.025295109612145</v>
      </c>
      <c r="V50" s="98">
        <v>1865</v>
      </c>
      <c r="W50" s="97">
        <f>(1-V49/3425)*80+5</f>
        <v>43.493430656934308</v>
      </c>
      <c r="X50" s="1"/>
      <c r="Y50" s="95">
        <f>(SUM(S50,U50,W50)-MIN(S50,U50,W50))/2</f>
        <v>62.218866867408373</v>
      </c>
    </row>
    <row r="51" spans="1:25" ht="15.75" customHeight="1">
      <c r="A51" s="1" t="s">
        <v>630</v>
      </c>
      <c r="B51" s="1" t="s">
        <v>474</v>
      </c>
      <c r="C51" s="5" t="s">
        <v>2813</v>
      </c>
      <c r="D51" s="5" t="s">
        <v>2813</v>
      </c>
      <c r="E51" s="5" t="s">
        <v>2813</v>
      </c>
      <c r="F51" s="5" t="s">
        <v>2813</v>
      </c>
      <c r="G51" s="5" t="s">
        <v>2813</v>
      </c>
      <c r="H51" s="5" t="s">
        <v>2813</v>
      </c>
      <c r="I51" s="5" t="s">
        <v>2813</v>
      </c>
      <c r="J51" s="93">
        <v>975</v>
      </c>
      <c r="K51" s="96">
        <v>971</v>
      </c>
      <c r="L51" s="96">
        <v>1447</v>
      </c>
      <c r="M51" s="92">
        <v>160</v>
      </c>
      <c r="N51" s="93">
        <v>602</v>
      </c>
      <c r="O51" s="98">
        <v>1499</v>
      </c>
      <c r="P51" s="96">
        <v>793</v>
      </c>
      <c r="Q51" s="95">
        <f>(1-P51/3198)*80+10</f>
        <v>70.162601626016254</v>
      </c>
      <c r="R51" s="96">
        <v>662</v>
      </c>
      <c r="S51" s="95">
        <f>(1-R51/3055)*80+10</f>
        <v>72.664484451718494</v>
      </c>
      <c r="T51" s="98">
        <v>1237</v>
      </c>
      <c r="U51" s="95">
        <f>(1-T51/2965)*80+5</f>
        <v>51.623946037099493</v>
      </c>
      <c r="V51" s="98">
        <v>1963</v>
      </c>
      <c r="W51" s="97">
        <f>(1-V118/3425)*80+5</f>
        <v>39.218978102189787</v>
      </c>
      <c r="X51" s="1"/>
      <c r="Y51" s="95">
        <f>(SUM(S51,U51,W51)-MIN(S51,U51,W51))/2</f>
        <v>62.144215244408997</v>
      </c>
    </row>
    <row r="52" spans="1:25" ht="15.75" customHeight="1">
      <c r="A52" s="1" t="s">
        <v>485</v>
      </c>
      <c r="B52" s="1" t="s">
        <v>484</v>
      </c>
      <c r="C52" s="5" t="s">
        <v>2813</v>
      </c>
      <c r="D52" s="5" t="s">
        <v>2813</v>
      </c>
      <c r="E52" s="5" t="s">
        <v>2813</v>
      </c>
      <c r="F52" s="5" t="s">
        <v>2813</v>
      </c>
      <c r="G52" s="5" t="s">
        <v>2813</v>
      </c>
      <c r="H52" s="5" t="s">
        <v>2813</v>
      </c>
      <c r="I52" s="5" t="s">
        <v>2813</v>
      </c>
      <c r="J52" s="5" t="s">
        <v>2813</v>
      </c>
      <c r="K52" s="5" t="s">
        <v>2813</v>
      </c>
      <c r="L52" s="5" t="s">
        <v>2813</v>
      </c>
      <c r="M52" s="5" t="s">
        <v>2813</v>
      </c>
      <c r="N52" s="5" t="s">
        <v>2813</v>
      </c>
      <c r="O52" s="94" t="s">
        <v>377</v>
      </c>
      <c r="P52" s="44" t="s">
        <v>377</v>
      </c>
      <c r="Q52" s="95">
        <v>0</v>
      </c>
      <c r="R52" s="98">
        <v>1493</v>
      </c>
      <c r="S52" s="95">
        <f>(1-R52/3055)*80+5</f>
        <v>45.903436988543369</v>
      </c>
      <c r="T52" s="98">
        <v>1656</v>
      </c>
      <c r="U52" s="95">
        <f>(1-T52/2965)*80+5</f>
        <v>40.318718381112987</v>
      </c>
      <c r="V52" s="98">
        <v>2047</v>
      </c>
      <c r="W52" s="97">
        <f>(1-V51/3425)*80+5</f>
        <v>39.14890510948905</v>
      </c>
      <c r="X52" s="1"/>
      <c r="Y52" s="95">
        <f>(SUM(S52,U52,W52)-MIN(S52,U52,W52))/2</f>
        <v>43.111077684828174</v>
      </c>
    </row>
    <row r="53" spans="1:25" ht="15.75" customHeight="1">
      <c r="A53" s="1" t="s">
        <v>746</v>
      </c>
      <c r="B53" s="1" t="s">
        <v>745</v>
      </c>
      <c r="C53" s="5" t="s">
        <v>377</v>
      </c>
      <c r="D53" s="98">
        <v>2561</v>
      </c>
      <c r="E53" s="98">
        <v>2192</v>
      </c>
      <c r="F53" s="5" t="s">
        <v>377</v>
      </c>
      <c r="G53" s="98">
        <v>1709</v>
      </c>
      <c r="H53" s="5" t="s">
        <v>377</v>
      </c>
      <c r="I53" s="98">
        <v>2157</v>
      </c>
      <c r="J53" s="98">
        <v>2503</v>
      </c>
      <c r="K53" s="98">
        <v>1847</v>
      </c>
      <c r="L53" s="98">
        <v>2185</v>
      </c>
      <c r="M53" s="98">
        <v>2321</v>
      </c>
      <c r="N53" s="5" t="s">
        <v>377</v>
      </c>
      <c r="O53" s="94" t="s">
        <v>377</v>
      </c>
      <c r="P53" s="44" t="s">
        <v>377</v>
      </c>
      <c r="Q53" s="95">
        <v>0</v>
      </c>
      <c r="R53" s="98">
        <v>1630</v>
      </c>
      <c r="S53" s="95">
        <f>(1-R53/3055)*80+5</f>
        <v>42.315875613747956</v>
      </c>
      <c r="T53" s="44" t="s">
        <v>377</v>
      </c>
      <c r="U53" s="95">
        <v>0</v>
      </c>
      <c r="V53" s="98">
        <v>2106</v>
      </c>
      <c r="W53" s="97">
        <f>(1-V52/3425)*80+5</f>
        <v>37.186861313868611</v>
      </c>
      <c r="X53" s="1"/>
      <c r="Y53" s="95">
        <f>(SUM(S53,U53,W53)-MIN(S53,U53,W53))/2</f>
        <v>39.751368463808284</v>
      </c>
    </row>
    <row r="54" spans="1:25" ht="15.75" customHeight="1">
      <c r="A54" s="8" t="s">
        <v>1206</v>
      </c>
      <c r="B54" s="8" t="s">
        <v>681</v>
      </c>
      <c r="C54" s="5" t="s">
        <v>2813</v>
      </c>
      <c r="D54" s="5" t="s">
        <v>2813</v>
      </c>
      <c r="E54" s="5" t="s">
        <v>2813</v>
      </c>
      <c r="F54" s="5" t="s">
        <v>2813</v>
      </c>
      <c r="G54" s="5" t="s">
        <v>2813</v>
      </c>
      <c r="H54" s="5" t="s">
        <v>2813</v>
      </c>
      <c r="I54" s="5" t="s">
        <v>2813</v>
      </c>
      <c r="J54" s="5" t="s">
        <v>2813</v>
      </c>
      <c r="K54" s="5" t="s">
        <v>2813</v>
      </c>
      <c r="L54" s="5" t="s">
        <v>2813</v>
      </c>
      <c r="M54" s="5" t="s">
        <v>2813</v>
      </c>
      <c r="N54" s="5" t="s">
        <v>2813</v>
      </c>
      <c r="O54" s="5" t="s">
        <v>2813</v>
      </c>
      <c r="P54" s="5" t="s">
        <v>2813</v>
      </c>
      <c r="Q54" s="95">
        <v>0</v>
      </c>
      <c r="R54" s="5" t="s">
        <v>2813</v>
      </c>
      <c r="S54" s="95">
        <v>0</v>
      </c>
      <c r="T54" s="98">
        <v>1411</v>
      </c>
      <c r="U54" s="95">
        <f>(1-T54/2965)*80+5</f>
        <v>46.929173693086</v>
      </c>
      <c r="V54" s="98">
        <v>2151</v>
      </c>
      <c r="W54" s="97">
        <f>(1-V53/3425)*80+5</f>
        <v>35.808759124087587</v>
      </c>
      <c r="X54" s="1"/>
      <c r="Y54" s="95">
        <f>(SUM(S54,U54,W54)-MIN(S54,U54,W54))/2</f>
        <v>41.368966408586793</v>
      </c>
    </row>
    <row r="55" spans="1:25" ht="15.75" customHeight="1">
      <c r="A55" s="10" t="s">
        <v>618</v>
      </c>
      <c r="B55" s="1" t="s">
        <v>617</v>
      </c>
      <c r="C55" s="5" t="s">
        <v>2813</v>
      </c>
      <c r="D55" s="5" t="s">
        <v>2813</v>
      </c>
      <c r="E55" s="5" t="s">
        <v>2813</v>
      </c>
      <c r="F55" s="5" t="s">
        <v>2813</v>
      </c>
      <c r="G55" s="5" t="s">
        <v>2813</v>
      </c>
      <c r="H55" s="5" t="s">
        <v>2813</v>
      </c>
      <c r="I55" s="5" t="s">
        <v>2813</v>
      </c>
      <c r="J55" s="5" t="s">
        <v>2813</v>
      </c>
      <c r="K55" s="5" t="s">
        <v>2813</v>
      </c>
      <c r="L55" s="5" t="s">
        <v>2813</v>
      </c>
      <c r="M55" s="5" t="s">
        <v>2813</v>
      </c>
      <c r="N55" s="5" t="s">
        <v>2813</v>
      </c>
      <c r="O55" s="5" t="s">
        <v>2813</v>
      </c>
      <c r="P55" s="5" t="s">
        <v>2813</v>
      </c>
      <c r="Q55" s="95">
        <v>0</v>
      </c>
      <c r="R55" s="44" t="s">
        <v>377</v>
      </c>
      <c r="S55" s="95">
        <v>0</v>
      </c>
      <c r="T55" s="44" t="s">
        <v>377</v>
      </c>
      <c r="U55" s="95">
        <v>0</v>
      </c>
      <c r="V55" s="98">
        <v>2249</v>
      </c>
      <c r="W55" s="97">
        <f>(1-V54/3425)*80+5</f>
        <v>34.757664233576648</v>
      </c>
      <c r="X55" s="1"/>
      <c r="Y55" s="95">
        <f>(SUM(S55,U55,W55)-MIN(S55,U55,W55))/2</f>
        <v>17.378832116788324</v>
      </c>
    </row>
    <row r="56" spans="1:25" ht="15.75" customHeight="1">
      <c r="A56" s="1" t="s">
        <v>1071</v>
      </c>
      <c r="B56" s="4" t="s">
        <v>1070</v>
      </c>
      <c r="C56" s="5" t="s">
        <v>2813</v>
      </c>
      <c r="D56" s="5" t="s">
        <v>2813</v>
      </c>
      <c r="E56" s="5" t="s">
        <v>2813</v>
      </c>
      <c r="F56" s="5" t="s">
        <v>2813</v>
      </c>
      <c r="G56" s="44" t="s">
        <v>377</v>
      </c>
      <c r="H56" s="5" t="s">
        <v>377</v>
      </c>
      <c r="I56" s="96">
        <v>984</v>
      </c>
      <c r="J56" s="93">
        <v>1030</v>
      </c>
      <c r="K56" s="93">
        <v>247</v>
      </c>
      <c r="L56" s="92">
        <v>230</v>
      </c>
      <c r="M56" s="92">
        <v>165</v>
      </c>
      <c r="N56" s="93">
        <v>279</v>
      </c>
      <c r="O56" s="94" t="s">
        <v>377</v>
      </c>
      <c r="P56" s="94" t="s">
        <v>2814</v>
      </c>
      <c r="Q56" s="95">
        <v>0</v>
      </c>
      <c r="R56" s="94" t="s">
        <v>2814</v>
      </c>
      <c r="S56" s="95">
        <v>0</v>
      </c>
      <c r="T56" s="94" t="s">
        <v>2814</v>
      </c>
      <c r="U56" s="95">
        <v>0</v>
      </c>
      <c r="V56" s="5" t="s">
        <v>2814</v>
      </c>
      <c r="W56" s="97">
        <v>0</v>
      </c>
      <c r="X56" s="1"/>
      <c r="Y56" s="95">
        <f>(SUM(S56,U56,W56)-MIN(S56,U56,W56))/2</f>
        <v>0</v>
      </c>
    </row>
    <row r="57" spans="1:25" ht="15.75" customHeight="1">
      <c r="A57" s="1" t="s">
        <v>2823</v>
      </c>
      <c r="B57" s="10" t="s">
        <v>2824</v>
      </c>
      <c r="C57" s="5" t="s">
        <v>2813</v>
      </c>
      <c r="D57" s="5" t="s">
        <v>2813</v>
      </c>
      <c r="E57" s="5" t="s">
        <v>2813</v>
      </c>
      <c r="F57" s="5" t="s">
        <v>2813</v>
      </c>
      <c r="G57" s="5" t="s">
        <v>2813</v>
      </c>
      <c r="H57" s="5" t="s">
        <v>2813</v>
      </c>
      <c r="I57" s="98">
        <v>1370</v>
      </c>
      <c r="J57" s="93">
        <v>276</v>
      </c>
      <c r="K57" s="93">
        <v>478</v>
      </c>
      <c r="L57" s="93">
        <v>420</v>
      </c>
      <c r="M57" s="93">
        <v>895</v>
      </c>
      <c r="N57" s="5" t="s">
        <v>377</v>
      </c>
      <c r="O57" s="93">
        <v>661</v>
      </c>
      <c r="P57" s="93">
        <v>367</v>
      </c>
      <c r="Q57" s="95">
        <f>(1-P57/3198)*80+15</f>
        <v>85.819262038774241</v>
      </c>
      <c r="R57" s="96">
        <v>612</v>
      </c>
      <c r="S57" s="95">
        <f>(1-R57/3055)*80+10</f>
        <v>73.973813420621923</v>
      </c>
      <c r="T57" s="96">
        <v>392</v>
      </c>
      <c r="U57" s="95">
        <f>(1-T57/2965)*80+10</f>
        <v>79.423271500843171</v>
      </c>
      <c r="V57" s="5" t="s">
        <v>377</v>
      </c>
      <c r="W57" s="97">
        <v>0</v>
      </c>
      <c r="X57" s="1"/>
      <c r="Y57" s="95">
        <f>(SUM(S57,U57,W57)-MIN(S57,U57,W57))/2</f>
        <v>76.69854246073254</v>
      </c>
    </row>
    <row r="58" spans="1:25" ht="15.75" customHeight="1">
      <c r="A58" s="8" t="s">
        <v>497</v>
      </c>
      <c r="B58" s="8" t="s">
        <v>496</v>
      </c>
      <c r="C58" s="5" t="s">
        <v>2813</v>
      </c>
      <c r="D58" s="5" t="s">
        <v>2813</v>
      </c>
      <c r="E58" s="5" t="s">
        <v>2813</v>
      </c>
      <c r="F58" s="5" t="s">
        <v>2813</v>
      </c>
      <c r="G58" s="5" t="s">
        <v>2813</v>
      </c>
      <c r="H58" s="5" t="s">
        <v>2813</v>
      </c>
      <c r="I58" s="5" t="s">
        <v>2813</v>
      </c>
      <c r="J58" s="5" t="s">
        <v>2813</v>
      </c>
      <c r="K58" s="5" t="s">
        <v>2813</v>
      </c>
      <c r="L58" s="5" t="s">
        <v>2813</v>
      </c>
      <c r="M58" s="5" t="s">
        <v>2813</v>
      </c>
      <c r="N58" s="5" t="s">
        <v>2813</v>
      </c>
      <c r="O58" s="5" t="s">
        <v>2813</v>
      </c>
      <c r="P58" s="5" t="s">
        <v>2813</v>
      </c>
      <c r="Q58" s="95">
        <v>0</v>
      </c>
      <c r="R58" s="5" t="s">
        <v>2813</v>
      </c>
      <c r="S58" s="95">
        <v>0</v>
      </c>
      <c r="T58" s="96">
        <v>522</v>
      </c>
      <c r="U58" s="95">
        <f>(1-T58/2965)*80+10</f>
        <v>75.915682967959526</v>
      </c>
      <c r="V58" s="5" t="s">
        <v>377</v>
      </c>
      <c r="W58" s="97">
        <v>0</v>
      </c>
      <c r="X58" s="1"/>
      <c r="Y58" s="95">
        <f>(SUM(S58,U58,W58)-MIN(S58,U58,W58))/2</f>
        <v>37.957841483979763</v>
      </c>
    </row>
    <row r="59" spans="1:25" ht="15.75" customHeight="1">
      <c r="A59" s="1" t="s">
        <v>1095</v>
      </c>
      <c r="B59" s="1" t="s">
        <v>1095</v>
      </c>
      <c r="C59" s="99">
        <v>630</v>
      </c>
      <c r="D59" s="99">
        <v>578</v>
      </c>
      <c r="E59" s="98">
        <v>747</v>
      </c>
      <c r="F59" s="93">
        <v>156</v>
      </c>
      <c r="G59" s="93">
        <v>209</v>
      </c>
      <c r="H59" s="5" t="s">
        <v>377</v>
      </c>
      <c r="I59" s="93">
        <v>283</v>
      </c>
      <c r="J59" s="93">
        <v>626</v>
      </c>
      <c r="K59" s="93">
        <v>98</v>
      </c>
      <c r="L59" s="92">
        <v>213</v>
      </c>
      <c r="M59" s="93">
        <v>828</v>
      </c>
      <c r="N59" s="96">
        <v>810</v>
      </c>
      <c r="O59" s="93">
        <v>207</v>
      </c>
      <c r="P59" s="44" t="s">
        <v>377</v>
      </c>
      <c r="Q59" s="95">
        <v>0</v>
      </c>
      <c r="R59" s="44" t="s">
        <v>377</v>
      </c>
      <c r="S59" s="95">
        <v>0</v>
      </c>
      <c r="T59" s="96">
        <v>547</v>
      </c>
      <c r="U59" s="95">
        <f>(1-T59/2965)*80+10</f>
        <v>75.24114671163575</v>
      </c>
      <c r="V59" s="5" t="s">
        <v>377</v>
      </c>
      <c r="W59" s="97">
        <v>0</v>
      </c>
      <c r="X59" s="1"/>
      <c r="Y59" s="95">
        <f>(SUM(S59,U59,W59)-MIN(S59,U59,W59))/2</f>
        <v>37.620573355817875</v>
      </c>
    </row>
    <row r="60" spans="1:25" ht="15.75" customHeight="1">
      <c r="A60" s="1" t="s">
        <v>657</v>
      </c>
      <c r="B60" s="1" t="s">
        <v>656</v>
      </c>
      <c r="C60" s="5" t="s">
        <v>2813</v>
      </c>
      <c r="D60" s="5" t="s">
        <v>2813</v>
      </c>
      <c r="E60" s="5" t="s">
        <v>2813</v>
      </c>
      <c r="F60" s="5" t="s">
        <v>2813</v>
      </c>
      <c r="G60" s="5" t="s">
        <v>2813</v>
      </c>
      <c r="H60" s="5" t="s">
        <v>2813</v>
      </c>
      <c r="I60" s="5" t="s">
        <v>2813</v>
      </c>
      <c r="J60" s="5" t="s">
        <v>377</v>
      </c>
      <c r="K60" s="44" t="s">
        <v>377</v>
      </c>
      <c r="L60" s="96">
        <v>1716</v>
      </c>
      <c r="M60" s="5" t="s">
        <v>377</v>
      </c>
      <c r="N60" s="96">
        <v>968</v>
      </c>
      <c r="O60" s="94" t="s">
        <v>377</v>
      </c>
      <c r="P60" s="44" t="s">
        <v>377</v>
      </c>
      <c r="Q60" s="95">
        <v>0</v>
      </c>
      <c r="R60" s="98">
        <v>1422</v>
      </c>
      <c r="S60" s="95">
        <f>(1-R60/3055)*80+5</f>
        <v>47.762684124386254</v>
      </c>
      <c r="T60" s="96">
        <v>792</v>
      </c>
      <c r="U60" s="95">
        <f>(1-T60/2965)*80+10</f>
        <v>68.630691399662723</v>
      </c>
      <c r="V60" s="5" t="s">
        <v>377</v>
      </c>
      <c r="W60" s="97">
        <v>0</v>
      </c>
      <c r="X60" s="1"/>
      <c r="Y60" s="95">
        <f>(SUM(S60,U60,W60)-MIN(S60,U60,W60))/2</f>
        <v>58.196687762024489</v>
      </c>
    </row>
    <row r="61" spans="1:25" ht="15.75" customHeight="1">
      <c r="A61" s="1" t="s">
        <v>560</v>
      </c>
      <c r="B61" s="4" t="s">
        <v>559</v>
      </c>
      <c r="C61" s="5" t="s">
        <v>2813</v>
      </c>
      <c r="D61" s="5" t="s">
        <v>2813</v>
      </c>
      <c r="E61" s="5" t="s">
        <v>2813</v>
      </c>
      <c r="F61" s="5" t="s">
        <v>2813</v>
      </c>
      <c r="G61" s="5" t="s">
        <v>2813</v>
      </c>
      <c r="H61" s="5" t="s">
        <v>2813</v>
      </c>
      <c r="I61" s="5" t="s">
        <v>2813</v>
      </c>
      <c r="J61" s="5" t="s">
        <v>2813</v>
      </c>
      <c r="K61" s="5" t="s">
        <v>2813</v>
      </c>
      <c r="L61" s="5" t="s">
        <v>2813</v>
      </c>
      <c r="M61" s="5" t="s">
        <v>2813</v>
      </c>
      <c r="N61" s="5" t="s">
        <v>2813</v>
      </c>
      <c r="O61" s="94" t="s">
        <v>377</v>
      </c>
      <c r="P61" s="98">
        <v>1992</v>
      </c>
      <c r="Q61" s="95">
        <f>(1-P61/3198)*80+5</f>
        <v>35.168855534709195</v>
      </c>
      <c r="R61" s="98">
        <v>1155</v>
      </c>
      <c r="S61" s="95">
        <f>(1-R61/3055)*80+5</f>
        <v>54.754500818330605</v>
      </c>
      <c r="T61" s="96">
        <v>971</v>
      </c>
      <c r="U61" s="95">
        <f>(1-T61/2965)*80+10</f>
        <v>63.80101180438448</v>
      </c>
      <c r="V61" s="5" t="s">
        <v>377</v>
      </c>
      <c r="W61" s="97">
        <v>0</v>
      </c>
      <c r="X61" s="1"/>
      <c r="Y61" s="95">
        <f>(SUM(S61,U61,W61)-MIN(S61,U61,W61))/2</f>
        <v>59.277756311357543</v>
      </c>
    </row>
    <row r="62" spans="1:25" ht="15.75" customHeight="1">
      <c r="A62" s="1" t="s">
        <v>741</v>
      </c>
      <c r="B62" s="10" t="s">
        <v>2825</v>
      </c>
      <c r="C62" s="5" t="s">
        <v>2813</v>
      </c>
      <c r="D62" s="5" t="s">
        <v>2813</v>
      </c>
      <c r="E62" s="5" t="s">
        <v>2813</v>
      </c>
      <c r="F62" s="5" t="s">
        <v>2813</v>
      </c>
      <c r="G62" s="5" t="s">
        <v>2813</v>
      </c>
      <c r="H62" s="5" t="s">
        <v>2813</v>
      </c>
      <c r="I62" s="5" t="s">
        <v>2813</v>
      </c>
      <c r="J62" s="96">
        <v>1582</v>
      </c>
      <c r="K62" s="44" t="s">
        <v>377</v>
      </c>
      <c r="L62" s="98">
        <v>1886</v>
      </c>
      <c r="M62" s="5" t="s">
        <v>377</v>
      </c>
      <c r="N62" s="5" t="s">
        <v>377</v>
      </c>
      <c r="O62" s="96">
        <v>1373</v>
      </c>
      <c r="P62" s="44" t="s">
        <v>377</v>
      </c>
      <c r="Q62" s="95">
        <v>0</v>
      </c>
      <c r="R62" s="96">
        <v>655</v>
      </c>
      <c r="S62" s="95">
        <f>(1-R62/3055)*80+10</f>
        <v>72.847790507364977</v>
      </c>
      <c r="T62" s="98">
        <v>1119</v>
      </c>
      <c r="U62" s="95">
        <f>(1-T62/2965)*80+5</f>
        <v>54.807757166947724</v>
      </c>
      <c r="V62" s="5" t="s">
        <v>377</v>
      </c>
      <c r="W62" s="97">
        <v>0</v>
      </c>
      <c r="X62" s="1"/>
      <c r="Y62" s="95">
        <f>(SUM(S62,U62,W62)-MIN(S62,U62,W62))/2</f>
        <v>63.82777383715635</v>
      </c>
    </row>
    <row r="63" spans="1:25" ht="15.75" customHeight="1">
      <c r="A63" s="1" t="s">
        <v>360</v>
      </c>
      <c r="B63" s="4" t="s">
        <v>359</v>
      </c>
      <c r="C63" s="5" t="s">
        <v>2813</v>
      </c>
      <c r="D63" s="5" t="s">
        <v>2813</v>
      </c>
      <c r="E63" s="98">
        <v>1799</v>
      </c>
      <c r="F63" s="98">
        <v>2026</v>
      </c>
      <c r="G63" s="96">
        <v>673</v>
      </c>
      <c r="H63" s="93">
        <v>1019</v>
      </c>
      <c r="I63" s="44" t="s">
        <v>377</v>
      </c>
      <c r="J63" s="93">
        <v>603</v>
      </c>
      <c r="K63" s="44" t="s">
        <v>377</v>
      </c>
      <c r="L63" s="96">
        <v>1078</v>
      </c>
      <c r="M63" s="5" t="s">
        <v>377</v>
      </c>
      <c r="N63" s="96">
        <v>1029</v>
      </c>
      <c r="O63" s="98">
        <v>1489</v>
      </c>
      <c r="P63" s="96">
        <v>646</v>
      </c>
      <c r="Q63" s="95">
        <f>(1-P63/3198)*80+10</f>
        <v>73.839899937460913</v>
      </c>
      <c r="R63" s="107" t="s">
        <v>377</v>
      </c>
      <c r="S63" s="95">
        <v>0</v>
      </c>
      <c r="T63" s="98">
        <v>1347</v>
      </c>
      <c r="U63" s="95">
        <f>(1-T63/2965)*80+5</f>
        <v>48.655986509274875</v>
      </c>
      <c r="V63" s="5" t="s">
        <v>377</v>
      </c>
      <c r="W63" s="97">
        <v>0</v>
      </c>
      <c r="X63" s="1"/>
      <c r="Y63" s="95">
        <f>(SUM(S63,U63,W63)-MIN(S63,U63,W63))/2</f>
        <v>24.327993254637438</v>
      </c>
    </row>
    <row r="64" spans="1:25" ht="15.75" customHeight="1">
      <c r="A64" s="1" t="s">
        <v>695</v>
      </c>
      <c r="B64" s="1" t="s">
        <v>694</v>
      </c>
      <c r="C64" s="5" t="s">
        <v>2813</v>
      </c>
      <c r="D64" s="5" t="s">
        <v>2813</v>
      </c>
      <c r="E64" s="5" t="s">
        <v>2813</v>
      </c>
      <c r="F64" s="5" t="s">
        <v>2813</v>
      </c>
      <c r="G64" s="5" t="s">
        <v>2813</v>
      </c>
      <c r="H64" s="5" t="s">
        <v>2813</v>
      </c>
      <c r="I64" s="96">
        <v>1222</v>
      </c>
      <c r="J64" s="93">
        <v>845</v>
      </c>
      <c r="K64" s="96">
        <v>969</v>
      </c>
      <c r="L64" s="92">
        <v>182</v>
      </c>
      <c r="M64" s="93">
        <v>891</v>
      </c>
      <c r="N64" s="98">
        <v>1383</v>
      </c>
      <c r="O64" s="93">
        <v>708</v>
      </c>
      <c r="P64" s="96">
        <v>696</v>
      </c>
      <c r="Q64" s="95">
        <f>(1-P64/3198)*80+10</f>
        <v>72.589118198874303</v>
      </c>
      <c r="R64" s="96">
        <v>490</v>
      </c>
      <c r="S64" s="95">
        <f>(1-R64/3055)*80+10</f>
        <v>77.168576104746322</v>
      </c>
      <c r="T64" s="98">
        <v>1745</v>
      </c>
      <c r="U64" s="95">
        <f>(1-T64/2965)*80+5</f>
        <v>37.917369308600335</v>
      </c>
      <c r="V64" s="5" t="s">
        <v>377</v>
      </c>
      <c r="W64" s="97">
        <v>0</v>
      </c>
      <c r="X64" s="1"/>
      <c r="Y64" s="95">
        <f>(SUM(S64,U64,W64)-MIN(S64,U64,W64))/2</f>
        <v>57.542972706673325</v>
      </c>
    </row>
    <row r="65" spans="1:26" ht="15.75" customHeight="1">
      <c r="A65" s="1" t="s">
        <v>655</v>
      </c>
      <c r="B65" s="4" t="s">
        <v>654</v>
      </c>
      <c r="C65" s="5" t="s">
        <v>2813</v>
      </c>
      <c r="D65" s="5" t="s">
        <v>2813</v>
      </c>
      <c r="E65" s="5" t="s">
        <v>2813</v>
      </c>
      <c r="F65" s="5" t="s">
        <v>2813</v>
      </c>
      <c r="G65" s="5" t="s">
        <v>2813</v>
      </c>
      <c r="H65" s="93">
        <v>961</v>
      </c>
      <c r="I65" s="93">
        <v>262</v>
      </c>
      <c r="J65" s="93">
        <v>506</v>
      </c>
      <c r="K65" s="98">
        <v>1086</v>
      </c>
      <c r="L65" s="93">
        <v>582</v>
      </c>
      <c r="M65" s="93">
        <v>927</v>
      </c>
      <c r="N65" s="93">
        <v>631</v>
      </c>
      <c r="O65" s="93">
        <v>614</v>
      </c>
      <c r="P65" s="96">
        <v>549</v>
      </c>
      <c r="Q65" s="95">
        <f>(1-P65/3198)*80+10</f>
        <v>76.266416510318948</v>
      </c>
      <c r="R65" s="98">
        <v>1281</v>
      </c>
      <c r="S65" s="95">
        <f>(1-R65/3055)*80+5</f>
        <v>51.454991816693941</v>
      </c>
      <c r="T65" s="107" t="s">
        <v>377</v>
      </c>
      <c r="U65" s="95">
        <v>0</v>
      </c>
      <c r="V65" s="5" t="s">
        <v>377</v>
      </c>
      <c r="W65" s="97">
        <v>0</v>
      </c>
      <c r="X65" s="1"/>
      <c r="Y65" s="95">
        <f>(SUM(S65,U65,W65)-MIN(S65,U65,W65))/2</f>
        <v>25.72749590834697</v>
      </c>
    </row>
    <row r="66" spans="1:26" ht="15.75" customHeight="1">
      <c r="A66" s="1" t="s">
        <v>581</v>
      </c>
      <c r="B66" s="1" t="s">
        <v>580</v>
      </c>
      <c r="C66" s="5" t="s">
        <v>2813</v>
      </c>
      <c r="D66" s="5" t="s">
        <v>2813</v>
      </c>
      <c r="E66" s="5" t="s">
        <v>2813</v>
      </c>
      <c r="F66" s="5" t="s">
        <v>2813</v>
      </c>
      <c r="G66" s="5" t="s">
        <v>2813</v>
      </c>
      <c r="H66" s="5" t="s">
        <v>2813</v>
      </c>
      <c r="I66" s="44" t="s">
        <v>377</v>
      </c>
      <c r="J66" s="98">
        <v>1847</v>
      </c>
      <c r="K66" s="44" t="s">
        <v>377</v>
      </c>
      <c r="L66" s="96">
        <v>1308</v>
      </c>
      <c r="M66" s="98">
        <v>2223</v>
      </c>
      <c r="N66" s="5" t="s">
        <v>377</v>
      </c>
      <c r="O66" s="96">
        <v>1212</v>
      </c>
      <c r="P66" s="44" t="s">
        <v>377</v>
      </c>
      <c r="Q66" s="95">
        <v>0</v>
      </c>
      <c r="R66" s="98">
        <v>1377</v>
      </c>
      <c r="S66" s="95">
        <f>(1-R66/3055)*80+5</f>
        <v>48.941080196399355</v>
      </c>
      <c r="T66" s="44" t="s">
        <v>377</v>
      </c>
      <c r="U66" s="95">
        <v>0</v>
      </c>
      <c r="V66" s="5" t="s">
        <v>377</v>
      </c>
      <c r="W66" s="97">
        <v>0</v>
      </c>
      <c r="X66" s="1"/>
      <c r="Y66" s="95">
        <f>(SUM(S66,U66,W66)-MIN(S66,U66,W66))/2</f>
        <v>24.470540098199677</v>
      </c>
    </row>
    <row r="67" spans="1:26" ht="15.75" customHeight="1">
      <c r="A67" s="1" t="s">
        <v>516</v>
      </c>
      <c r="B67" s="4" t="s">
        <v>515</v>
      </c>
      <c r="C67" s="5" t="s">
        <v>2813</v>
      </c>
      <c r="D67" s="5" t="s">
        <v>2813</v>
      </c>
      <c r="E67" s="5" t="s">
        <v>2813</v>
      </c>
      <c r="F67" s="5" t="s">
        <v>2813</v>
      </c>
      <c r="G67" s="5" t="s">
        <v>2813</v>
      </c>
      <c r="H67" s="5" t="s">
        <v>2813</v>
      </c>
      <c r="I67" s="5" t="s">
        <v>2813</v>
      </c>
      <c r="J67" s="5" t="s">
        <v>2813</v>
      </c>
      <c r="K67" s="5" t="s">
        <v>2813</v>
      </c>
      <c r="L67" s="5" t="s">
        <v>2813</v>
      </c>
      <c r="M67" s="5" t="s">
        <v>2813</v>
      </c>
      <c r="N67" s="98">
        <v>1224</v>
      </c>
      <c r="O67" s="93">
        <v>403</v>
      </c>
      <c r="P67" s="96">
        <v>835</v>
      </c>
      <c r="Q67" s="95">
        <f>(1-P67/3198)*80+10</f>
        <v>69.111944965603499</v>
      </c>
      <c r="R67" s="98">
        <v>1603</v>
      </c>
      <c r="S67" s="95">
        <f>(1-R67/3055)*80+5</f>
        <v>43.02291325695581</v>
      </c>
      <c r="T67" s="107" t="s">
        <v>377</v>
      </c>
      <c r="U67" s="95">
        <v>0</v>
      </c>
      <c r="V67" s="5" t="s">
        <v>377</v>
      </c>
      <c r="W67" s="97">
        <v>0</v>
      </c>
      <c r="X67" s="1"/>
      <c r="Y67" s="95">
        <f>(SUM(S67,U67,W67)-MIN(S67,U67,W67))/2</f>
        <v>21.511456628477905</v>
      </c>
    </row>
    <row r="68" spans="1:26" ht="15.75" customHeight="1">
      <c r="A68" s="1" t="s">
        <v>480</v>
      </c>
      <c r="B68" s="1" t="s">
        <v>479</v>
      </c>
      <c r="C68" s="5" t="s">
        <v>2813</v>
      </c>
      <c r="D68" s="5" t="s">
        <v>2813</v>
      </c>
      <c r="E68" s="5" t="s">
        <v>2813</v>
      </c>
      <c r="F68" s="5" t="s">
        <v>2813</v>
      </c>
      <c r="G68" s="5" t="s">
        <v>2813</v>
      </c>
      <c r="H68" s="5" t="s">
        <v>2813</v>
      </c>
      <c r="I68" s="5" t="s">
        <v>2813</v>
      </c>
      <c r="J68" s="5" t="s">
        <v>2813</v>
      </c>
      <c r="K68" s="5" t="s">
        <v>2813</v>
      </c>
      <c r="L68" s="5" t="s">
        <v>2813</v>
      </c>
      <c r="M68" s="5" t="s">
        <v>2813</v>
      </c>
      <c r="N68" s="5" t="s">
        <v>2813</v>
      </c>
      <c r="O68" s="5" t="s">
        <v>2813</v>
      </c>
      <c r="P68" s="5" t="s">
        <v>2813</v>
      </c>
      <c r="Q68" s="5" t="s">
        <v>2813</v>
      </c>
      <c r="R68" s="5" t="s">
        <v>2813</v>
      </c>
      <c r="S68" s="5" t="s">
        <v>2813</v>
      </c>
      <c r="T68" s="5" t="s">
        <v>2813</v>
      </c>
      <c r="U68" s="5" t="s">
        <v>2813</v>
      </c>
      <c r="V68" s="5" t="s">
        <v>2813</v>
      </c>
      <c r="W68" s="5" t="s">
        <v>2813</v>
      </c>
      <c r="X68" s="5"/>
      <c r="Y68" s="95">
        <f>(SUM(S68,U68,W68)-MIN(S68,U68,W68))/2</f>
        <v>0</v>
      </c>
    </row>
    <row r="69" spans="1:26" ht="15.75" customHeight="1">
      <c r="A69" s="1" t="s">
        <v>567</v>
      </c>
      <c r="B69" s="1" t="s">
        <v>566</v>
      </c>
      <c r="C69" s="5" t="s">
        <v>2813</v>
      </c>
      <c r="D69" s="5" t="s">
        <v>2813</v>
      </c>
      <c r="E69" s="5" t="s">
        <v>2813</v>
      </c>
      <c r="F69" s="5" t="s">
        <v>2813</v>
      </c>
      <c r="G69" s="5" t="s">
        <v>2813</v>
      </c>
      <c r="H69" s="5" t="s">
        <v>2813</v>
      </c>
      <c r="I69" s="5" t="s">
        <v>2813</v>
      </c>
      <c r="J69" s="5" t="s">
        <v>2813</v>
      </c>
      <c r="K69" s="5" t="s">
        <v>2813</v>
      </c>
      <c r="L69" s="5" t="s">
        <v>2813</v>
      </c>
      <c r="M69" s="5" t="s">
        <v>2813</v>
      </c>
      <c r="N69" s="5" t="s">
        <v>2813</v>
      </c>
      <c r="O69" s="5" t="s">
        <v>2813</v>
      </c>
      <c r="P69" s="5" t="s">
        <v>2813</v>
      </c>
      <c r="Q69" s="5" t="s">
        <v>2813</v>
      </c>
      <c r="R69" s="5" t="s">
        <v>2813</v>
      </c>
      <c r="S69" s="5" t="s">
        <v>2813</v>
      </c>
      <c r="T69" s="5" t="s">
        <v>2813</v>
      </c>
      <c r="U69" s="5" t="s">
        <v>2813</v>
      </c>
      <c r="V69" s="5" t="s">
        <v>2813</v>
      </c>
      <c r="W69" s="5" t="s">
        <v>2813</v>
      </c>
      <c r="X69" s="1"/>
      <c r="Y69" s="95">
        <f>(SUM(S69,U69,W69)-MIN(S69,U69,W69))/2</f>
        <v>0</v>
      </c>
    </row>
    <row r="70" spans="1:26" ht="15.75" customHeight="1">
      <c r="A70" s="42" t="s">
        <v>470</v>
      </c>
      <c r="B70" s="37" t="s">
        <v>469</v>
      </c>
      <c r="C70" s="101">
        <v>1225</v>
      </c>
      <c r="D70" s="43" t="s">
        <v>377</v>
      </c>
      <c r="E70" s="102">
        <v>510</v>
      </c>
      <c r="F70" s="103">
        <v>239</v>
      </c>
      <c r="G70" s="45" t="s">
        <v>377</v>
      </c>
      <c r="H70" s="105">
        <v>114</v>
      </c>
      <c r="I70" s="45" t="s">
        <v>377</v>
      </c>
      <c r="J70" s="105">
        <v>93</v>
      </c>
      <c r="K70" s="103">
        <v>347</v>
      </c>
      <c r="L70" s="103">
        <v>390</v>
      </c>
      <c r="M70" s="105">
        <v>139</v>
      </c>
      <c r="N70" s="43" t="s">
        <v>377</v>
      </c>
      <c r="O70" s="41" t="s">
        <v>377</v>
      </c>
      <c r="P70" s="103">
        <v>264</v>
      </c>
      <c r="Q70" s="104">
        <f>(1-P70/3198)*80+15</f>
        <v>88.395872420262663</v>
      </c>
      <c r="R70" s="47" t="s">
        <v>377</v>
      </c>
      <c r="S70" s="104">
        <v>0</v>
      </c>
      <c r="T70" s="102">
        <v>919</v>
      </c>
      <c r="U70" s="104">
        <f>(1-T70/2965)*80+10</f>
        <v>65.204047217537934</v>
      </c>
      <c r="V70" s="43" t="s">
        <v>2813</v>
      </c>
      <c r="W70" s="43" t="s">
        <v>2813</v>
      </c>
      <c r="X70" s="37"/>
      <c r="Y70" s="104">
        <f>(SUM(S70,U70,W70)-MIN(S70,U70,W70))/2</f>
        <v>32.602023608768967</v>
      </c>
      <c r="Z70" s="37"/>
    </row>
    <row r="71" spans="1:26" ht="15.75" customHeight="1">
      <c r="A71" s="42" t="s">
        <v>489</v>
      </c>
      <c r="B71" s="42" t="s">
        <v>488</v>
      </c>
      <c r="C71" s="43" t="s">
        <v>2813</v>
      </c>
      <c r="D71" s="43" t="s">
        <v>2813</v>
      </c>
      <c r="E71" s="43" t="s">
        <v>2813</v>
      </c>
      <c r="F71" s="43" t="s">
        <v>2813</v>
      </c>
      <c r="G71" s="43" t="s">
        <v>2813</v>
      </c>
      <c r="H71" s="43" t="s">
        <v>2813</v>
      </c>
      <c r="I71" s="43" t="s">
        <v>2813</v>
      </c>
      <c r="J71" s="43" t="s">
        <v>2813</v>
      </c>
      <c r="K71" s="43" t="s">
        <v>2813</v>
      </c>
      <c r="L71" s="43" t="s">
        <v>2813</v>
      </c>
      <c r="M71" s="43" t="s">
        <v>2813</v>
      </c>
      <c r="N71" s="43" t="s">
        <v>2813</v>
      </c>
      <c r="O71" s="43" t="s">
        <v>2813</v>
      </c>
      <c r="P71" s="43" t="s">
        <v>2813</v>
      </c>
      <c r="Q71" s="43" t="s">
        <v>2813</v>
      </c>
      <c r="R71" s="43" t="s">
        <v>2813</v>
      </c>
      <c r="S71" s="43" t="s">
        <v>2813</v>
      </c>
      <c r="T71" s="43" t="s">
        <v>2813</v>
      </c>
      <c r="U71" s="43" t="s">
        <v>2813</v>
      </c>
      <c r="V71" s="43" t="s">
        <v>2813</v>
      </c>
      <c r="W71" s="43" t="s">
        <v>2813</v>
      </c>
      <c r="X71" s="37"/>
      <c r="Y71" s="104"/>
      <c r="Z71" s="37"/>
    </row>
    <row r="72" spans="1:26" ht="15.75" customHeight="1">
      <c r="A72" s="1" t="s">
        <v>535</v>
      </c>
      <c r="B72" s="4" t="s">
        <v>534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1"/>
      <c r="Y72" s="95"/>
    </row>
    <row r="73" spans="1:26" ht="15.75" customHeight="1">
      <c r="A73" s="1" t="s">
        <v>666</v>
      </c>
      <c r="B73" s="1" t="s">
        <v>665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1"/>
      <c r="Y73" s="95"/>
    </row>
    <row r="74" spans="1:26" ht="15.75" customHeight="1">
      <c r="A74" s="1" t="s">
        <v>603</v>
      </c>
      <c r="B74" s="4" t="s">
        <v>589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1"/>
      <c r="Y74" s="95"/>
    </row>
    <row r="75" spans="1:26" ht="15.75" customHeight="1">
      <c r="A75" s="1" t="s">
        <v>24</v>
      </c>
      <c r="B75" s="4" t="s">
        <v>23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1"/>
      <c r="Y75" s="95"/>
    </row>
    <row r="76" spans="1:26" ht="15.75" customHeight="1">
      <c r="A76" s="1"/>
      <c r="B76" s="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1"/>
      <c r="Y76" s="95"/>
    </row>
    <row r="77" spans="1:26" ht="15.75" customHeight="1">
      <c r="A77" s="1"/>
      <c r="B77" s="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1"/>
      <c r="Y77" s="95"/>
    </row>
    <row r="78" spans="1:26" ht="15.75" customHeight="1">
      <c r="A78" s="1"/>
      <c r="B78" s="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1"/>
      <c r="Y78" s="95"/>
    </row>
    <row r="79" spans="1:26" ht="15.75" customHeight="1">
      <c r="A79" s="1"/>
      <c r="B79" s="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1"/>
      <c r="Y79" s="95"/>
    </row>
    <row r="80" spans="1:26" ht="15.75" customHeight="1">
      <c r="A80" s="1"/>
      <c r="B80" s="1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1"/>
      <c r="Y80" s="44"/>
    </row>
    <row r="81" spans="1:26" ht="15.75" customHeight="1">
      <c r="A81" s="1"/>
      <c r="B81" s="1"/>
      <c r="C81" s="5"/>
      <c r="D81" s="5"/>
      <c r="E81" s="5"/>
      <c r="F81" s="5"/>
      <c r="G81" s="44"/>
      <c r="H81" s="5"/>
      <c r="I81" s="44"/>
      <c r="J81" s="44"/>
      <c r="K81" s="44"/>
      <c r="L81" s="5"/>
      <c r="M81" s="5"/>
      <c r="N81" s="5"/>
      <c r="O81" s="5"/>
      <c r="P81" s="44"/>
      <c r="Q81" s="44"/>
      <c r="R81" s="44"/>
      <c r="S81" s="44"/>
      <c r="T81" s="44"/>
      <c r="U81" s="44"/>
      <c r="V81" s="5"/>
      <c r="W81" s="5"/>
      <c r="X81" s="1"/>
      <c r="Y81" s="44"/>
    </row>
    <row r="82" spans="1:26" ht="15.75" customHeight="1">
      <c r="C82" s="5"/>
      <c r="D82" s="5"/>
      <c r="E82" s="5"/>
      <c r="F82" s="5"/>
      <c r="G82" s="44"/>
      <c r="H82" s="5"/>
      <c r="I82" s="44"/>
      <c r="J82" s="44"/>
      <c r="K82" s="44"/>
      <c r="L82" s="5"/>
      <c r="M82" s="5"/>
      <c r="N82" s="5"/>
      <c r="O82" s="5"/>
      <c r="P82" s="44"/>
      <c r="Q82" s="44"/>
      <c r="R82" s="44"/>
      <c r="S82" s="44"/>
      <c r="T82" s="44"/>
      <c r="U82" s="44"/>
      <c r="V82" s="5"/>
      <c r="W82" s="5"/>
      <c r="Y82" s="44"/>
    </row>
    <row r="83" spans="1:26" ht="15.75" customHeight="1">
      <c r="C83" s="5"/>
      <c r="D83" s="5"/>
      <c r="E83" s="5"/>
      <c r="F83" s="5"/>
      <c r="G83" s="44"/>
      <c r="H83" s="5"/>
      <c r="I83" s="44"/>
      <c r="J83" s="44"/>
      <c r="K83" s="44"/>
      <c r="L83" s="5"/>
      <c r="M83" s="5"/>
      <c r="N83" s="5"/>
      <c r="O83" s="5"/>
      <c r="P83" s="44"/>
      <c r="Q83" s="44"/>
      <c r="R83" s="44"/>
      <c r="S83" s="44"/>
      <c r="T83" s="44"/>
      <c r="U83" s="44"/>
      <c r="V83" s="5"/>
      <c r="W83" s="5"/>
      <c r="Y83" s="44"/>
    </row>
    <row r="84" spans="1:26" ht="15.75" customHeight="1">
      <c r="A84" s="42" t="s">
        <v>385</v>
      </c>
      <c r="B84" s="37" t="s">
        <v>384</v>
      </c>
      <c r="C84" s="100">
        <v>2930</v>
      </c>
      <c r="D84" s="43" t="s">
        <v>377</v>
      </c>
      <c r="E84" s="37"/>
      <c r="F84" s="37"/>
      <c r="G84" s="37"/>
      <c r="H84" s="37"/>
      <c r="I84" s="37"/>
      <c r="J84" s="46"/>
      <c r="K84" s="44"/>
      <c r="L84" s="5"/>
      <c r="M84" s="5"/>
      <c r="N84" s="5"/>
      <c r="O84" s="5"/>
      <c r="P84" s="44"/>
      <c r="Q84" s="44"/>
      <c r="R84" s="44"/>
      <c r="S84" s="44"/>
      <c r="T84" s="44"/>
      <c r="U84" s="44"/>
      <c r="V84" s="5"/>
      <c r="W84" s="5"/>
      <c r="X84" s="1"/>
      <c r="Y84" s="44"/>
    </row>
    <row r="85" spans="1:26" ht="15.75" customHeight="1">
      <c r="A85" s="42" t="s">
        <v>392</v>
      </c>
      <c r="B85" s="37" t="s">
        <v>391</v>
      </c>
      <c r="C85" s="43" t="s">
        <v>2813</v>
      </c>
      <c r="D85" s="37"/>
      <c r="E85" s="37"/>
      <c r="F85" s="37"/>
      <c r="G85" s="37"/>
      <c r="H85" s="37"/>
      <c r="I85" s="37"/>
      <c r="J85" s="46"/>
      <c r="K85" s="44"/>
      <c r="L85" s="5"/>
      <c r="M85" s="5"/>
      <c r="N85" s="5"/>
      <c r="O85" s="5"/>
      <c r="P85" s="44"/>
      <c r="Q85" s="44"/>
      <c r="R85" s="44"/>
      <c r="S85" s="44"/>
      <c r="T85" s="44"/>
      <c r="U85" s="44"/>
      <c r="V85" s="5"/>
      <c r="W85" s="5"/>
      <c r="X85" s="1"/>
      <c r="Y85" s="44"/>
    </row>
    <row r="86" spans="1:26" ht="15.75" customHeight="1">
      <c r="A86" s="42" t="s">
        <v>389</v>
      </c>
      <c r="B86" s="42" t="s">
        <v>388</v>
      </c>
      <c r="C86" s="43" t="s">
        <v>2813</v>
      </c>
      <c r="D86" s="37"/>
      <c r="E86" s="37"/>
      <c r="F86" s="37"/>
      <c r="G86" s="37"/>
      <c r="H86" s="37"/>
      <c r="I86" s="37"/>
      <c r="J86" s="46"/>
      <c r="K86" s="44"/>
      <c r="L86" s="5"/>
      <c r="M86" s="5"/>
      <c r="N86" s="5"/>
      <c r="O86" s="5"/>
      <c r="P86" s="44"/>
      <c r="Q86" s="44"/>
      <c r="R86" s="44"/>
      <c r="S86" s="44"/>
      <c r="T86" s="44"/>
      <c r="U86" s="44"/>
      <c r="V86" s="5"/>
      <c r="W86" s="5"/>
      <c r="X86" s="1"/>
      <c r="Y86" s="44"/>
    </row>
    <row r="87" spans="1:26" ht="15.75" customHeight="1">
      <c r="A87" s="42" t="s">
        <v>383</v>
      </c>
      <c r="B87" s="37" t="s">
        <v>382</v>
      </c>
      <c r="C87" s="43" t="s">
        <v>2813</v>
      </c>
      <c r="D87" s="37"/>
      <c r="E87" s="37"/>
      <c r="F87" s="37"/>
      <c r="G87" s="37"/>
      <c r="H87" s="37"/>
      <c r="I87" s="37"/>
      <c r="J87" s="46"/>
      <c r="K87" s="44"/>
      <c r="L87" s="5"/>
      <c r="M87" s="5"/>
      <c r="N87" s="5"/>
      <c r="O87" s="5"/>
      <c r="P87" s="44"/>
      <c r="Q87" s="44"/>
      <c r="R87" s="44"/>
      <c r="S87" s="44"/>
      <c r="T87" s="44"/>
      <c r="U87" s="44"/>
      <c r="V87" s="5"/>
      <c r="W87" s="5"/>
      <c r="X87" s="1"/>
      <c r="Y87" s="44"/>
    </row>
    <row r="88" spans="1:26" ht="15.75" customHeight="1">
      <c r="A88" s="42" t="s">
        <v>396</v>
      </c>
      <c r="B88" s="42" t="s">
        <v>395</v>
      </c>
      <c r="C88" s="43" t="s">
        <v>2813</v>
      </c>
      <c r="D88" s="110">
        <v>926</v>
      </c>
      <c r="E88" s="37"/>
      <c r="F88" s="37"/>
      <c r="G88" s="37"/>
      <c r="H88" s="37"/>
      <c r="I88" s="37"/>
      <c r="J88" s="46"/>
      <c r="K88" s="44"/>
      <c r="L88" s="5"/>
      <c r="M88" s="5"/>
      <c r="N88" s="5"/>
      <c r="O88" s="5"/>
      <c r="P88" s="44"/>
      <c r="Q88" s="44"/>
      <c r="R88" s="44"/>
      <c r="S88" s="44"/>
      <c r="T88" s="44"/>
      <c r="U88" s="44"/>
      <c r="V88" s="5"/>
      <c r="W88" s="5"/>
      <c r="X88" s="1"/>
      <c r="Y88" s="44"/>
    </row>
    <row r="89" spans="1:26" ht="15.75" customHeight="1">
      <c r="A89" s="42" t="s">
        <v>398</v>
      </c>
      <c r="B89" s="37" t="s">
        <v>397</v>
      </c>
      <c r="C89" s="43" t="s">
        <v>2813</v>
      </c>
      <c r="D89" s="43" t="s">
        <v>2813</v>
      </c>
      <c r="E89" s="43" t="s">
        <v>377</v>
      </c>
      <c r="F89" s="37"/>
      <c r="G89" s="37"/>
      <c r="H89" s="37"/>
      <c r="I89" s="37"/>
      <c r="J89" s="46"/>
      <c r="K89" s="44"/>
      <c r="L89" s="5"/>
      <c r="M89" s="5"/>
      <c r="N89" s="5"/>
      <c r="O89" s="5"/>
      <c r="P89" s="44"/>
      <c r="Q89" s="44"/>
      <c r="R89" s="44"/>
      <c r="S89" s="44"/>
      <c r="T89" s="44"/>
      <c r="U89" s="44"/>
      <c r="V89" s="5"/>
      <c r="W89" s="5"/>
      <c r="X89" s="1"/>
      <c r="Y89" s="44"/>
    </row>
    <row r="90" spans="1:26" ht="15.75" customHeight="1">
      <c r="A90" s="42" t="s">
        <v>400</v>
      </c>
      <c r="B90" s="37" t="s">
        <v>399</v>
      </c>
      <c r="C90" s="43" t="s">
        <v>2813</v>
      </c>
      <c r="D90" s="43" t="s">
        <v>2813</v>
      </c>
      <c r="E90" s="43" t="s">
        <v>377</v>
      </c>
      <c r="F90" s="37"/>
      <c r="G90" s="37"/>
      <c r="H90" s="37"/>
      <c r="I90" s="37"/>
      <c r="J90" s="46"/>
      <c r="K90" s="44"/>
      <c r="L90" s="5"/>
      <c r="M90" s="5"/>
      <c r="N90" s="5"/>
      <c r="O90" s="5"/>
      <c r="P90" s="44"/>
      <c r="Q90" s="44"/>
      <c r="R90" s="44"/>
      <c r="S90" s="44"/>
      <c r="T90" s="44"/>
      <c r="U90" s="44"/>
      <c r="V90" s="5"/>
      <c r="W90" s="5"/>
      <c r="X90" s="1"/>
      <c r="Y90" s="44"/>
    </row>
    <row r="91" spans="1:26" ht="15.75" customHeight="1">
      <c r="A91" s="42" t="s">
        <v>404</v>
      </c>
      <c r="B91" s="42" t="s">
        <v>403</v>
      </c>
      <c r="C91" s="43" t="s">
        <v>377</v>
      </c>
      <c r="D91" s="101">
        <v>2040</v>
      </c>
      <c r="E91" s="43" t="s">
        <v>377</v>
      </c>
      <c r="F91" s="37"/>
      <c r="G91" s="37"/>
      <c r="H91" s="37"/>
      <c r="I91" s="37"/>
      <c r="J91" s="46"/>
      <c r="K91" s="44"/>
      <c r="L91" s="5"/>
      <c r="M91" s="5"/>
      <c r="N91" s="5"/>
      <c r="O91" s="5"/>
      <c r="P91" s="44"/>
      <c r="Q91" s="44"/>
      <c r="R91" s="44"/>
      <c r="S91" s="44"/>
      <c r="T91" s="44"/>
      <c r="U91" s="44"/>
      <c r="V91" s="5"/>
      <c r="W91" s="5"/>
      <c r="X91" s="1"/>
      <c r="Y91" s="44"/>
    </row>
    <row r="92" spans="1:26" ht="15.75" customHeight="1">
      <c r="A92" s="42" t="s">
        <v>410</v>
      </c>
      <c r="B92" s="42" t="s">
        <v>409</v>
      </c>
      <c r="C92" s="43" t="s">
        <v>2813</v>
      </c>
      <c r="D92" s="43" t="s">
        <v>2813</v>
      </c>
      <c r="E92" s="43" t="s">
        <v>2813</v>
      </c>
      <c r="F92" s="43" t="s">
        <v>377</v>
      </c>
      <c r="G92" s="45" t="s">
        <v>377</v>
      </c>
      <c r="H92" s="48"/>
      <c r="I92" s="46"/>
      <c r="J92" s="46"/>
      <c r="K92" s="46"/>
      <c r="L92" s="48"/>
      <c r="M92" s="48"/>
      <c r="N92" s="48"/>
      <c r="O92" s="48"/>
      <c r="P92" s="46"/>
      <c r="Q92" s="46"/>
      <c r="R92" s="46"/>
      <c r="S92" s="46"/>
      <c r="T92" s="46"/>
      <c r="U92" s="46"/>
      <c r="V92" s="48"/>
      <c r="W92" s="97"/>
      <c r="X92" s="37"/>
      <c r="Y92" s="46"/>
      <c r="Z92" s="37"/>
    </row>
    <row r="93" spans="1:26" ht="15.75" customHeight="1">
      <c r="A93" s="42" t="s">
        <v>415</v>
      </c>
      <c r="B93" s="42" t="s">
        <v>2826</v>
      </c>
      <c r="C93" s="43" t="s">
        <v>2813</v>
      </c>
      <c r="D93" s="43" t="s">
        <v>2813</v>
      </c>
      <c r="E93" s="43" t="s">
        <v>2813</v>
      </c>
      <c r="F93" s="43" t="s">
        <v>2813</v>
      </c>
      <c r="G93" s="102">
        <v>1177</v>
      </c>
      <c r="H93" s="37"/>
      <c r="I93" s="37"/>
      <c r="J93" s="46"/>
      <c r="K93" s="44"/>
      <c r="L93" s="5"/>
      <c r="M93" s="5"/>
      <c r="N93" s="5"/>
      <c r="O93" s="5"/>
      <c r="P93" s="44"/>
      <c r="Q93" s="44"/>
      <c r="R93" s="44"/>
      <c r="S93" s="44"/>
      <c r="T93" s="44"/>
      <c r="U93" s="44"/>
      <c r="V93" s="5"/>
      <c r="W93" s="5"/>
      <c r="X93" s="1"/>
      <c r="Y93" s="44"/>
    </row>
    <row r="94" spans="1:26" ht="15.75" customHeight="1">
      <c r="A94" s="42" t="s">
        <v>413</v>
      </c>
      <c r="B94" s="37" t="s">
        <v>2827</v>
      </c>
      <c r="C94" s="43" t="s">
        <v>2813</v>
      </c>
      <c r="D94" s="43" t="s">
        <v>377</v>
      </c>
      <c r="E94" s="43" t="s">
        <v>377</v>
      </c>
      <c r="F94" s="102">
        <v>1245</v>
      </c>
      <c r="G94" s="101">
        <v>1760</v>
      </c>
      <c r="H94" s="37"/>
      <c r="I94" s="37"/>
      <c r="J94" s="46"/>
      <c r="K94" s="44"/>
      <c r="L94" s="5"/>
      <c r="M94" s="5"/>
      <c r="N94" s="5"/>
      <c r="O94" s="5"/>
      <c r="P94" s="44"/>
      <c r="Q94" s="44"/>
      <c r="R94" s="44"/>
      <c r="S94" s="44"/>
      <c r="T94" s="44"/>
      <c r="U94" s="44"/>
      <c r="V94" s="5"/>
      <c r="W94" s="5"/>
      <c r="X94" s="1"/>
      <c r="Y94" s="44"/>
    </row>
    <row r="95" spans="1:26" ht="15.75" customHeight="1">
      <c r="A95" s="42" t="s">
        <v>417</v>
      </c>
      <c r="B95" s="37" t="s">
        <v>416</v>
      </c>
      <c r="C95" s="43" t="s">
        <v>2813</v>
      </c>
      <c r="D95" s="43" t="s">
        <v>2813</v>
      </c>
      <c r="E95" s="43" t="s">
        <v>2813</v>
      </c>
      <c r="F95" s="43" t="s">
        <v>2813</v>
      </c>
      <c r="G95" s="103">
        <v>152</v>
      </c>
      <c r="H95" s="37"/>
      <c r="I95" s="37"/>
      <c r="J95" s="46"/>
      <c r="K95" s="44"/>
      <c r="L95" s="5"/>
      <c r="M95" s="5"/>
      <c r="N95" s="5"/>
      <c r="O95" s="5"/>
      <c r="P95" s="44"/>
      <c r="Q95" s="44"/>
      <c r="R95" s="44"/>
      <c r="S95" s="44"/>
      <c r="T95" s="44"/>
      <c r="U95" s="44"/>
      <c r="V95" s="5"/>
      <c r="W95" s="5"/>
      <c r="X95" s="1"/>
      <c r="Y95" s="44"/>
    </row>
    <row r="96" spans="1:26" ht="15.75" customHeight="1">
      <c r="A96" s="42" t="s">
        <v>419</v>
      </c>
      <c r="B96" s="42" t="s">
        <v>418</v>
      </c>
      <c r="C96" s="43" t="s">
        <v>2813</v>
      </c>
      <c r="D96" s="43" t="s">
        <v>2813</v>
      </c>
      <c r="E96" s="43" t="s">
        <v>2813</v>
      </c>
      <c r="F96" s="43" t="s">
        <v>377</v>
      </c>
      <c r="G96" s="45" t="s">
        <v>377</v>
      </c>
      <c r="H96" s="37"/>
      <c r="I96" s="37"/>
      <c r="J96" s="46"/>
      <c r="K96" s="44"/>
      <c r="L96" s="5"/>
      <c r="M96" s="5"/>
      <c r="N96" s="5"/>
      <c r="O96" s="5"/>
      <c r="P96" s="44"/>
      <c r="Q96" s="44"/>
      <c r="R96" s="44"/>
      <c r="S96" s="44"/>
      <c r="T96" s="44"/>
      <c r="U96" s="44"/>
      <c r="V96" s="5"/>
      <c r="W96" s="5"/>
      <c r="X96" s="1"/>
      <c r="Y96" s="44"/>
    </row>
    <row r="97" spans="1:26" ht="15.75" customHeight="1">
      <c r="A97" s="42" t="s">
        <v>421</v>
      </c>
      <c r="B97" s="37" t="s">
        <v>420</v>
      </c>
      <c r="C97" s="43" t="s">
        <v>2813</v>
      </c>
      <c r="D97" s="43" t="s">
        <v>2813</v>
      </c>
      <c r="E97" s="101">
        <v>2225</v>
      </c>
      <c r="F97" s="43" t="s">
        <v>377</v>
      </c>
      <c r="G97" s="101">
        <v>1848</v>
      </c>
      <c r="H97" s="48"/>
      <c r="I97" s="46"/>
      <c r="J97" s="46"/>
      <c r="K97" s="46"/>
      <c r="L97" s="48"/>
      <c r="M97" s="48"/>
      <c r="N97" s="48"/>
      <c r="O97" s="48"/>
      <c r="P97" s="46"/>
      <c r="Q97" s="46"/>
      <c r="R97" s="46"/>
      <c r="S97" s="46"/>
      <c r="T97" s="46"/>
      <c r="U97" s="46"/>
      <c r="V97" s="48"/>
      <c r="W97" s="97"/>
      <c r="X97" s="37"/>
      <c r="Y97" s="46"/>
      <c r="Z97" s="37"/>
    </row>
    <row r="98" spans="1:26" ht="15.75" customHeight="1">
      <c r="A98" s="42" t="s">
        <v>423</v>
      </c>
      <c r="B98" s="37" t="s">
        <v>422</v>
      </c>
      <c r="C98" s="43" t="s">
        <v>2813</v>
      </c>
      <c r="D98" s="43" t="s">
        <v>2813</v>
      </c>
      <c r="E98" s="43" t="s">
        <v>2813</v>
      </c>
      <c r="F98" s="43" t="s">
        <v>377</v>
      </c>
      <c r="G98" s="45" t="s">
        <v>377</v>
      </c>
      <c r="H98" s="43" t="s">
        <v>377</v>
      </c>
      <c r="I98" s="37"/>
      <c r="J98" s="46"/>
      <c r="K98" s="44"/>
      <c r="L98" s="5"/>
      <c r="M98" s="5"/>
      <c r="N98" s="5"/>
      <c r="O98" s="5"/>
      <c r="P98" s="44"/>
      <c r="Q98" s="44"/>
      <c r="R98" s="44"/>
      <c r="S98" s="44"/>
      <c r="T98" s="44"/>
      <c r="U98" s="44"/>
      <c r="V98" s="5"/>
      <c r="W98" s="5"/>
      <c r="X98" s="1"/>
      <c r="Y98" s="44"/>
    </row>
    <row r="99" spans="1:26" ht="15.75" customHeight="1">
      <c r="A99" s="42" t="s">
        <v>429</v>
      </c>
      <c r="B99" s="37" t="s">
        <v>428</v>
      </c>
      <c r="C99" s="43" t="s">
        <v>2813</v>
      </c>
      <c r="D99" s="110">
        <v>1608</v>
      </c>
      <c r="E99" s="101">
        <v>1465</v>
      </c>
      <c r="F99" s="101">
        <v>1891</v>
      </c>
      <c r="G99" s="102">
        <v>630</v>
      </c>
      <c r="H99" s="43" t="s">
        <v>377</v>
      </c>
      <c r="I99" s="45" t="s">
        <v>377</v>
      </c>
      <c r="J99" s="46"/>
      <c r="K99" s="46"/>
      <c r="L99" s="48"/>
      <c r="M99" s="48"/>
      <c r="N99" s="48"/>
      <c r="O99" s="48"/>
      <c r="P99" s="46"/>
      <c r="Q99" s="46"/>
      <c r="R99" s="46"/>
      <c r="S99" s="46"/>
      <c r="T99" s="46"/>
      <c r="U99" s="46"/>
      <c r="V99" s="48"/>
      <c r="W99" s="97"/>
      <c r="X99" s="37"/>
      <c r="Y99" s="46"/>
      <c r="Z99" s="37"/>
    </row>
    <row r="100" spans="1:26" ht="15.75" customHeight="1">
      <c r="A100" s="42" t="s">
        <v>433</v>
      </c>
      <c r="B100" s="42" t="s">
        <v>2828</v>
      </c>
      <c r="C100" s="100">
        <v>2328</v>
      </c>
      <c r="D100" s="110">
        <v>1507</v>
      </c>
      <c r="E100" s="101">
        <v>2525</v>
      </c>
      <c r="F100" s="101">
        <v>1651</v>
      </c>
      <c r="G100" s="102">
        <v>1288</v>
      </c>
      <c r="H100" s="102">
        <v>1539</v>
      </c>
      <c r="I100" s="45" t="s">
        <v>377</v>
      </c>
      <c r="J100" s="46"/>
      <c r="K100" s="44"/>
      <c r="L100" s="5"/>
      <c r="M100" s="5"/>
      <c r="N100" s="5"/>
      <c r="O100" s="5"/>
      <c r="P100" s="44"/>
      <c r="Q100" s="44"/>
      <c r="R100" s="44"/>
      <c r="S100" s="44"/>
      <c r="T100" s="44"/>
      <c r="U100" s="44"/>
      <c r="V100" s="5"/>
      <c r="W100" s="5"/>
      <c r="X100" s="1"/>
      <c r="Y100" s="44"/>
    </row>
    <row r="101" spans="1:26" ht="15.75" customHeight="1">
      <c r="A101" s="42" t="s">
        <v>431</v>
      </c>
      <c r="B101" s="42" t="s">
        <v>430</v>
      </c>
      <c r="C101" s="43" t="s">
        <v>2813</v>
      </c>
      <c r="D101" s="43" t="s">
        <v>377</v>
      </c>
      <c r="E101" s="101">
        <v>1282</v>
      </c>
      <c r="F101" s="102">
        <v>1511</v>
      </c>
      <c r="G101" s="45" t="s">
        <v>377</v>
      </c>
      <c r="H101" s="103">
        <v>785</v>
      </c>
      <c r="I101" s="45" t="s">
        <v>377</v>
      </c>
      <c r="J101" s="46"/>
      <c r="K101" s="44"/>
      <c r="L101" s="5"/>
      <c r="M101" s="5"/>
      <c r="N101" s="5"/>
      <c r="O101" s="5"/>
      <c r="P101" s="44"/>
      <c r="Q101" s="44"/>
      <c r="R101" s="44"/>
      <c r="S101" s="44"/>
      <c r="T101" s="44"/>
      <c r="U101" s="44"/>
      <c r="V101" s="5"/>
      <c r="W101" s="5"/>
      <c r="X101" s="1"/>
      <c r="Y101" s="44"/>
    </row>
    <row r="102" spans="1:26" ht="15.75" customHeight="1">
      <c r="A102" s="42" t="s">
        <v>435</v>
      </c>
      <c r="B102" s="37" t="s">
        <v>434</v>
      </c>
      <c r="C102" s="43" t="s">
        <v>2813</v>
      </c>
      <c r="D102" s="43" t="s">
        <v>2813</v>
      </c>
      <c r="E102" s="101">
        <v>2184</v>
      </c>
      <c r="F102" s="43" t="s">
        <v>377</v>
      </c>
      <c r="G102" s="101">
        <v>1916</v>
      </c>
      <c r="H102" s="43" t="s">
        <v>377</v>
      </c>
      <c r="I102" s="45" t="s">
        <v>377</v>
      </c>
      <c r="J102" s="101">
        <v>2532</v>
      </c>
      <c r="K102" s="44"/>
      <c r="L102" s="5"/>
      <c r="M102" s="5"/>
      <c r="N102" s="5"/>
      <c r="O102" s="5"/>
      <c r="P102" s="44"/>
      <c r="Q102" s="44"/>
      <c r="R102" s="44"/>
      <c r="S102" s="44"/>
      <c r="T102" s="44"/>
      <c r="U102" s="44"/>
      <c r="V102" s="5"/>
      <c r="W102" s="5"/>
      <c r="X102" s="1"/>
      <c r="Y102" s="44"/>
    </row>
    <row r="103" spans="1:26" ht="15.75" customHeight="1">
      <c r="A103" s="42" t="s">
        <v>438</v>
      </c>
      <c r="B103" s="42" t="s">
        <v>437</v>
      </c>
      <c r="C103" s="43" t="s">
        <v>2813</v>
      </c>
      <c r="D103" s="43" t="s">
        <v>2813</v>
      </c>
      <c r="E103" s="101">
        <v>2456</v>
      </c>
      <c r="F103" s="101">
        <v>1710</v>
      </c>
      <c r="G103" s="101">
        <v>2278</v>
      </c>
      <c r="H103" s="102">
        <v>1864</v>
      </c>
      <c r="I103" s="102">
        <v>1182</v>
      </c>
      <c r="J103" s="101">
        <v>2148</v>
      </c>
      <c r="K103" s="45" t="s">
        <v>377</v>
      </c>
      <c r="L103" s="48"/>
      <c r="M103" s="48"/>
      <c r="N103" s="48"/>
      <c r="O103" s="48"/>
      <c r="P103" s="46"/>
      <c r="Q103" s="46"/>
      <c r="R103" s="46"/>
      <c r="S103" s="46"/>
      <c r="T103" s="46"/>
      <c r="U103" s="46"/>
      <c r="V103" s="48"/>
      <c r="W103" s="97"/>
      <c r="X103" s="37"/>
      <c r="Y103" s="46"/>
      <c r="Z103" s="37"/>
    </row>
    <row r="104" spans="1:26" ht="15.75" customHeight="1">
      <c r="A104" s="42" t="s">
        <v>440</v>
      </c>
      <c r="B104" s="42" t="s">
        <v>439</v>
      </c>
      <c r="C104" s="43" t="s">
        <v>2813</v>
      </c>
      <c r="D104" s="43" t="s">
        <v>2813</v>
      </c>
      <c r="E104" s="101">
        <v>1610</v>
      </c>
      <c r="F104" s="101">
        <v>2037</v>
      </c>
      <c r="G104" s="101">
        <v>1789</v>
      </c>
      <c r="H104" s="43" t="s">
        <v>377</v>
      </c>
      <c r="I104" s="101">
        <v>2309</v>
      </c>
      <c r="J104" s="43" t="s">
        <v>377</v>
      </c>
      <c r="K104" s="45" t="s">
        <v>377</v>
      </c>
      <c r="L104" s="48"/>
      <c r="M104" s="5"/>
      <c r="N104" s="5"/>
      <c r="O104" s="41"/>
      <c r="P104" s="44"/>
      <c r="Q104" s="44"/>
      <c r="R104" s="44"/>
      <c r="S104" s="44"/>
      <c r="T104" s="44"/>
      <c r="U104" s="44"/>
      <c r="V104" s="5"/>
      <c r="W104" s="5"/>
      <c r="X104" s="1"/>
      <c r="Y104" s="44"/>
    </row>
    <row r="105" spans="1:26" ht="15.75" customHeight="1">
      <c r="A105" s="42" t="s">
        <v>444</v>
      </c>
      <c r="B105" s="37" t="s">
        <v>443</v>
      </c>
      <c r="C105" s="43" t="s">
        <v>2813</v>
      </c>
      <c r="D105" s="43" t="s">
        <v>2813</v>
      </c>
      <c r="E105" s="43" t="s">
        <v>2813</v>
      </c>
      <c r="F105" s="43" t="s">
        <v>2813</v>
      </c>
      <c r="G105" s="43" t="s">
        <v>2813</v>
      </c>
      <c r="H105" s="43" t="s">
        <v>2813</v>
      </c>
      <c r="I105" s="43" t="s">
        <v>2813</v>
      </c>
      <c r="J105" s="102">
        <v>1545</v>
      </c>
      <c r="K105" s="102">
        <v>792</v>
      </c>
      <c r="L105" s="103">
        <v>488</v>
      </c>
      <c r="M105" s="5"/>
      <c r="N105" s="5"/>
      <c r="O105" s="94"/>
      <c r="P105" s="44"/>
      <c r="Q105" s="44"/>
      <c r="R105" s="44"/>
      <c r="S105" s="44"/>
      <c r="T105" s="44"/>
      <c r="U105" s="44"/>
      <c r="V105" s="5"/>
      <c r="W105" s="5"/>
      <c r="X105" s="1"/>
      <c r="Y105" s="44"/>
    </row>
    <row r="106" spans="1:26" ht="15.75" customHeight="1">
      <c r="A106" s="42" t="s">
        <v>442</v>
      </c>
      <c r="B106" s="42" t="s">
        <v>2829</v>
      </c>
      <c r="C106" s="43" t="s">
        <v>2813</v>
      </c>
      <c r="D106" s="43" t="s">
        <v>2813</v>
      </c>
      <c r="E106" s="43" t="s">
        <v>2813</v>
      </c>
      <c r="F106" s="43" t="s">
        <v>2813</v>
      </c>
      <c r="G106" s="43" t="s">
        <v>2813</v>
      </c>
      <c r="H106" s="43" t="s">
        <v>2813</v>
      </c>
      <c r="I106" s="43" t="s">
        <v>2813</v>
      </c>
      <c r="J106" s="43" t="s">
        <v>2813</v>
      </c>
      <c r="K106" s="45" t="s">
        <v>377</v>
      </c>
      <c r="L106" s="43" t="s">
        <v>377</v>
      </c>
      <c r="M106" s="5"/>
      <c r="N106" s="5"/>
      <c r="O106" s="94"/>
      <c r="P106" s="44"/>
      <c r="Q106" s="44"/>
      <c r="R106" s="44"/>
      <c r="S106" s="44"/>
      <c r="T106" s="44"/>
      <c r="U106" s="44"/>
      <c r="V106" s="5"/>
      <c r="W106" s="5"/>
      <c r="X106" s="1"/>
      <c r="Y106" s="44"/>
    </row>
    <row r="107" spans="1:26" ht="15.75" customHeight="1">
      <c r="A107" s="42" t="s">
        <v>449</v>
      </c>
      <c r="B107" s="42" t="s">
        <v>448</v>
      </c>
      <c r="C107" s="43" t="s">
        <v>377</v>
      </c>
      <c r="D107" s="110">
        <v>1195</v>
      </c>
      <c r="E107" s="43" t="s">
        <v>377</v>
      </c>
      <c r="F107" s="103">
        <v>976</v>
      </c>
      <c r="G107" s="101">
        <v>1880</v>
      </c>
      <c r="H107" s="103">
        <v>847</v>
      </c>
      <c r="I107" s="101">
        <v>2090</v>
      </c>
      <c r="J107" s="102">
        <v>1546</v>
      </c>
      <c r="K107" s="101">
        <v>1669</v>
      </c>
      <c r="L107" s="43" t="s">
        <v>377</v>
      </c>
      <c r="M107" s="5"/>
      <c r="N107" s="5"/>
      <c r="O107" s="94"/>
      <c r="P107" s="44"/>
      <c r="Q107" s="44"/>
      <c r="R107" s="44"/>
      <c r="S107" s="44"/>
      <c r="T107" s="44"/>
      <c r="U107" s="44"/>
      <c r="V107" s="5"/>
      <c r="W107" s="5"/>
      <c r="X107" s="1"/>
      <c r="Y107" s="44"/>
    </row>
    <row r="108" spans="1:26" ht="15.75" customHeight="1">
      <c r="A108" s="42" t="s">
        <v>402</v>
      </c>
      <c r="B108" s="37" t="s">
        <v>401</v>
      </c>
      <c r="C108" s="43" t="s">
        <v>2813</v>
      </c>
      <c r="D108" s="43" t="s">
        <v>2813</v>
      </c>
      <c r="E108" s="43" t="s">
        <v>377</v>
      </c>
      <c r="F108" s="43" t="s">
        <v>2813</v>
      </c>
      <c r="G108" s="43" t="s">
        <v>2813</v>
      </c>
      <c r="H108" s="43" t="s">
        <v>2813</v>
      </c>
      <c r="I108" s="43" t="s">
        <v>2813</v>
      </c>
      <c r="J108" s="43" t="s">
        <v>2813</v>
      </c>
      <c r="K108" s="43" t="s">
        <v>2813</v>
      </c>
      <c r="L108" s="43" t="s">
        <v>377</v>
      </c>
      <c r="M108" s="48"/>
      <c r="N108" s="48"/>
      <c r="O108" s="41"/>
      <c r="P108" s="46"/>
      <c r="Q108" s="46"/>
      <c r="R108" s="46"/>
      <c r="S108" s="46"/>
      <c r="T108" s="46"/>
      <c r="U108" s="46"/>
      <c r="V108" s="48"/>
      <c r="W108" s="97"/>
      <c r="X108" s="37"/>
      <c r="Y108" s="46"/>
      <c r="Z108" s="37"/>
    </row>
    <row r="109" spans="1:26" ht="15.75" customHeight="1">
      <c r="A109" s="42" t="s">
        <v>447</v>
      </c>
      <c r="B109" s="37" t="s">
        <v>446</v>
      </c>
      <c r="C109" s="43" t="s">
        <v>2813</v>
      </c>
      <c r="D109" s="43" t="s">
        <v>377</v>
      </c>
      <c r="E109" s="43" t="s">
        <v>377</v>
      </c>
      <c r="F109" s="101">
        <v>1952</v>
      </c>
      <c r="G109" s="45" t="s">
        <v>377</v>
      </c>
      <c r="H109" s="102">
        <v>1755</v>
      </c>
      <c r="I109" s="45" t="s">
        <v>377</v>
      </c>
      <c r="J109" s="43" t="s">
        <v>377</v>
      </c>
      <c r="K109" s="45" t="s">
        <v>377</v>
      </c>
      <c r="L109" s="102">
        <v>1388</v>
      </c>
      <c r="M109" s="5"/>
      <c r="N109" s="5"/>
      <c r="O109" s="94"/>
      <c r="P109" s="44"/>
      <c r="Q109" s="44"/>
      <c r="R109" s="44"/>
      <c r="S109" s="44"/>
      <c r="T109" s="44"/>
      <c r="U109" s="44"/>
      <c r="V109" s="5"/>
      <c r="W109" s="5"/>
      <c r="X109" s="1"/>
      <c r="Y109" s="44"/>
    </row>
    <row r="110" spans="1:26" ht="15.75" customHeight="1">
      <c r="A110" s="42" t="s">
        <v>451</v>
      </c>
      <c r="B110" s="42" t="s">
        <v>450</v>
      </c>
      <c r="C110" s="43" t="s">
        <v>2813</v>
      </c>
      <c r="D110" s="43" t="s">
        <v>2813</v>
      </c>
      <c r="E110" s="43" t="s">
        <v>2813</v>
      </c>
      <c r="F110" s="43" t="s">
        <v>2813</v>
      </c>
      <c r="G110" s="43" t="s">
        <v>2813</v>
      </c>
      <c r="H110" s="43" t="s">
        <v>2813</v>
      </c>
      <c r="I110" s="101">
        <v>2104</v>
      </c>
      <c r="J110" s="101">
        <v>1929</v>
      </c>
      <c r="K110" s="101">
        <v>1160</v>
      </c>
      <c r="L110" s="43" t="s">
        <v>377</v>
      </c>
      <c r="M110" s="43" t="s">
        <v>377</v>
      </c>
      <c r="N110" s="48"/>
      <c r="O110" s="41"/>
      <c r="P110" s="46"/>
      <c r="Q110" s="46"/>
      <c r="R110" s="46"/>
      <c r="S110" s="46"/>
      <c r="T110" s="46"/>
      <c r="U110" s="46"/>
      <c r="V110" s="48"/>
      <c r="W110" s="97"/>
      <c r="X110" s="37"/>
      <c r="Y110" s="46"/>
      <c r="Z110" s="37"/>
    </row>
    <row r="111" spans="1:26" ht="15.75" customHeight="1">
      <c r="A111" s="42" t="s">
        <v>454</v>
      </c>
      <c r="B111" s="37" t="s">
        <v>453</v>
      </c>
      <c r="C111" s="100">
        <v>2518</v>
      </c>
      <c r="D111" s="110">
        <v>1642</v>
      </c>
      <c r="E111" s="101">
        <v>1894</v>
      </c>
      <c r="F111" s="43" t="s">
        <v>377</v>
      </c>
      <c r="G111" s="101">
        <v>2335</v>
      </c>
      <c r="H111" s="43" t="s">
        <v>377</v>
      </c>
      <c r="I111" s="101">
        <v>2179</v>
      </c>
      <c r="J111" s="103">
        <v>371</v>
      </c>
      <c r="K111" s="45" t="s">
        <v>377</v>
      </c>
      <c r="L111" s="101">
        <v>2202</v>
      </c>
      <c r="M111" s="43" t="s">
        <v>377</v>
      </c>
      <c r="N111" s="48"/>
      <c r="O111" s="41"/>
      <c r="P111" s="44"/>
      <c r="Q111" s="44"/>
      <c r="R111" s="44"/>
      <c r="S111" s="44"/>
      <c r="T111" s="44"/>
      <c r="U111" s="44"/>
      <c r="V111" s="5"/>
      <c r="W111" s="5"/>
      <c r="X111" s="1"/>
      <c r="Y111" s="44"/>
    </row>
    <row r="112" spans="1:26" ht="15.75" customHeight="1">
      <c r="A112" s="42" t="s">
        <v>427</v>
      </c>
      <c r="B112" s="37" t="s">
        <v>426</v>
      </c>
      <c r="C112" s="43" t="s">
        <v>2813</v>
      </c>
      <c r="D112" s="43" t="s">
        <v>2813</v>
      </c>
      <c r="E112" s="101">
        <v>1668</v>
      </c>
      <c r="F112" s="101">
        <v>1898</v>
      </c>
      <c r="G112" s="101">
        <v>2390</v>
      </c>
      <c r="H112" s="102">
        <v>1577</v>
      </c>
      <c r="I112" s="45" t="s">
        <v>377</v>
      </c>
      <c r="J112" s="43" t="s">
        <v>2813</v>
      </c>
      <c r="K112" s="102">
        <v>585</v>
      </c>
      <c r="L112" s="102">
        <v>1512</v>
      </c>
      <c r="M112" s="43" t="s">
        <v>377</v>
      </c>
      <c r="N112" s="48"/>
      <c r="O112" s="41"/>
      <c r="P112" s="44"/>
      <c r="Q112" s="44"/>
      <c r="R112" s="44"/>
      <c r="S112" s="44"/>
      <c r="T112" s="44"/>
      <c r="U112" s="44"/>
      <c r="V112" s="5"/>
      <c r="W112" s="5"/>
      <c r="X112" s="1"/>
      <c r="Y112" s="44"/>
    </row>
    <row r="113" spans="1:26" ht="15.75" customHeight="1">
      <c r="A113" s="42" t="s">
        <v>457</v>
      </c>
      <c r="B113" s="37" t="s">
        <v>456</v>
      </c>
      <c r="C113" s="101">
        <v>1737</v>
      </c>
      <c r="D113" s="110">
        <v>1542</v>
      </c>
      <c r="E113" s="101">
        <v>1327</v>
      </c>
      <c r="F113" s="103">
        <v>930</v>
      </c>
      <c r="G113" s="45" t="s">
        <v>377</v>
      </c>
      <c r="H113" s="102">
        <v>1560</v>
      </c>
      <c r="I113" s="101">
        <v>1811</v>
      </c>
      <c r="J113" s="102">
        <v>1623</v>
      </c>
      <c r="K113" s="101">
        <v>1612</v>
      </c>
      <c r="L113" s="102">
        <v>1608</v>
      </c>
      <c r="M113" s="102">
        <v>1989</v>
      </c>
      <c r="N113" s="48"/>
      <c r="O113" s="41"/>
      <c r="P113" s="44"/>
      <c r="Q113" s="44"/>
      <c r="R113" s="44"/>
      <c r="S113" s="44"/>
      <c r="T113" s="44"/>
      <c r="U113" s="44"/>
      <c r="V113" s="5"/>
      <c r="W113" s="5"/>
      <c r="X113" s="1"/>
      <c r="Y113" s="44"/>
      <c r="Z113" s="1"/>
    </row>
    <row r="114" spans="1:26" ht="15.75" customHeight="1">
      <c r="A114" s="42" t="s">
        <v>459</v>
      </c>
      <c r="B114" s="37" t="s">
        <v>458</v>
      </c>
      <c r="C114" s="43" t="s">
        <v>2813</v>
      </c>
      <c r="D114" s="43" t="s">
        <v>2813</v>
      </c>
      <c r="E114" s="43" t="s">
        <v>2813</v>
      </c>
      <c r="F114" s="43" t="s">
        <v>2813</v>
      </c>
      <c r="G114" s="43" t="s">
        <v>2813</v>
      </c>
      <c r="H114" s="103">
        <v>845</v>
      </c>
      <c r="I114" s="45" t="s">
        <v>377</v>
      </c>
      <c r="J114" s="102">
        <v>1635</v>
      </c>
      <c r="K114" s="45" t="s">
        <v>377</v>
      </c>
      <c r="L114" s="103">
        <v>472</v>
      </c>
      <c r="M114" s="103">
        <v>1041</v>
      </c>
      <c r="N114" s="102">
        <v>849</v>
      </c>
      <c r="O114" s="103">
        <v>790</v>
      </c>
      <c r="P114" s="44"/>
      <c r="Q114" s="44"/>
      <c r="R114" s="44"/>
      <c r="S114" s="44"/>
      <c r="T114" s="44"/>
      <c r="U114" s="44"/>
      <c r="V114" s="5"/>
      <c r="W114" s="5"/>
      <c r="X114" s="1"/>
      <c r="Y114" s="44"/>
      <c r="Z114" s="1"/>
    </row>
    <row r="115" spans="1:26" ht="15.75" customHeight="1">
      <c r="A115" s="42" t="s">
        <v>461</v>
      </c>
      <c r="B115" s="42" t="s">
        <v>460</v>
      </c>
      <c r="C115" s="101">
        <v>1711</v>
      </c>
      <c r="D115" s="110">
        <v>1357</v>
      </c>
      <c r="E115" s="43" t="s">
        <v>377</v>
      </c>
      <c r="F115" s="102">
        <v>1563</v>
      </c>
      <c r="G115" s="101">
        <v>2300</v>
      </c>
      <c r="H115" s="102">
        <v>1532</v>
      </c>
      <c r="I115" s="45" t="s">
        <v>377</v>
      </c>
      <c r="J115" s="101">
        <v>1829</v>
      </c>
      <c r="K115" s="101">
        <v>1641</v>
      </c>
      <c r="L115" s="102">
        <v>1215</v>
      </c>
      <c r="M115" s="101">
        <v>2208</v>
      </c>
      <c r="N115" s="48"/>
      <c r="O115" s="41"/>
      <c r="P115" s="44"/>
      <c r="Q115" s="44"/>
      <c r="R115" s="44"/>
      <c r="S115" s="44"/>
      <c r="T115" s="44"/>
      <c r="U115" s="44"/>
      <c r="V115" s="5"/>
      <c r="W115" s="5"/>
      <c r="X115" s="1"/>
      <c r="Y115" s="44"/>
      <c r="Z115" s="1"/>
    </row>
    <row r="116" spans="1:26" ht="15.75" customHeight="1">
      <c r="A116" s="42" t="s">
        <v>463</v>
      </c>
      <c r="B116" s="37" t="s">
        <v>2830</v>
      </c>
      <c r="C116" s="43" t="s">
        <v>2813</v>
      </c>
      <c r="D116" s="43" t="s">
        <v>2813</v>
      </c>
      <c r="E116" s="43" t="s">
        <v>2813</v>
      </c>
      <c r="F116" s="43" t="s">
        <v>2813</v>
      </c>
      <c r="G116" s="43" t="s">
        <v>2813</v>
      </c>
      <c r="H116" s="43" t="s">
        <v>2813</v>
      </c>
      <c r="I116" s="43" t="s">
        <v>2813</v>
      </c>
      <c r="J116" s="43" t="s">
        <v>377</v>
      </c>
      <c r="K116" s="101">
        <v>1185</v>
      </c>
      <c r="L116" s="43" t="s">
        <v>377</v>
      </c>
      <c r="M116" s="101">
        <v>2327</v>
      </c>
      <c r="N116" s="43" t="s">
        <v>377</v>
      </c>
      <c r="O116" s="101">
        <v>1765</v>
      </c>
      <c r="P116" s="45" t="s">
        <v>377</v>
      </c>
      <c r="Q116" s="46"/>
      <c r="R116" s="46"/>
      <c r="S116" s="46"/>
      <c r="T116" s="46"/>
      <c r="U116" s="46"/>
      <c r="V116" s="48"/>
      <c r="W116" s="97"/>
      <c r="X116" s="37"/>
      <c r="Y116" s="46"/>
      <c r="Z116" s="37"/>
    </row>
    <row r="117" spans="1:26" ht="15.75" customHeight="1">
      <c r="A117" s="42" t="s">
        <v>468</v>
      </c>
      <c r="B117" s="42" t="s">
        <v>467</v>
      </c>
      <c r="C117" s="43" t="s">
        <v>2813</v>
      </c>
      <c r="D117" s="43" t="s">
        <v>2813</v>
      </c>
      <c r="E117" s="102">
        <v>455</v>
      </c>
      <c r="F117" s="102">
        <v>1308</v>
      </c>
      <c r="G117" s="102">
        <v>989</v>
      </c>
      <c r="H117" s="102">
        <v>1671</v>
      </c>
      <c r="I117" s="102">
        <v>992</v>
      </c>
      <c r="J117" s="103">
        <v>254</v>
      </c>
      <c r="K117" s="102">
        <v>865</v>
      </c>
      <c r="L117" s="103">
        <v>776</v>
      </c>
      <c r="M117" s="103">
        <v>630</v>
      </c>
      <c r="N117" s="103">
        <v>578</v>
      </c>
      <c r="O117" s="102">
        <v>1110</v>
      </c>
      <c r="P117" s="103">
        <v>397</v>
      </c>
      <c r="Q117" s="104">
        <f>(1-P117/3198)*80+15</f>
        <v>85.06879299562226</v>
      </c>
      <c r="R117" s="101">
        <v>1088</v>
      </c>
      <c r="S117" s="104">
        <f>(1-R117/3055)*80+5</f>
        <v>56.50900163666121</v>
      </c>
      <c r="T117" s="102">
        <v>889</v>
      </c>
      <c r="U117" s="104">
        <f>(1-T117/2965)*80+10</f>
        <v>66.013490725126474</v>
      </c>
      <c r="V117" s="5"/>
      <c r="W117" s="5"/>
      <c r="X117" s="1"/>
      <c r="Y117" s="104">
        <f>(SUM(Q117,S117,U117)-MIN(Q117,S117,U117))/2</f>
        <v>75.541141860374381</v>
      </c>
      <c r="Z117" s="1"/>
    </row>
    <row r="118" spans="1:26" ht="15.75" customHeight="1">
      <c r="A118" s="50" t="s">
        <v>473</v>
      </c>
      <c r="B118" s="50" t="s">
        <v>472</v>
      </c>
      <c r="C118" s="67" t="s">
        <v>2813</v>
      </c>
      <c r="D118" s="67" t="s">
        <v>2813</v>
      </c>
      <c r="E118" s="67" t="s">
        <v>2813</v>
      </c>
      <c r="F118" s="67" t="s">
        <v>2813</v>
      </c>
      <c r="G118" s="67" t="s">
        <v>2813</v>
      </c>
      <c r="H118" s="67" t="s">
        <v>2813</v>
      </c>
      <c r="I118" s="67" t="s">
        <v>2813</v>
      </c>
      <c r="J118" s="67" t="s">
        <v>2813</v>
      </c>
      <c r="K118" s="67" t="s">
        <v>2813</v>
      </c>
      <c r="L118" s="67" t="s">
        <v>2813</v>
      </c>
      <c r="M118" s="67" t="s">
        <v>2813</v>
      </c>
      <c r="N118" s="67" t="s">
        <v>2813</v>
      </c>
      <c r="O118" s="111">
        <v>1590</v>
      </c>
      <c r="P118" s="111">
        <v>1963</v>
      </c>
      <c r="Q118" s="112">
        <f>(1-P118/3198)*80+5</f>
        <v>35.894308943089435</v>
      </c>
      <c r="R118" s="113" t="s">
        <v>377</v>
      </c>
      <c r="S118" s="112">
        <v>0</v>
      </c>
      <c r="T118" s="111">
        <v>1634</v>
      </c>
      <c r="U118" s="112">
        <f>(1-T118/2965)*80+5</f>
        <v>40.912310286677915</v>
      </c>
      <c r="V118" s="111">
        <v>1960</v>
      </c>
      <c r="W118" s="114">
        <f>(1-V119/3425)*80+5</f>
        <v>40.573722627737226</v>
      </c>
      <c r="X118" s="50"/>
      <c r="Y118" s="112">
        <f>(SUM(S118,U118,W118)-MIN(S118,U118,W118))/2</f>
        <v>40.743016457207574</v>
      </c>
      <c r="Z118" s="50"/>
    </row>
    <row r="119" spans="1:26" ht="15.75" customHeight="1">
      <c r="A119" s="42" t="s">
        <v>476</v>
      </c>
      <c r="B119" s="42" t="s">
        <v>475</v>
      </c>
      <c r="C119" s="43" t="s">
        <v>2813</v>
      </c>
      <c r="D119" s="43" t="s">
        <v>2813</v>
      </c>
      <c r="E119" s="43" t="s">
        <v>2813</v>
      </c>
      <c r="F119" s="43" t="s">
        <v>2813</v>
      </c>
      <c r="G119" s="43" t="s">
        <v>2813</v>
      </c>
      <c r="H119" s="43" t="s">
        <v>2813</v>
      </c>
      <c r="I119" s="43" t="s">
        <v>2813</v>
      </c>
      <c r="J119" s="43" t="s">
        <v>2813</v>
      </c>
      <c r="K119" s="43" t="s">
        <v>2813</v>
      </c>
      <c r="L119" s="43" t="s">
        <v>2813</v>
      </c>
      <c r="M119" s="43" t="s">
        <v>377</v>
      </c>
      <c r="N119" s="101">
        <v>1761</v>
      </c>
      <c r="O119" s="101">
        <v>1426</v>
      </c>
      <c r="P119" s="45" t="s">
        <v>377</v>
      </c>
      <c r="Q119" s="104">
        <v>0</v>
      </c>
      <c r="R119" s="45" t="s">
        <v>377</v>
      </c>
      <c r="S119" s="104">
        <v>0</v>
      </c>
      <c r="T119" s="45" t="s">
        <v>377</v>
      </c>
      <c r="U119" s="104">
        <v>0</v>
      </c>
      <c r="V119" s="101">
        <v>1902</v>
      </c>
      <c r="W119" s="106">
        <f>(1-V50/3425)*80+5</f>
        <v>41.43795620437956</v>
      </c>
      <c r="X119" s="37"/>
      <c r="Y119" s="104">
        <f>(SUM(S119,U119,W119)-MIN(S119,U119,W119))/2</f>
        <v>20.71897810218978</v>
      </c>
      <c r="Z119" s="37"/>
    </row>
    <row r="120" spans="1:26" ht="15.75" customHeight="1">
      <c r="C120" s="5"/>
      <c r="D120" s="5"/>
      <c r="E120" s="5"/>
      <c r="F120" s="5"/>
      <c r="G120" s="44"/>
      <c r="H120" s="5"/>
      <c r="I120" s="44"/>
      <c r="J120" s="44"/>
      <c r="K120" s="44"/>
      <c r="L120" s="5"/>
      <c r="M120" s="5"/>
      <c r="N120" s="5"/>
      <c r="O120" s="5"/>
      <c r="P120" s="44"/>
      <c r="Q120" s="44"/>
      <c r="R120" s="44"/>
      <c r="S120" s="44"/>
      <c r="T120" s="44"/>
      <c r="U120" s="44"/>
      <c r="V120" s="5"/>
      <c r="W120" s="5"/>
      <c r="Y120" s="44"/>
    </row>
    <row r="121" spans="1:26" ht="15.75" customHeight="1">
      <c r="C121" s="5"/>
      <c r="D121" s="5"/>
      <c r="E121" s="5"/>
      <c r="F121" s="5"/>
      <c r="G121" s="44"/>
      <c r="H121" s="5"/>
      <c r="I121" s="44"/>
      <c r="J121" s="44"/>
      <c r="K121" s="44"/>
      <c r="L121" s="5"/>
      <c r="M121" s="5"/>
      <c r="N121" s="5"/>
      <c r="O121" s="5"/>
      <c r="P121" s="44"/>
      <c r="Q121" s="44"/>
      <c r="R121" s="44"/>
      <c r="S121" s="44"/>
      <c r="T121" s="44"/>
      <c r="U121" s="44"/>
      <c r="V121" s="5"/>
      <c r="W121" s="5"/>
      <c r="Y121" s="44"/>
    </row>
    <row r="122" spans="1:26" ht="15.75" customHeight="1">
      <c r="C122" s="5"/>
      <c r="D122" s="5"/>
      <c r="E122" s="5"/>
      <c r="F122" s="5"/>
      <c r="G122" s="44"/>
      <c r="H122" s="5"/>
      <c r="I122" s="44"/>
      <c r="J122" s="44"/>
      <c r="K122" s="44"/>
      <c r="L122" s="5"/>
      <c r="M122" s="5"/>
      <c r="N122" s="5"/>
      <c r="O122" s="5"/>
      <c r="P122" s="44"/>
      <c r="Q122" s="44"/>
      <c r="R122" s="44"/>
      <c r="S122" s="44"/>
      <c r="T122" s="44"/>
      <c r="U122" s="44"/>
      <c r="V122" s="5"/>
      <c r="W122" s="5"/>
      <c r="Y122" s="44"/>
    </row>
    <row r="123" spans="1:26" ht="15.75" customHeight="1">
      <c r="C123" s="5"/>
      <c r="D123" s="5"/>
      <c r="E123" s="5"/>
      <c r="F123" s="5"/>
      <c r="G123" s="44"/>
      <c r="H123" s="5"/>
      <c r="I123" s="44"/>
      <c r="J123" s="44"/>
      <c r="K123" s="44"/>
      <c r="L123" s="5"/>
      <c r="M123" s="5"/>
      <c r="N123" s="5"/>
      <c r="O123" s="5"/>
      <c r="P123" s="44"/>
      <c r="Q123" s="44"/>
      <c r="R123" s="44"/>
      <c r="S123" s="44"/>
      <c r="T123" s="44"/>
      <c r="U123" s="44"/>
      <c r="V123" s="5"/>
      <c r="W123" s="5"/>
      <c r="Y123" s="44"/>
    </row>
    <row r="124" spans="1:26" ht="15.75" customHeight="1">
      <c r="C124" s="5"/>
      <c r="D124" s="5"/>
      <c r="E124" s="5"/>
      <c r="F124" s="5"/>
      <c r="G124" s="44"/>
      <c r="H124" s="5"/>
      <c r="I124" s="44"/>
      <c r="J124" s="44"/>
      <c r="K124" s="44"/>
      <c r="L124" s="5"/>
      <c r="M124" s="5"/>
      <c r="N124" s="5"/>
      <c r="O124" s="5"/>
      <c r="P124" s="44"/>
      <c r="Q124" s="44"/>
      <c r="R124" s="44"/>
      <c r="S124" s="44"/>
      <c r="T124" s="44"/>
      <c r="U124" s="44"/>
      <c r="V124" s="5"/>
      <c r="W124" s="5"/>
      <c r="Y124" s="44"/>
    </row>
    <row r="125" spans="1:26" ht="15.75" customHeight="1">
      <c r="C125" s="5"/>
      <c r="D125" s="5"/>
      <c r="E125" s="5"/>
      <c r="F125" s="5"/>
      <c r="G125" s="44"/>
      <c r="H125" s="5"/>
      <c r="I125" s="44"/>
      <c r="J125" s="44"/>
      <c r="K125" s="44"/>
      <c r="L125" s="5"/>
      <c r="M125" s="5"/>
      <c r="N125" s="5"/>
      <c r="O125" s="5"/>
      <c r="P125" s="44"/>
      <c r="Q125" s="44"/>
      <c r="R125" s="44"/>
      <c r="S125" s="44"/>
      <c r="T125" s="44"/>
      <c r="U125" s="44"/>
      <c r="V125" s="5"/>
      <c r="W125" s="5"/>
      <c r="Y125" s="44"/>
    </row>
    <row r="126" spans="1:26" ht="15.75" customHeight="1">
      <c r="C126" s="5"/>
      <c r="D126" s="5"/>
      <c r="E126" s="5"/>
      <c r="F126" s="5"/>
      <c r="G126" s="44"/>
      <c r="H126" s="5"/>
      <c r="I126" s="44"/>
      <c r="J126" s="44"/>
      <c r="K126" s="44"/>
      <c r="L126" s="5"/>
      <c r="M126" s="5"/>
      <c r="N126" s="5"/>
      <c r="O126" s="5"/>
      <c r="P126" s="44"/>
      <c r="Q126" s="44"/>
      <c r="R126" s="44"/>
      <c r="S126" s="44"/>
      <c r="T126" s="44"/>
      <c r="U126" s="44"/>
      <c r="V126" s="5"/>
      <c r="W126" s="5"/>
      <c r="Y126" s="44"/>
    </row>
    <row r="127" spans="1:26" ht="15.75" customHeight="1">
      <c r="C127" s="5"/>
      <c r="D127" s="5"/>
      <c r="E127" s="5"/>
      <c r="F127" s="5"/>
      <c r="G127" s="44"/>
      <c r="H127" s="5"/>
      <c r="I127" s="44"/>
      <c r="J127" s="44"/>
      <c r="K127" s="44"/>
      <c r="L127" s="5"/>
      <c r="M127" s="5"/>
      <c r="N127" s="5"/>
      <c r="O127" s="5"/>
      <c r="P127" s="44"/>
      <c r="Q127" s="44"/>
      <c r="R127" s="44"/>
      <c r="S127" s="44"/>
      <c r="T127" s="44"/>
      <c r="U127" s="44"/>
      <c r="V127" s="5"/>
      <c r="W127" s="5"/>
      <c r="Y127" s="44"/>
    </row>
    <row r="128" spans="1:26" ht="15.75" customHeight="1">
      <c r="C128" s="5"/>
      <c r="D128" s="5"/>
      <c r="E128" s="5"/>
      <c r="F128" s="5"/>
      <c r="G128" s="44"/>
      <c r="H128" s="5"/>
      <c r="I128" s="44"/>
      <c r="J128" s="44"/>
      <c r="K128" s="44"/>
      <c r="L128" s="5"/>
      <c r="M128" s="5"/>
      <c r="N128" s="5"/>
      <c r="O128" s="5"/>
      <c r="P128" s="44"/>
      <c r="Q128" s="44"/>
      <c r="R128" s="44"/>
      <c r="S128" s="44"/>
      <c r="T128" s="44"/>
      <c r="U128" s="44"/>
      <c r="V128" s="5"/>
      <c r="W128" s="5"/>
      <c r="Y128" s="44"/>
    </row>
    <row r="129" spans="3:25" ht="15.75" customHeight="1">
      <c r="C129" s="5"/>
      <c r="D129" s="5"/>
      <c r="E129" s="5"/>
      <c r="F129" s="5"/>
      <c r="G129" s="44"/>
      <c r="H129" s="5"/>
      <c r="I129" s="44"/>
      <c r="J129" s="44"/>
      <c r="K129" s="44"/>
      <c r="L129" s="5"/>
      <c r="M129" s="5"/>
      <c r="N129" s="5"/>
      <c r="O129" s="5"/>
      <c r="P129" s="44"/>
      <c r="Q129" s="44"/>
      <c r="R129" s="44"/>
      <c r="S129" s="44"/>
      <c r="T129" s="44"/>
      <c r="U129" s="44"/>
      <c r="V129" s="5"/>
      <c r="W129" s="5"/>
      <c r="Y129" s="44"/>
    </row>
    <row r="130" spans="3:25" ht="15.75" customHeight="1">
      <c r="C130" s="5"/>
      <c r="D130" s="5"/>
      <c r="E130" s="5"/>
      <c r="F130" s="5"/>
      <c r="G130" s="44"/>
      <c r="H130" s="5"/>
      <c r="I130" s="44"/>
      <c r="J130" s="44"/>
      <c r="K130" s="44"/>
      <c r="L130" s="5"/>
      <c r="M130" s="5"/>
      <c r="N130" s="5"/>
      <c r="O130" s="5"/>
      <c r="P130" s="44"/>
      <c r="Q130" s="44"/>
      <c r="R130" s="44"/>
      <c r="S130" s="44"/>
      <c r="T130" s="44"/>
      <c r="U130" s="44"/>
      <c r="V130" s="5"/>
      <c r="W130" s="5"/>
      <c r="Y130" s="44"/>
    </row>
    <row r="131" spans="3:25" ht="15.75" customHeight="1">
      <c r="C131" s="5"/>
      <c r="D131" s="5"/>
      <c r="E131" s="5"/>
      <c r="F131" s="5"/>
      <c r="G131" s="44"/>
      <c r="H131" s="5"/>
      <c r="I131" s="44"/>
      <c r="J131" s="44"/>
      <c r="K131" s="44"/>
      <c r="L131" s="5"/>
      <c r="M131" s="5"/>
      <c r="N131" s="5"/>
      <c r="O131" s="5"/>
      <c r="P131" s="44"/>
      <c r="Q131" s="44"/>
      <c r="R131" s="44"/>
      <c r="S131" s="44"/>
      <c r="T131" s="44"/>
      <c r="U131" s="44"/>
      <c r="V131" s="5"/>
      <c r="W131" s="5"/>
      <c r="Y131" s="44"/>
    </row>
    <row r="132" spans="3:25" ht="15.75" customHeight="1">
      <c r="C132" s="5"/>
      <c r="D132" s="5"/>
      <c r="E132" s="5"/>
      <c r="F132" s="5"/>
      <c r="G132" s="44"/>
      <c r="H132" s="5"/>
      <c r="I132" s="44"/>
      <c r="J132" s="44"/>
      <c r="K132" s="44"/>
      <c r="L132" s="5"/>
      <c r="M132" s="5"/>
      <c r="N132" s="5"/>
      <c r="O132" s="5"/>
      <c r="P132" s="44"/>
      <c r="Q132" s="44"/>
      <c r="R132" s="44"/>
      <c r="S132" s="44"/>
      <c r="T132" s="44"/>
      <c r="U132" s="44"/>
      <c r="V132" s="5"/>
      <c r="W132" s="5"/>
      <c r="Y132" s="44"/>
    </row>
    <row r="133" spans="3:25" ht="15.75" customHeight="1">
      <c r="C133" s="5"/>
      <c r="D133" s="5"/>
      <c r="E133" s="5"/>
      <c r="F133" s="5"/>
      <c r="G133" s="44"/>
      <c r="H133" s="5"/>
      <c r="I133" s="44"/>
      <c r="J133" s="44"/>
      <c r="K133" s="44"/>
      <c r="L133" s="5"/>
      <c r="M133" s="5"/>
      <c r="N133" s="5"/>
      <c r="O133" s="5"/>
      <c r="P133" s="44"/>
      <c r="Q133" s="44"/>
      <c r="R133" s="44"/>
      <c r="S133" s="44"/>
      <c r="T133" s="44"/>
      <c r="U133" s="44"/>
      <c r="V133" s="5"/>
      <c r="W133" s="5"/>
      <c r="Y133" s="44"/>
    </row>
    <row r="134" spans="3:25" ht="15.75" customHeight="1">
      <c r="C134" s="5"/>
      <c r="D134" s="5"/>
      <c r="E134" s="5"/>
      <c r="F134" s="5"/>
      <c r="G134" s="44"/>
      <c r="H134" s="5"/>
      <c r="I134" s="44"/>
      <c r="J134" s="44"/>
      <c r="K134" s="44"/>
      <c r="L134" s="5"/>
      <c r="M134" s="5"/>
      <c r="N134" s="5"/>
      <c r="O134" s="5"/>
      <c r="P134" s="44"/>
      <c r="Q134" s="44"/>
      <c r="R134" s="44"/>
      <c r="S134" s="44"/>
      <c r="T134" s="44"/>
      <c r="U134" s="44"/>
      <c r="V134" s="5"/>
      <c r="W134" s="5"/>
      <c r="Y134" s="44"/>
    </row>
    <row r="135" spans="3:25" ht="15.75" customHeight="1">
      <c r="C135" s="5"/>
      <c r="D135" s="5"/>
      <c r="E135" s="5"/>
      <c r="F135" s="5"/>
      <c r="G135" s="44"/>
      <c r="H135" s="5"/>
      <c r="I135" s="44"/>
      <c r="J135" s="44"/>
      <c r="K135" s="44"/>
      <c r="L135" s="5"/>
      <c r="M135" s="5"/>
      <c r="N135" s="5"/>
      <c r="O135" s="5"/>
      <c r="P135" s="44"/>
      <c r="Q135" s="44"/>
      <c r="R135" s="44"/>
      <c r="S135" s="44"/>
      <c r="T135" s="44"/>
      <c r="U135" s="44"/>
      <c r="V135" s="5"/>
      <c r="W135" s="5"/>
      <c r="Y135" s="44"/>
    </row>
    <row r="136" spans="3:25" ht="15.75" customHeight="1">
      <c r="C136" s="5"/>
      <c r="D136" s="5"/>
      <c r="E136" s="5"/>
      <c r="F136" s="5"/>
      <c r="G136" s="44"/>
      <c r="H136" s="5"/>
      <c r="I136" s="44"/>
      <c r="J136" s="44"/>
      <c r="K136" s="44"/>
      <c r="L136" s="5"/>
      <c r="M136" s="5"/>
      <c r="N136" s="5"/>
      <c r="O136" s="5"/>
      <c r="P136" s="44"/>
      <c r="Q136" s="44"/>
      <c r="R136" s="44"/>
      <c r="S136" s="44"/>
      <c r="T136" s="44"/>
      <c r="U136" s="44"/>
      <c r="V136" s="5"/>
      <c r="W136" s="5"/>
      <c r="Y136" s="44"/>
    </row>
    <row r="137" spans="3:25" ht="15.75" customHeight="1">
      <c r="C137" s="5"/>
      <c r="D137" s="5"/>
      <c r="E137" s="5"/>
      <c r="F137" s="5"/>
      <c r="G137" s="44"/>
      <c r="H137" s="5"/>
      <c r="I137" s="44"/>
      <c r="J137" s="44"/>
      <c r="K137" s="44"/>
      <c r="L137" s="5"/>
      <c r="M137" s="5"/>
      <c r="N137" s="5"/>
      <c r="O137" s="5"/>
      <c r="P137" s="44"/>
      <c r="Q137" s="44"/>
      <c r="R137" s="44"/>
      <c r="S137" s="44"/>
      <c r="T137" s="44"/>
      <c r="U137" s="44"/>
      <c r="V137" s="5"/>
      <c r="W137" s="5"/>
      <c r="Y137" s="44"/>
    </row>
    <row r="138" spans="3:25" ht="15.75" customHeight="1">
      <c r="C138" s="5"/>
      <c r="D138" s="5"/>
      <c r="E138" s="5"/>
      <c r="F138" s="5"/>
      <c r="G138" s="44"/>
      <c r="H138" s="5"/>
      <c r="I138" s="44"/>
      <c r="J138" s="44"/>
      <c r="K138" s="44"/>
      <c r="L138" s="5"/>
      <c r="M138" s="5"/>
      <c r="N138" s="5"/>
      <c r="O138" s="5"/>
      <c r="P138" s="44"/>
      <c r="Q138" s="44"/>
      <c r="R138" s="44"/>
      <c r="S138" s="44"/>
      <c r="T138" s="44"/>
      <c r="U138" s="44"/>
      <c r="V138" s="5"/>
      <c r="W138" s="5"/>
      <c r="Y138" s="44"/>
    </row>
    <row r="139" spans="3:25" ht="15.75" customHeight="1">
      <c r="C139" s="5"/>
      <c r="D139" s="5"/>
      <c r="E139" s="5"/>
      <c r="F139" s="5"/>
      <c r="G139" s="44"/>
      <c r="H139" s="5"/>
      <c r="I139" s="44"/>
      <c r="J139" s="44"/>
      <c r="K139" s="44"/>
      <c r="L139" s="5"/>
      <c r="M139" s="5"/>
      <c r="N139" s="5"/>
      <c r="O139" s="5"/>
      <c r="P139" s="44"/>
      <c r="Q139" s="44"/>
      <c r="R139" s="44"/>
      <c r="S139" s="44"/>
      <c r="T139" s="44"/>
      <c r="U139" s="44"/>
      <c r="V139" s="5"/>
      <c r="W139" s="5"/>
      <c r="Y139" s="44"/>
    </row>
    <row r="140" spans="3:25" ht="15.75" customHeight="1">
      <c r="C140" s="5"/>
      <c r="D140" s="5"/>
      <c r="E140" s="5"/>
      <c r="F140" s="5"/>
      <c r="G140" s="44"/>
      <c r="H140" s="5"/>
      <c r="I140" s="44"/>
      <c r="J140" s="44"/>
      <c r="K140" s="44"/>
      <c r="L140" s="5"/>
      <c r="M140" s="5"/>
      <c r="N140" s="5"/>
      <c r="O140" s="5"/>
      <c r="P140" s="44"/>
      <c r="Q140" s="44"/>
      <c r="R140" s="44"/>
      <c r="S140" s="44"/>
      <c r="T140" s="44"/>
      <c r="U140" s="44"/>
      <c r="V140" s="5"/>
      <c r="W140" s="5"/>
      <c r="Y140" s="44"/>
    </row>
    <row r="141" spans="3:25" ht="15.75" customHeight="1">
      <c r="C141" s="5"/>
      <c r="D141" s="5"/>
      <c r="E141" s="5"/>
      <c r="F141" s="5"/>
      <c r="G141" s="44"/>
      <c r="H141" s="5"/>
      <c r="I141" s="44"/>
      <c r="J141" s="44"/>
      <c r="K141" s="44"/>
      <c r="L141" s="5"/>
      <c r="M141" s="5"/>
      <c r="N141" s="5"/>
      <c r="O141" s="5"/>
      <c r="P141" s="44"/>
      <c r="Q141" s="44"/>
      <c r="R141" s="44"/>
      <c r="S141" s="44"/>
      <c r="T141" s="44"/>
      <c r="U141" s="44"/>
      <c r="V141" s="5"/>
      <c r="W141" s="5"/>
      <c r="Y141" s="44"/>
    </row>
    <row r="142" spans="3:25" ht="15.75" customHeight="1">
      <c r="C142" s="5"/>
      <c r="D142" s="5"/>
      <c r="E142" s="5"/>
      <c r="F142" s="5"/>
      <c r="G142" s="44"/>
      <c r="H142" s="5"/>
      <c r="I142" s="44"/>
      <c r="J142" s="44"/>
      <c r="K142" s="44"/>
      <c r="L142" s="5"/>
      <c r="M142" s="5"/>
      <c r="N142" s="5"/>
      <c r="O142" s="5"/>
      <c r="P142" s="44"/>
      <c r="Q142" s="44"/>
      <c r="R142" s="44"/>
      <c r="S142" s="44"/>
      <c r="T142" s="44"/>
      <c r="U142" s="44"/>
      <c r="V142" s="5"/>
      <c r="W142" s="5"/>
      <c r="Y142" s="44"/>
    </row>
    <row r="143" spans="3:25" ht="15.75" customHeight="1">
      <c r="C143" s="5"/>
      <c r="D143" s="5"/>
      <c r="E143" s="5"/>
      <c r="F143" s="5"/>
      <c r="G143" s="44"/>
      <c r="H143" s="5"/>
      <c r="I143" s="44"/>
      <c r="J143" s="44"/>
      <c r="K143" s="44"/>
      <c r="L143" s="5"/>
      <c r="M143" s="5"/>
      <c r="N143" s="5"/>
      <c r="O143" s="5"/>
      <c r="P143" s="44"/>
      <c r="Q143" s="44"/>
      <c r="R143" s="44"/>
      <c r="S143" s="44"/>
      <c r="T143" s="44"/>
      <c r="U143" s="44"/>
      <c r="V143" s="5"/>
      <c r="W143" s="5"/>
      <c r="Y143" s="44"/>
    </row>
    <row r="144" spans="3:25" ht="15.75" customHeight="1">
      <c r="C144" s="5"/>
      <c r="D144" s="5"/>
      <c r="E144" s="5"/>
      <c r="F144" s="5"/>
      <c r="G144" s="44"/>
      <c r="H144" s="5"/>
      <c r="I144" s="44"/>
      <c r="J144" s="44"/>
      <c r="K144" s="44"/>
      <c r="L144" s="5"/>
      <c r="M144" s="5"/>
      <c r="N144" s="5"/>
      <c r="O144" s="5"/>
      <c r="P144" s="44"/>
      <c r="Q144" s="44"/>
      <c r="R144" s="44"/>
      <c r="S144" s="44"/>
      <c r="T144" s="44"/>
      <c r="U144" s="44"/>
      <c r="V144" s="5"/>
      <c r="W144" s="5"/>
      <c r="Y144" s="44"/>
    </row>
    <row r="145" spans="3:25" ht="15.75" customHeight="1">
      <c r="C145" s="5"/>
      <c r="D145" s="5"/>
      <c r="E145" s="5"/>
      <c r="F145" s="5"/>
      <c r="G145" s="44"/>
      <c r="H145" s="5"/>
      <c r="I145" s="44"/>
      <c r="J145" s="44"/>
      <c r="K145" s="44"/>
      <c r="L145" s="5"/>
      <c r="M145" s="5"/>
      <c r="N145" s="5"/>
      <c r="O145" s="5"/>
      <c r="P145" s="44"/>
      <c r="Q145" s="44"/>
      <c r="R145" s="44"/>
      <c r="S145" s="44"/>
      <c r="T145" s="44"/>
      <c r="U145" s="44"/>
      <c r="V145" s="5"/>
      <c r="W145" s="5"/>
      <c r="Y145" s="44"/>
    </row>
    <row r="146" spans="3:25" ht="15.75" customHeight="1">
      <c r="C146" s="5"/>
      <c r="D146" s="5"/>
      <c r="E146" s="5"/>
      <c r="F146" s="5"/>
      <c r="G146" s="44"/>
      <c r="H146" s="5"/>
      <c r="I146" s="44"/>
      <c r="J146" s="44"/>
      <c r="K146" s="44"/>
      <c r="L146" s="5"/>
      <c r="M146" s="5"/>
      <c r="N146" s="5"/>
      <c r="O146" s="5"/>
      <c r="P146" s="44"/>
      <c r="Q146" s="44"/>
      <c r="R146" s="44"/>
      <c r="S146" s="44"/>
      <c r="T146" s="44"/>
      <c r="U146" s="44"/>
      <c r="V146" s="5"/>
      <c r="W146" s="5"/>
      <c r="Y146" s="44"/>
    </row>
    <row r="147" spans="3:25" ht="15.75" customHeight="1">
      <c r="C147" s="5"/>
      <c r="D147" s="5"/>
      <c r="E147" s="5"/>
      <c r="F147" s="5"/>
      <c r="G147" s="44"/>
      <c r="H147" s="5"/>
      <c r="I147" s="44"/>
      <c r="J147" s="44"/>
      <c r="K147" s="44"/>
      <c r="L147" s="5"/>
      <c r="M147" s="5"/>
      <c r="N147" s="5"/>
      <c r="O147" s="5"/>
      <c r="P147" s="44"/>
      <c r="Q147" s="44"/>
      <c r="R147" s="44"/>
      <c r="S147" s="44"/>
      <c r="T147" s="44"/>
      <c r="U147" s="44"/>
      <c r="V147" s="5"/>
      <c r="W147" s="5"/>
      <c r="Y147" s="44"/>
    </row>
    <row r="148" spans="3:25" ht="15.75" customHeight="1">
      <c r="C148" s="5"/>
      <c r="D148" s="5"/>
      <c r="E148" s="5"/>
      <c r="F148" s="5"/>
      <c r="G148" s="44"/>
      <c r="H148" s="5"/>
      <c r="I148" s="44"/>
      <c r="J148" s="44"/>
      <c r="K148" s="44"/>
      <c r="L148" s="5"/>
      <c r="M148" s="5"/>
      <c r="N148" s="5"/>
      <c r="O148" s="5"/>
      <c r="P148" s="44"/>
      <c r="Q148" s="44"/>
      <c r="R148" s="44"/>
      <c r="S148" s="44"/>
      <c r="T148" s="44"/>
      <c r="U148" s="44"/>
      <c r="V148" s="5"/>
      <c r="W148" s="5"/>
      <c r="Y148" s="44"/>
    </row>
    <row r="149" spans="3:25" ht="15.75" customHeight="1">
      <c r="C149" s="5"/>
      <c r="D149" s="5"/>
      <c r="E149" s="5"/>
      <c r="F149" s="5"/>
      <c r="G149" s="44"/>
      <c r="H149" s="5"/>
      <c r="I149" s="44"/>
      <c r="J149" s="44"/>
      <c r="K149" s="44"/>
      <c r="L149" s="5"/>
      <c r="M149" s="5"/>
      <c r="N149" s="5"/>
      <c r="O149" s="5"/>
      <c r="P149" s="44"/>
      <c r="Q149" s="44"/>
      <c r="R149" s="44"/>
      <c r="S149" s="44"/>
      <c r="T149" s="44"/>
      <c r="U149" s="44"/>
      <c r="V149" s="5"/>
      <c r="W149" s="5"/>
      <c r="Y149" s="44"/>
    </row>
    <row r="150" spans="3:25" ht="15.75" customHeight="1">
      <c r="C150" s="5"/>
      <c r="D150" s="5"/>
      <c r="E150" s="5"/>
      <c r="F150" s="5"/>
      <c r="G150" s="44"/>
      <c r="H150" s="5"/>
      <c r="I150" s="44"/>
      <c r="J150" s="44"/>
      <c r="K150" s="44"/>
      <c r="L150" s="5"/>
      <c r="M150" s="5"/>
      <c r="N150" s="5"/>
      <c r="O150" s="5"/>
      <c r="P150" s="44"/>
      <c r="Q150" s="44"/>
      <c r="R150" s="44"/>
      <c r="S150" s="44"/>
      <c r="T150" s="44"/>
      <c r="U150" s="44"/>
      <c r="V150" s="5"/>
      <c r="W150" s="5"/>
      <c r="Y150" s="44"/>
    </row>
    <row r="151" spans="3:25" ht="15.75" customHeight="1">
      <c r="C151" s="5"/>
      <c r="D151" s="5"/>
      <c r="E151" s="5"/>
      <c r="F151" s="5"/>
      <c r="G151" s="44"/>
      <c r="H151" s="5"/>
      <c r="I151" s="44"/>
      <c r="J151" s="44"/>
      <c r="K151" s="44"/>
      <c r="L151" s="5"/>
      <c r="M151" s="5"/>
      <c r="N151" s="5"/>
      <c r="O151" s="5"/>
      <c r="P151" s="44"/>
      <c r="Q151" s="44"/>
      <c r="R151" s="44"/>
      <c r="S151" s="44"/>
      <c r="T151" s="44"/>
      <c r="U151" s="44"/>
      <c r="V151" s="5"/>
      <c r="W151" s="5"/>
      <c r="Y151" s="44"/>
    </row>
    <row r="152" spans="3:25" ht="15.75" customHeight="1">
      <c r="C152" s="5"/>
      <c r="D152" s="5"/>
      <c r="E152" s="5"/>
      <c r="F152" s="5"/>
      <c r="G152" s="44"/>
      <c r="H152" s="5"/>
      <c r="I152" s="44"/>
      <c r="J152" s="44"/>
      <c r="K152" s="44"/>
      <c r="L152" s="5"/>
      <c r="M152" s="5"/>
      <c r="N152" s="5"/>
      <c r="O152" s="5"/>
      <c r="P152" s="44"/>
      <c r="Q152" s="44"/>
      <c r="R152" s="44"/>
      <c r="S152" s="44"/>
      <c r="T152" s="44"/>
      <c r="U152" s="44"/>
      <c r="V152" s="5"/>
      <c r="W152" s="5"/>
      <c r="Y152" s="44"/>
    </row>
    <row r="153" spans="3:25" ht="15.75" customHeight="1">
      <c r="C153" s="5"/>
      <c r="D153" s="5"/>
      <c r="E153" s="5"/>
      <c r="F153" s="5"/>
      <c r="G153" s="44"/>
      <c r="H153" s="5"/>
      <c r="I153" s="44"/>
      <c r="J153" s="44"/>
      <c r="K153" s="44"/>
      <c r="L153" s="5"/>
      <c r="M153" s="5"/>
      <c r="N153" s="5"/>
      <c r="O153" s="5"/>
      <c r="P153" s="44"/>
      <c r="Q153" s="44"/>
      <c r="R153" s="44"/>
      <c r="S153" s="44"/>
      <c r="T153" s="44"/>
      <c r="U153" s="44"/>
      <c r="V153" s="5"/>
      <c r="W153" s="5"/>
      <c r="Y153" s="44"/>
    </row>
    <row r="154" spans="3:25" ht="15.75" customHeight="1">
      <c r="C154" s="5"/>
      <c r="D154" s="5"/>
      <c r="E154" s="5"/>
      <c r="F154" s="5"/>
      <c r="G154" s="44"/>
      <c r="H154" s="5"/>
      <c r="I154" s="44"/>
      <c r="J154" s="44"/>
      <c r="K154" s="44"/>
      <c r="L154" s="5"/>
      <c r="M154" s="5"/>
      <c r="N154" s="5"/>
      <c r="O154" s="5"/>
      <c r="P154" s="44"/>
      <c r="Q154" s="44"/>
      <c r="R154" s="44"/>
      <c r="S154" s="44"/>
      <c r="T154" s="44"/>
      <c r="U154" s="44"/>
      <c r="V154" s="5"/>
      <c r="W154" s="5"/>
      <c r="Y154" s="44"/>
    </row>
    <row r="155" spans="3:25" ht="15.75" customHeight="1">
      <c r="C155" s="5"/>
      <c r="D155" s="5"/>
      <c r="E155" s="5"/>
      <c r="F155" s="5"/>
      <c r="G155" s="44"/>
      <c r="H155" s="5"/>
      <c r="I155" s="44"/>
      <c r="J155" s="44"/>
      <c r="K155" s="44"/>
      <c r="L155" s="5"/>
      <c r="M155" s="5"/>
      <c r="N155" s="5"/>
      <c r="O155" s="5"/>
      <c r="P155" s="44"/>
      <c r="Q155" s="44"/>
      <c r="R155" s="44"/>
      <c r="S155" s="44"/>
      <c r="T155" s="44"/>
      <c r="U155" s="44"/>
      <c r="V155" s="5"/>
      <c r="W155" s="5"/>
      <c r="Y155" s="44"/>
    </row>
    <row r="156" spans="3:25" ht="15.75" customHeight="1">
      <c r="C156" s="5"/>
      <c r="D156" s="5"/>
      <c r="E156" s="5"/>
      <c r="F156" s="5"/>
      <c r="G156" s="44"/>
      <c r="H156" s="5"/>
      <c r="I156" s="44"/>
      <c r="J156" s="44"/>
      <c r="K156" s="44"/>
      <c r="L156" s="5"/>
      <c r="M156" s="5"/>
      <c r="N156" s="5"/>
      <c r="O156" s="5"/>
      <c r="P156" s="44"/>
      <c r="Q156" s="44"/>
      <c r="R156" s="44"/>
      <c r="S156" s="44"/>
      <c r="T156" s="44"/>
      <c r="U156" s="44"/>
      <c r="V156" s="5"/>
      <c r="W156" s="5"/>
      <c r="Y156" s="44"/>
    </row>
    <row r="157" spans="3:25" ht="15.75" customHeight="1">
      <c r="C157" s="5"/>
      <c r="D157" s="5"/>
      <c r="E157" s="5"/>
      <c r="F157" s="5"/>
      <c r="G157" s="44"/>
      <c r="H157" s="5"/>
      <c r="I157" s="44"/>
      <c r="J157" s="44"/>
      <c r="K157" s="44"/>
      <c r="L157" s="5"/>
      <c r="M157" s="5"/>
      <c r="N157" s="5"/>
      <c r="O157" s="5"/>
      <c r="P157" s="44"/>
      <c r="Q157" s="44"/>
      <c r="R157" s="44"/>
      <c r="S157" s="44"/>
      <c r="T157" s="44"/>
      <c r="U157" s="44"/>
      <c r="V157" s="5"/>
      <c r="W157" s="5"/>
      <c r="Y157" s="44"/>
    </row>
    <row r="158" spans="3:25" ht="15.75" customHeight="1">
      <c r="C158" s="5"/>
      <c r="D158" s="5"/>
      <c r="E158" s="5"/>
      <c r="F158" s="5"/>
      <c r="G158" s="44"/>
      <c r="H158" s="5"/>
      <c r="I158" s="44"/>
      <c r="J158" s="44"/>
      <c r="K158" s="44"/>
      <c r="L158" s="5"/>
      <c r="M158" s="5"/>
      <c r="N158" s="5"/>
      <c r="O158" s="5"/>
      <c r="P158" s="44"/>
      <c r="Q158" s="44"/>
      <c r="R158" s="44"/>
      <c r="S158" s="44"/>
      <c r="T158" s="44"/>
      <c r="U158" s="44"/>
      <c r="V158" s="5"/>
      <c r="W158" s="5"/>
      <c r="Y158" s="44"/>
    </row>
    <row r="159" spans="3:25" ht="15.75" customHeight="1">
      <c r="C159" s="5"/>
      <c r="D159" s="5"/>
      <c r="E159" s="5"/>
      <c r="F159" s="5"/>
      <c r="G159" s="44"/>
      <c r="H159" s="5"/>
      <c r="I159" s="44"/>
      <c r="J159" s="44"/>
      <c r="K159" s="44"/>
      <c r="L159" s="5"/>
      <c r="M159" s="5"/>
      <c r="N159" s="5"/>
      <c r="O159" s="5"/>
      <c r="P159" s="44"/>
      <c r="Q159" s="44"/>
      <c r="R159" s="44"/>
      <c r="S159" s="44"/>
      <c r="T159" s="44"/>
      <c r="U159" s="44"/>
      <c r="V159" s="5"/>
      <c r="W159" s="5"/>
      <c r="Y159" s="44"/>
    </row>
    <row r="160" spans="3:25" ht="15.75" customHeight="1">
      <c r="C160" s="5"/>
      <c r="D160" s="5"/>
      <c r="E160" s="5"/>
      <c r="F160" s="5"/>
      <c r="G160" s="44"/>
      <c r="H160" s="5"/>
      <c r="I160" s="44"/>
      <c r="J160" s="44"/>
      <c r="K160" s="44"/>
      <c r="L160" s="5"/>
      <c r="M160" s="5"/>
      <c r="N160" s="5"/>
      <c r="O160" s="5"/>
      <c r="P160" s="44"/>
      <c r="Q160" s="44"/>
      <c r="R160" s="44"/>
      <c r="S160" s="44"/>
      <c r="T160" s="44"/>
      <c r="U160" s="44"/>
      <c r="V160" s="5"/>
      <c r="W160" s="5"/>
      <c r="Y160" s="44"/>
    </row>
    <row r="161" spans="3:25" ht="15.75" customHeight="1">
      <c r="C161" s="5"/>
      <c r="D161" s="5"/>
      <c r="E161" s="5"/>
      <c r="F161" s="5"/>
      <c r="G161" s="44"/>
      <c r="H161" s="5"/>
      <c r="I161" s="44"/>
      <c r="J161" s="44"/>
      <c r="K161" s="44"/>
      <c r="L161" s="5"/>
      <c r="M161" s="5"/>
      <c r="N161" s="5"/>
      <c r="O161" s="5"/>
      <c r="P161" s="44"/>
      <c r="Q161" s="44"/>
      <c r="R161" s="44"/>
      <c r="S161" s="44"/>
      <c r="T161" s="44"/>
      <c r="U161" s="44"/>
      <c r="V161" s="5"/>
      <c r="W161" s="5"/>
      <c r="Y161" s="44"/>
    </row>
    <row r="162" spans="3:25" ht="15.75" customHeight="1">
      <c r="C162" s="5"/>
      <c r="D162" s="5"/>
      <c r="E162" s="5"/>
      <c r="F162" s="5"/>
      <c r="G162" s="44"/>
      <c r="H162" s="5"/>
      <c r="I162" s="44"/>
      <c r="J162" s="44"/>
      <c r="K162" s="44"/>
      <c r="L162" s="5"/>
      <c r="M162" s="5"/>
      <c r="N162" s="5"/>
      <c r="O162" s="5"/>
      <c r="P162" s="44"/>
      <c r="Q162" s="44"/>
      <c r="R162" s="44"/>
      <c r="S162" s="44"/>
      <c r="T162" s="44"/>
      <c r="U162" s="44"/>
      <c r="V162" s="5"/>
      <c r="W162" s="5"/>
      <c r="Y162" s="44"/>
    </row>
    <row r="163" spans="3:25" ht="15.75" customHeight="1">
      <c r="C163" s="5"/>
      <c r="D163" s="5"/>
      <c r="E163" s="5"/>
      <c r="F163" s="5"/>
      <c r="G163" s="44"/>
      <c r="H163" s="5"/>
      <c r="I163" s="44"/>
      <c r="J163" s="44"/>
      <c r="K163" s="44"/>
      <c r="L163" s="5"/>
      <c r="M163" s="5"/>
      <c r="N163" s="5"/>
      <c r="O163" s="5"/>
      <c r="P163" s="44"/>
      <c r="Q163" s="44"/>
      <c r="R163" s="44"/>
      <c r="S163" s="44"/>
      <c r="T163" s="44"/>
      <c r="U163" s="44"/>
      <c r="V163" s="5"/>
      <c r="W163" s="5"/>
      <c r="Y163" s="44"/>
    </row>
    <row r="164" spans="3:25" ht="15.75" customHeight="1">
      <c r="C164" s="5"/>
      <c r="D164" s="5"/>
      <c r="E164" s="5"/>
      <c r="F164" s="5"/>
      <c r="G164" s="44"/>
      <c r="H164" s="5"/>
      <c r="I164" s="44"/>
      <c r="J164" s="44"/>
      <c r="K164" s="44"/>
      <c r="L164" s="5"/>
      <c r="M164" s="5"/>
      <c r="N164" s="5"/>
      <c r="O164" s="5"/>
      <c r="P164" s="44"/>
      <c r="Q164" s="44"/>
      <c r="R164" s="44"/>
      <c r="S164" s="44"/>
      <c r="T164" s="44"/>
      <c r="U164" s="44"/>
      <c r="V164" s="5"/>
      <c r="W164" s="5"/>
      <c r="Y164" s="44"/>
    </row>
    <row r="165" spans="3:25" ht="15.75" customHeight="1">
      <c r="C165" s="5"/>
      <c r="D165" s="5"/>
      <c r="E165" s="5"/>
      <c r="F165" s="5"/>
      <c r="G165" s="44"/>
      <c r="H165" s="5"/>
      <c r="I165" s="44"/>
      <c r="J165" s="44"/>
      <c r="K165" s="44"/>
      <c r="L165" s="5"/>
      <c r="M165" s="5"/>
      <c r="N165" s="5"/>
      <c r="O165" s="5"/>
      <c r="P165" s="44"/>
      <c r="Q165" s="44"/>
      <c r="R165" s="44"/>
      <c r="S165" s="44"/>
      <c r="T165" s="44"/>
      <c r="U165" s="44"/>
      <c r="V165" s="5"/>
      <c r="W165" s="5"/>
      <c r="Y165" s="44"/>
    </row>
    <row r="166" spans="3:25" ht="15.75" customHeight="1">
      <c r="C166" s="5"/>
      <c r="D166" s="5"/>
      <c r="E166" s="5"/>
      <c r="F166" s="5"/>
      <c r="G166" s="44"/>
      <c r="H166" s="5"/>
      <c r="I166" s="44"/>
      <c r="J166" s="44"/>
      <c r="K166" s="44"/>
      <c r="L166" s="5"/>
      <c r="M166" s="5"/>
      <c r="N166" s="5"/>
      <c r="O166" s="5"/>
      <c r="P166" s="44"/>
      <c r="Q166" s="44"/>
      <c r="R166" s="44"/>
      <c r="S166" s="44"/>
      <c r="T166" s="44"/>
      <c r="U166" s="44"/>
      <c r="V166" s="5"/>
      <c r="W166" s="5"/>
      <c r="Y166" s="44"/>
    </row>
    <row r="167" spans="3:25" ht="15.75" customHeight="1">
      <c r="C167" s="5"/>
      <c r="D167" s="5"/>
      <c r="E167" s="5"/>
      <c r="F167" s="5"/>
      <c r="G167" s="44"/>
      <c r="H167" s="5"/>
      <c r="I167" s="44"/>
      <c r="J167" s="44"/>
      <c r="K167" s="44"/>
      <c r="L167" s="5"/>
      <c r="M167" s="5"/>
      <c r="N167" s="5"/>
      <c r="O167" s="5"/>
      <c r="P167" s="44"/>
      <c r="Q167" s="44"/>
      <c r="R167" s="44"/>
      <c r="S167" s="44"/>
      <c r="T167" s="44"/>
      <c r="U167" s="44"/>
      <c r="V167" s="5"/>
      <c r="W167" s="5"/>
      <c r="Y167" s="44"/>
    </row>
    <row r="168" spans="3:25" ht="15.75" customHeight="1">
      <c r="C168" s="5"/>
      <c r="D168" s="5"/>
      <c r="E168" s="5"/>
      <c r="F168" s="5"/>
      <c r="G168" s="44"/>
      <c r="H168" s="5"/>
      <c r="I168" s="44"/>
      <c r="J168" s="44"/>
      <c r="K168" s="44"/>
      <c r="L168" s="5"/>
      <c r="M168" s="5"/>
      <c r="N168" s="5"/>
      <c r="O168" s="5"/>
      <c r="P168" s="44"/>
      <c r="Q168" s="44"/>
      <c r="R168" s="44"/>
      <c r="S168" s="44"/>
      <c r="T168" s="44"/>
      <c r="U168" s="44"/>
      <c r="V168" s="5"/>
      <c r="W168" s="5"/>
      <c r="Y168" s="44"/>
    </row>
    <row r="169" spans="3:25" ht="15.75" customHeight="1">
      <c r="C169" s="5"/>
      <c r="D169" s="5"/>
      <c r="E169" s="5"/>
      <c r="F169" s="5"/>
      <c r="G169" s="44"/>
      <c r="H169" s="5"/>
      <c r="I169" s="44"/>
      <c r="J169" s="44"/>
      <c r="K169" s="44"/>
      <c r="L169" s="5"/>
      <c r="M169" s="5"/>
      <c r="N169" s="5"/>
      <c r="O169" s="5"/>
      <c r="P169" s="44"/>
      <c r="Q169" s="44"/>
      <c r="R169" s="44"/>
      <c r="S169" s="44"/>
      <c r="T169" s="44"/>
      <c r="U169" s="44"/>
      <c r="V169" s="5"/>
      <c r="W169" s="5"/>
      <c r="Y169" s="44"/>
    </row>
    <row r="170" spans="3:25" ht="15.75" customHeight="1">
      <c r="C170" s="5"/>
      <c r="D170" s="5"/>
      <c r="E170" s="5"/>
      <c r="F170" s="5"/>
      <c r="G170" s="44"/>
      <c r="H170" s="5"/>
      <c r="I170" s="44"/>
      <c r="J170" s="44"/>
      <c r="K170" s="44"/>
      <c r="L170" s="5"/>
      <c r="M170" s="5"/>
      <c r="N170" s="5"/>
      <c r="O170" s="5"/>
      <c r="P170" s="44"/>
      <c r="Q170" s="44"/>
      <c r="R170" s="44"/>
      <c r="S170" s="44"/>
      <c r="T170" s="44"/>
      <c r="U170" s="44"/>
      <c r="V170" s="5"/>
      <c r="W170" s="5"/>
      <c r="Y170" s="44"/>
    </row>
    <row r="171" spans="3:25" ht="15.75" customHeight="1">
      <c r="C171" s="5"/>
      <c r="D171" s="5"/>
      <c r="E171" s="5"/>
      <c r="F171" s="5"/>
      <c r="G171" s="44"/>
      <c r="H171" s="5"/>
      <c r="I171" s="44"/>
      <c r="J171" s="44"/>
      <c r="K171" s="44"/>
      <c r="L171" s="5"/>
      <c r="M171" s="5"/>
      <c r="N171" s="5"/>
      <c r="O171" s="5"/>
      <c r="P171" s="44"/>
      <c r="Q171" s="44"/>
      <c r="R171" s="44"/>
      <c r="S171" s="44"/>
      <c r="T171" s="44"/>
      <c r="U171" s="44"/>
      <c r="V171" s="5"/>
      <c r="W171" s="5"/>
      <c r="Y171" s="44"/>
    </row>
    <row r="172" spans="3:25" ht="15.75" customHeight="1">
      <c r="C172" s="5"/>
      <c r="D172" s="5"/>
      <c r="E172" s="5"/>
      <c r="F172" s="5"/>
      <c r="G172" s="44"/>
      <c r="H172" s="5"/>
      <c r="I172" s="44"/>
      <c r="J172" s="44"/>
      <c r="K172" s="44"/>
      <c r="L172" s="5"/>
      <c r="M172" s="5"/>
      <c r="N172" s="5"/>
      <c r="O172" s="5"/>
      <c r="P172" s="44"/>
      <c r="Q172" s="44"/>
      <c r="R172" s="44"/>
      <c r="S172" s="44"/>
      <c r="T172" s="44"/>
      <c r="U172" s="44"/>
      <c r="V172" s="5"/>
      <c r="W172" s="5"/>
      <c r="Y172" s="44"/>
    </row>
    <row r="173" spans="3:25" ht="15.75" customHeight="1">
      <c r="C173" s="5"/>
      <c r="D173" s="5"/>
      <c r="E173" s="5"/>
      <c r="F173" s="5"/>
      <c r="G173" s="44"/>
      <c r="H173" s="5"/>
      <c r="I173" s="44"/>
      <c r="J173" s="44"/>
      <c r="K173" s="44"/>
      <c r="L173" s="5"/>
      <c r="M173" s="5"/>
      <c r="N173" s="5"/>
      <c r="O173" s="5"/>
      <c r="P173" s="44"/>
      <c r="Q173" s="44"/>
      <c r="R173" s="44"/>
      <c r="S173" s="44"/>
      <c r="T173" s="44"/>
      <c r="U173" s="44"/>
      <c r="V173" s="5"/>
      <c r="W173" s="5"/>
      <c r="Y173" s="44"/>
    </row>
    <row r="174" spans="3:25" ht="15.75" customHeight="1">
      <c r="C174" s="5"/>
      <c r="D174" s="5"/>
      <c r="E174" s="5"/>
      <c r="F174" s="5"/>
      <c r="G174" s="44"/>
      <c r="H174" s="5"/>
      <c r="I174" s="44"/>
      <c r="J174" s="44"/>
      <c r="K174" s="44"/>
      <c r="L174" s="5"/>
      <c r="M174" s="5"/>
      <c r="N174" s="5"/>
      <c r="O174" s="5"/>
      <c r="P174" s="44"/>
      <c r="Q174" s="44"/>
      <c r="R174" s="44"/>
      <c r="S174" s="44"/>
      <c r="T174" s="44"/>
      <c r="U174" s="44"/>
      <c r="V174" s="5"/>
      <c r="W174" s="5"/>
      <c r="Y174" s="44"/>
    </row>
    <row r="175" spans="3:25" ht="15.75" customHeight="1">
      <c r="C175" s="5"/>
      <c r="D175" s="5"/>
      <c r="E175" s="5"/>
      <c r="F175" s="5"/>
      <c r="G175" s="44"/>
      <c r="H175" s="5"/>
      <c r="I175" s="44"/>
      <c r="J175" s="44"/>
      <c r="K175" s="44"/>
      <c r="L175" s="5"/>
      <c r="M175" s="5"/>
      <c r="N175" s="5"/>
      <c r="O175" s="5"/>
      <c r="P175" s="44"/>
      <c r="Q175" s="44"/>
      <c r="R175" s="44"/>
      <c r="S175" s="44"/>
      <c r="T175" s="44"/>
      <c r="U175" s="44"/>
      <c r="V175" s="5"/>
      <c r="W175" s="5"/>
      <c r="Y175" s="44"/>
    </row>
    <row r="176" spans="3:25" ht="15.75" customHeight="1">
      <c r="C176" s="5"/>
      <c r="D176" s="5"/>
      <c r="E176" s="5"/>
      <c r="F176" s="5"/>
      <c r="G176" s="44"/>
      <c r="H176" s="5"/>
      <c r="I176" s="44"/>
      <c r="J176" s="44"/>
      <c r="K176" s="44"/>
      <c r="L176" s="5"/>
      <c r="M176" s="5"/>
      <c r="N176" s="5"/>
      <c r="O176" s="5"/>
      <c r="P176" s="44"/>
      <c r="Q176" s="44"/>
      <c r="R176" s="44"/>
      <c r="S176" s="44"/>
      <c r="T176" s="44"/>
      <c r="U176" s="44"/>
      <c r="V176" s="5"/>
      <c r="W176" s="5"/>
      <c r="Y176" s="44"/>
    </row>
    <row r="177" spans="3:25" ht="15.75" customHeight="1">
      <c r="C177" s="5"/>
      <c r="D177" s="5"/>
      <c r="E177" s="5"/>
      <c r="F177" s="5"/>
      <c r="G177" s="44"/>
      <c r="H177" s="5"/>
      <c r="I177" s="44"/>
      <c r="J177" s="44"/>
      <c r="K177" s="44"/>
      <c r="L177" s="5"/>
      <c r="M177" s="5"/>
      <c r="N177" s="5"/>
      <c r="O177" s="5"/>
      <c r="P177" s="44"/>
      <c r="Q177" s="44"/>
      <c r="R177" s="44"/>
      <c r="S177" s="44"/>
      <c r="T177" s="44"/>
      <c r="U177" s="44"/>
      <c r="V177" s="5"/>
      <c r="W177" s="5"/>
      <c r="Y177" s="44"/>
    </row>
    <row r="178" spans="3:25" ht="15.75" customHeight="1">
      <c r="C178" s="5"/>
      <c r="D178" s="5"/>
      <c r="E178" s="5"/>
      <c r="F178" s="5"/>
      <c r="G178" s="44"/>
      <c r="H178" s="5"/>
      <c r="I178" s="44"/>
      <c r="J178" s="44"/>
      <c r="K178" s="44"/>
      <c r="L178" s="5"/>
      <c r="M178" s="5"/>
      <c r="N178" s="5"/>
      <c r="O178" s="5"/>
      <c r="P178" s="44"/>
      <c r="Q178" s="44"/>
      <c r="R178" s="44"/>
      <c r="S178" s="44"/>
      <c r="T178" s="44"/>
      <c r="U178" s="44"/>
      <c r="V178" s="5"/>
      <c r="W178" s="5"/>
      <c r="Y178" s="44"/>
    </row>
    <row r="179" spans="3:25" ht="15.75" customHeight="1">
      <c r="C179" s="5"/>
      <c r="D179" s="5"/>
      <c r="E179" s="5"/>
      <c r="F179" s="5"/>
      <c r="G179" s="44"/>
      <c r="H179" s="5"/>
      <c r="I179" s="44"/>
      <c r="J179" s="44"/>
      <c r="K179" s="44"/>
      <c r="L179" s="5"/>
      <c r="M179" s="5"/>
      <c r="N179" s="5"/>
      <c r="O179" s="5"/>
      <c r="P179" s="44"/>
      <c r="Q179" s="44"/>
      <c r="R179" s="44"/>
      <c r="S179" s="44"/>
      <c r="T179" s="44"/>
      <c r="U179" s="44"/>
      <c r="V179" s="5"/>
      <c r="W179" s="5"/>
      <c r="Y179" s="44"/>
    </row>
    <row r="180" spans="3:25" ht="15.75" customHeight="1">
      <c r="C180" s="5"/>
      <c r="D180" s="5"/>
      <c r="E180" s="5"/>
      <c r="F180" s="5"/>
      <c r="G180" s="44"/>
      <c r="H180" s="5"/>
      <c r="I180" s="44"/>
      <c r="J180" s="44"/>
      <c r="K180" s="44"/>
      <c r="L180" s="5"/>
      <c r="M180" s="5"/>
      <c r="N180" s="5"/>
      <c r="O180" s="5"/>
      <c r="P180" s="44"/>
      <c r="Q180" s="44"/>
      <c r="R180" s="44"/>
      <c r="S180" s="44"/>
      <c r="T180" s="44"/>
      <c r="U180" s="44"/>
      <c r="V180" s="5"/>
      <c r="W180" s="5"/>
      <c r="Y180" s="44"/>
    </row>
    <row r="181" spans="3:25" ht="15.75" customHeight="1">
      <c r="C181" s="5"/>
      <c r="D181" s="5"/>
      <c r="E181" s="5"/>
      <c r="F181" s="5"/>
      <c r="G181" s="44"/>
      <c r="H181" s="5"/>
      <c r="I181" s="44"/>
      <c r="J181" s="44"/>
      <c r="K181" s="44"/>
      <c r="L181" s="5"/>
      <c r="M181" s="5"/>
      <c r="N181" s="5"/>
      <c r="O181" s="5"/>
      <c r="P181" s="44"/>
      <c r="Q181" s="44"/>
      <c r="R181" s="44"/>
      <c r="S181" s="44"/>
      <c r="T181" s="44"/>
      <c r="U181" s="44"/>
      <c r="V181" s="5"/>
      <c r="W181" s="5"/>
      <c r="Y181" s="44"/>
    </row>
    <row r="182" spans="3:25" ht="15.75" customHeight="1">
      <c r="C182" s="5"/>
      <c r="D182" s="5"/>
      <c r="E182" s="5"/>
      <c r="F182" s="5"/>
      <c r="G182" s="44"/>
      <c r="H182" s="5"/>
      <c r="I182" s="44"/>
      <c r="J182" s="44"/>
      <c r="K182" s="44"/>
      <c r="L182" s="5"/>
      <c r="M182" s="5"/>
      <c r="N182" s="5"/>
      <c r="O182" s="5"/>
      <c r="P182" s="44"/>
      <c r="Q182" s="44"/>
      <c r="R182" s="44"/>
      <c r="S182" s="44"/>
      <c r="T182" s="44"/>
      <c r="U182" s="44"/>
      <c r="V182" s="5"/>
      <c r="W182" s="5"/>
      <c r="Y182" s="44"/>
    </row>
    <row r="183" spans="3:25" ht="15.75" customHeight="1">
      <c r="C183" s="5"/>
      <c r="D183" s="5"/>
      <c r="E183" s="5"/>
      <c r="F183" s="5"/>
      <c r="G183" s="44"/>
      <c r="H183" s="5"/>
      <c r="I183" s="44"/>
      <c r="J183" s="44"/>
      <c r="K183" s="44"/>
      <c r="L183" s="5"/>
      <c r="M183" s="5"/>
      <c r="N183" s="5"/>
      <c r="O183" s="5"/>
      <c r="P183" s="44"/>
      <c r="Q183" s="44"/>
      <c r="R183" s="44"/>
      <c r="S183" s="44"/>
      <c r="T183" s="44"/>
      <c r="U183" s="44"/>
      <c r="V183" s="5"/>
      <c r="W183" s="5"/>
      <c r="Y183" s="44"/>
    </row>
    <row r="184" spans="3:25" ht="15.75" customHeight="1">
      <c r="C184" s="5"/>
      <c r="D184" s="5"/>
      <c r="E184" s="5"/>
      <c r="F184" s="5"/>
      <c r="G184" s="44"/>
      <c r="H184" s="5"/>
      <c r="I184" s="44"/>
      <c r="J184" s="44"/>
      <c r="K184" s="44"/>
      <c r="L184" s="5"/>
      <c r="M184" s="5"/>
      <c r="N184" s="5"/>
      <c r="O184" s="5"/>
      <c r="P184" s="44"/>
      <c r="Q184" s="44"/>
      <c r="R184" s="44"/>
      <c r="S184" s="44"/>
      <c r="T184" s="44"/>
      <c r="U184" s="44"/>
      <c r="V184" s="5"/>
      <c r="W184" s="5"/>
      <c r="Y184" s="44"/>
    </row>
    <row r="185" spans="3:25" ht="15.75" customHeight="1">
      <c r="C185" s="5"/>
      <c r="D185" s="5"/>
      <c r="E185" s="5"/>
      <c r="F185" s="5"/>
      <c r="G185" s="44"/>
      <c r="H185" s="5"/>
      <c r="I185" s="44"/>
      <c r="J185" s="44"/>
      <c r="K185" s="44"/>
      <c r="L185" s="5"/>
      <c r="M185" s="5"/>
      <c r="N185" s="5"/>
      <c r="O185" s="5"/>
      <c r="P185" s="44"/>
      <c r="Q185" s="44"/>
      <c r="R185" s="44"/>
      <c r="S185" s="44"/>
      <c r="T185" s="44"/>
      <c r="U185" s="44"/>
      <c r="V185" s="5"/>
      <c r="W185" s="5"/>
      <c r="Y185" s="44"/>
    </row>
    <row r="186" spans="3:25" ht="15.75" customHeight="1">
      <c r="C186" s="5"/>
      <c r="D186" s="5"/>
      <c r="E186" s="5"/>
      <c r="F186" s="5"/>
      <c r="G186" s="44"/>
      <c r="H186" s="5"/>
      <c r="I186" s="44"/>
      <c r="J186" s="44"/>
      <c r="K186" s="44"/>
      <c r="L186" s="5"/>
      <c r="M186" s="5"/>
      <c r="N186" s="5"/>
      <c r="O186" s="5"/>
      <c r="P186" s="44"/>
      <c r="Q186" s="44"/>
      <c r="R186" s="44"/>
      <c r="S186" s="44"/>
      <c r="T186" s="44"/>
      <c r="U186" s="44"/>
      <c r="V186" s="5"/>
      <c r="W186" s="5"/>
      <c r="Y186" s="44"/>
    </row>
    <row r="187" spans="3:25" ht="15.75" customHeight="1">
      <c r="C187" s="5"/>
      <c r="D187" s="5"/>
      <c r="E187" s="5"/>
      <c r="F187" s="5"/>
      <c r="G187" s="44"/>
      <c r="H187" s="5"/>
      <c r="I187" s="44"/>
      <c r="J187" s="44"/>
      <c r="K187" s="44"/>
      <c r="L187" s="5"/>
      <c r="M187" s="5"/>
      <c r="N187" s="5"/>
      <c r="O187" s="5"/>
      <c r="P187" s="44"/>
      <c r="Q187" s="44"/>
      <c r="R187" s="44"/>
      <c r="S187" s="44"/>
      <c r="T187" s="44"/>
      <c r="U187" s="44"/>
      <c r="V187" s="5"/>
      <c r="W187" s="5"/>
      <c r="Y187" s="44"/>
    </row>
    <row r="188" spans="3:25" ht="15.75" customHeight="1">
      <c r="C188" s="5"/>
      <c r="D188" s="5"/>
      <c r="E188" s="5"/>
      <c r="F188" s="5"/>
      <c r="G188" s="44"/>
      <c r="H188" s="5"/>
      <c r="I188" s="44"/>
      <c r="J188" s="44"/>
      <c r="K188" s="44"/>
      <c r="L188" s="5"/>
      <c r="M188" s="5"/>
      <c r="N188" s="5"/>
      <c r="O188" s="5"/>
      <c r="P188" s="44"/>
      <c r="Q188" s="44"/>
      <c r="R188" s="44"/>
      <c r="S188" s="44"/>
      <c r="T188" s="44"/>
      <c r="U188" s="44"/>
      <c r="V188" s="5"/>
      <c r="W188" s="5"/>
      <c r="Y188" s="44"/>
    </row>
    <row r="189" spans="3:25" ht="15.75" customHeight="1">
      <c r="C189" s="5"/>
      <c r="D189" s="5"/>
      <c r="E189" s="5"/>
      <c r="F189" s="5"/>
      <c r="G189" s="44"/>
      <c r="H189" s="5"/>
      <c r="I189" s="44"/>
      <c r="J189" s="44"/>
      <c r="K189" s="44"/>
      <c r="L189" s="5"/>
      <c r="M189" s="5"/>
      <c r="N189" s="5"/>
      <c r="O189" s="5"/>
      <c r="P189" s="44"/>
      <c r="Q189" s="44"/>
      <c r="R189" s="44"/>
      <c r="S189" s="44"/>
      <c r="T189" s="44"/>
      <c r="U189" s="44"/>
      <c r="V189" s="5"/>
      <c r="W189" s="5"/>
      <c r="Y189" s="44"/>
    </row>
    <row r="190" spans="3:25" ht="15.75" customHeight="1">
      <c r="C190" s="5"/>
      <c r="D190" s="5"/>
      <c r="E190" s="5"/>
      <c r="F190" s="5"/>
      <c r="G190" s="44"/>
      <c r="H190" s="5"/>
      <c r="I190" s="44"/>
      <c r="J190" s="44"/>
      <c r="K190" s="44"/>
      <c r="L190" s="5"/>
      <c r="M190" s="5"/>
      <c r="N190" s="5"/>
      <c r="O190" s="5"/>
      <c r="P190" s="44"/>
      <c r="Q190" s="44"/>
      <c r="R190" s="44"/>
      <c r="S190" s="44"/>
      <c r="T190" s="44"/>
      <c r="U190" s="44"/>
      <c r="V190" s="5"/>
      <c r="W190" s="5"/>
      <c r="Y190" s="44"/>
    </row>
    <row r="191" spans="3:25" ht="15.75" customHeight="1">
      <c r="C191" s="5"/>
      <c r="D191" s="5"/>
      <c r="E191" s="5"/>
      <c r="F191" s="5"/>
      <c r="G191" s="44"/>
      <c r="H191" s="5"/>
      <c r="I191" s="44"/>
      <c r="J191" s="44"/>
      <c r="K191" s="44"/>
      <c r="L191" s="5"/>
      <c r="M191" s="5"/>
      <c r="N191" s="5"/>
      <c r="O191" s="5"/>
      <c r="P191" s="44"/>
      <c r="Q191" s="44"/>
      <c r="R191" s="44"/>
      <c r="S191" s="44"/>
      <c r="T191" s="44"/>
      <c r="U191" s="44"/>
      <c r="V191" s="5"/>
      <c r="W191" s="5"/>
      <c r="Y191" s="44"/>
    </row>
    <row r="192" spans="3:25" ht="15.75" customHeight="1">
      <c r="C192" s="5"/>
      <c r="D192" s="5"/>
      <c r="E192" s="5"/>
      <c r="F192" s="5"/>
      <c r="G192" s="44"/>
      <c r="H192" s="5"/>
      <c r="I192" s="44"/>
      <c r="J192" s="44"/>
      <c r="K192" s="44"/>
      <c r="L192" s="5"/>
      <c r="M192" s="5"/>
      <c r="N192" s="5"/>
      <c r="O192" s="5"/>
      <c r="P192" s="44"/>
      <c r="Q192" s="44"/>
      <c r="R192" s="44"/>
      <c r="S192" s="44"/>
      <c r="T192" s="44"/>
      <c r="U192" s="44"/>
      <c r="V192" s="5"/>
      <c r="W192" s="5"/>
      <c r="Y192" s="44"/>
    </row>
    <row r="193" spans="3:25" ht="15.75" customHeight="1">
      <c r="C193" s="5"/>
      <c r="D193" s="5"/>
      <c r="E193" s="5"/>
      <c r="F193" s="5"/>
      <c r="G193" s="44"/>
      <c r="H193" s="5"/>
      <c r="I193" s="44"/>
      <c r="J193" s="44"/>
      <c r="K193" s="44"/>
      <c r="L193" s="5"/>
      <c r="M193" s="5"/>
      <c r="N193" s="5"/>
      <c r="O193" s="5"/>
      <c r="P193" s="44"/>
      <c r="Q193" s="44"/>
      <c r="R193" s="44"/>
      <c r="S193" s="44"/>
      <c r="T193" s="44"/>
      <c r="U193" s="44"/>
      <c r="V193" s="5"/>
      <c r="W193" s="5"/>
      <c r="Y193" s="44"/>
    </row>
    <row r="194" spans="3:25" ht="15.75" customHeight="1">
      <c r="C194" s="5"/>
      <c r="D194" s="5"/>
      <c r="E194" s="5"/>
      <c r="F194" s="5"/>
      <c r="G194" s="44"/>
      <c r="H194" s="5"/>
      <c r="I194" s="44"/>
      <c r="J194" s="44"/>
      <c r="K194" s="44"/>
      <c r="L194" s="5"/>
      <c r="M194" s="5"/>
      <c r="N194" s="5"/>
      <c r="O194" s="5"/>
      <c r="P194" s="44"/>
      <c r="Q194" s="44"/>
      <c r="R194" s="44"/>
      <c r="S194" s="44"/>
      <c r="T194" s="44"/>
      <c r="U194" s="44"/>
      <c r="V194" s="5"/>
      <c r="W194" s="5"/>
      <c r="Y194" s="44"/>
    </row>
    <row r="195" spans="3:25" ht="15.75" customHeight="1">
      <c r="C195" s="5"/>
      <c r="D195" s="5"/>
      <c r="E195" s="5"/>
      <c r="F195" s="5"/>
      <c r="G195" s="44"/>
      <c r="H195" s="5"/>
      <c r="I195" s="44"/>
      <c r="J195" s="44"/>
      <c r="K195" s="44"/>
      <c r="L195" s="5"/>
      <c r="M195" s="5"/>
      <c r="N195" s="5"/>
      <c r="O195" s="5"/>
      <c r="P195" s="44"/>
      <c r="Q195" s="44"/>
      <c r="R195" s="44"/>
      <c r="S195" s="44"/>
      <c r="T195" s="44"/>
      <c r="U195" s="44"/>
      <c r="V195" s="5"/>
      <c r="W195" s="5"/>
      <c r="Y195" s="44"/>
    </row>
    <row r="196" spans="3:25" ht="15.75" customHeight="1">
      <c r="C196" s="5"/>
      <c r="D196" s="5"/>
      <c r="E196" s="5"/>
      <c r="F196" s="5"/>
      <c r="G196" s="44"/>
      <c r="H196" s="5"/>
      <c r="I196" s="44"/>
      <c r="J196" s="44"/>
      <c r="K196" s="44"/>
      <c r="L196" s="5"/>
      <c r="M196" s="5"/>
      <c r="N196" s="5"/>
      <c r="O196" s="5"/>
      <c r="P196" s="44"/>
      <c r="Q196" s="44"/>
      <c r="R196" s="44"/>
      <c r="S196" s="44"/>
      <c r="T196" s="44"/>
      <c r="U196" s="44"/>
      <c r="V196" s="5"/>
      <c r="W196" s="5"/>
      <c r="Y196" s="44"/>
    </row>
    <row r="197" spans="3:25" ht="15.75" customHeight="1">
      <c r="C197" s="5"/>
      <c r="D197" s="5"/>
      <c r="E197" s="5"/>
      <c r="F197" s="5"/>
      <c r="G197" s="44"/>
      <c r="H197" s="5"/>
      <c r="I197" s="44"/>
      <c r="J197" s="44"/>
      <c r="K197" s="44"/>
      <c r="L197" s="5"/>
      <c r="M197" s="5"/>
      <c r="N197" s="5"/>
      <c r="O197" s="5"/>
      <c r="P197" s="44"/>
      <c r="Q197" s="44"/>
      <c r="R197" s="44"/>
      <c r="S197" s="44"/>
      <c r="T197" s="44"/>
      <c r="U197" s="44"/>
      <c r="V197" s="5"/>
      <c r="W197" s="5"/>
      <c r="Y197" s="44"/>
    </row>
    <row r="198" spans="3:25" ht="15.75" customHeight="1">
      <c r="C198" s="5"/>
      <c r="D198" s="5"/>
      <c r="E198" s="5"/>
      <c r="F198" s="5"/>
      <c r="G198" s="44"/>
      <c r="H198" s="5"/>
      <c r="I198" s="44"/>
      <c r="J198" s="44"/>
      <c r="K198" s="44"/>
      <c r="L198" s="5"/>
      <c r="M198" s="5"/>
      <c r="N198" s="5"/>
      <c r="O198" s="5"/>
      <c r="P198" s="44"/>
      <c r="Q198" s="44"/>
      <c r="R198" s="44"/>
      <c r="S198" s="44"/>
      <c r="T198" s="44"/>
      <c r="U198" s="44"/>
      <c r="V198" s="5"/>
      <c r="W198" s="5"/>
      <c r="Y198" s="44"/>
    </row>
    <row r="199" spans="3:25" ht="15.75" customHeight="1">
      <c r="C199" s="5"/>
      <c r="D199" s="5"/>
      <c r="E199" s="5"/>
      <c r="F199" s="5"/>
      <c r="G199" s="44"/>
      <c r="H199" s="5"/>
      <c r="I199" s="44"/>
      <c r="J199" s="44"/>
      <c r="K199" s="44"/>
      <c r="L199" s="5"/>
      <c r="M199" s="5"/>
      <c r="N199" s="5"/>
      <c r="O199" s="5"/>
      <c r="P199" s="44"/>
      <c r="Q199" s="44"/>
      <c r="R199" s="44"/>
      <c r="S199" s="44"/>
      <c r="T199" s="44"/>
      <c r="U199" s="44"/>
      <c r="V199" s="5"/>
      <c r="W199" s="5"/>
      <c r="Y199" s="44"/>
    </row>
    <row r="200" spans="3:25" ht="15.75" customHeight="1">
      <c r="C200" s="5"/>
      <c r="D200" s="5"/>
      <c r="E200" s="5"/>
      <c r="F200" s="5"/>
      <c r="G200" s="44"/>
      <c r="H200" s="5"/>
      <c r="I200" s="44"/>
      <c r="J200" s="44"/>
      <c r="K200" s="44"/>
      <c r="L200" s="5"/>
      <c r="M200" s="5"/>
      <c r="N200" s="5"/>
      <c r="O200" s="5"/>
      <c r="P200" s="44"/>
      <c r="Q200" s="44"/>
      <c r="R200" s="44"/>
      <c r="S200" s="44"/>
      <c r="T200" s="44"/>
      <c r="U200" s="44"/>
      <c r="V200" s="5"/>
      <c r="W200" s="5"/>
      <c r="Y200" s="44"/>
    </row>
    <row r="201" spans="3:25" ht="15.75" customHeight="1">
      <c r="C201" s="5"/>
      <c r="D201" s="5"/>
      <c r="E201" s="5"/>
      <c r="F201" s="5"/>
      <c r="G201" s="44"/>
      <c r="H201" s="5"/>
      <c r="I201" s="44"/>
      <c r="J201" s="44"/>
      <c r="K201" s="44"/>
      <c r="L201" s="5"/>
      <c r="M201" s="5"/>
      <c r="N201" s="5"/>
      <c r="O201" s="5"/>
      <c r="P201" s="44"/>
      <c r="Q201" s="44"/>
      <c r="R201" s="44"/>
      <c r="S201" s="44"/>
      <c r="T201" s="44"/>
      <c r="U201" s="44"/>
      <c r="V201" s="5"/>
      <c r="W201" s="5"/>
      <c r="Y201" s="44"/>
    </row>
    <row r="202" spans="3:25" ht="15.75" customHeight="1">
      <c r="C202" s="5"/>
      <c r="D202" s="5"/>
      <c r="E202" s="5"/>
      <c r="F202" s="5"/>
      <c r="G202" s="44"/>
      <c r="H202" s="5"/>
      <c r="I202" s="44"/>
      <c r="J202" s="44"/>
      <c r="K202" s="44"/>
      <c r="L202" s="5"/>
      <c r="M202" s="5"/>
      <c r="N202" s="5"/>
      <c r="O202" s="5"/>
      <c r="P202" s="44"/>
      <c r="Q202" s="44"/>
      <c r="R202" s="44"/>
      <c r="S202" s="44"/>
      <c r="T202" s="44"/>
      <c r="U202" s="44"/>
      <c r="V202" s="5"/>
      <c r="W202" s="5"/>
      <c r="Y202" s="44"/>
    </row>
    <row r="203" spans="3:25" ht="15.75" customHeight="1">
      <c r="C203" s="5"/>
      <c r="D203" s="5"/>
      <c r="E203" s="5"/>
      <c r="F203" s="5"/>
      <c r="G203" s="44"/>
      <c r="H203" s="5"/>
      <c r="I203" s="44"/>
      <c r="J203" s="44"/>
      <c r="K203" s="44"/>
      <c r="L203" s="5"/>
      <c r="M203" s="5"/>
      <c r="N203" s="5"/>
      <c r="O203" s="5"/>
      <c r="P203" s="44"/>
      <c r="Q203" s="44"/>
      <c r="R203" s="44"/>
      <c r="S203" s="44"/>
      <c r="T203" s="44"/>
      <c r="U203" s="44"/>
      <c r="V203" s="5"/>
      <c r="W203" s="5"/>
      <c r="Y203" s="44"/>
    </row>
    <row r="204" spans="3:25" ht="15.75" customHeight="1">
      <c r="C204" s="5"/>
      <c r="D204" s="5"/>
      <c r="E204" s="5"/>
      <c r="F204" s="5"/>
      <c r="G204" s="44"/>
      <c r="H204" s="5"/>
      <c r="I204" s="44"/>
      <c r="J204" s="44"/>
      <c r="K204" s="44"/>
      <c r="L204" s="5"/>
      <c r="M204" s="5"/>
      <c r="N204" s="5"/>
      <c r="O204" s="5"/>
      <c r="P204" s="44"/>
      <c r="Q204" s="44"/>
      <c r="R204" s="44"/>
      <c r="S204" s="44"/>
      <c r="T204" s="44"/>
      <c r="U204" s="44"/>
      <c r="V204" s="5"/>
      <c r="W204" s="5"/>
      <c r="Y204" s="44"/>
    </row>
    <row r="205" spans="3:25" ht="15.75" customHeight="1">
      <c r="C205" s="5"/>
      <c r="D205" s="5"/>
      <c r="E205" s="5"/>
      <c r="F205" s="5"/>
      <c r="G205" s="44"/>
      <c r="H205" s="5"/>
      <c r="I205" s="44"/>
      <c r="J205" s="44"/>
      <c r="K205" s="44"/>
      <c r="L205" s="5"/>
      <c r="M205" s="5"/>
      <c r="N205" s="5"/>
      <c r="O205" s="5"/>
      <c r="P205" s="44"/>
      <c r="Q205" s="44"/>
      <c r="R205" s="44"/>
      <c r="S205" s="44"/>
      <c r="T205" s="44"/>
      <c r="U205" s="44"/>
      <c r="V205" s="5"/>
      <c r="W205" s="5"/>
      <c r="Y205" s="44"/>
    </row>
    <row r="206" spans="3:25" ht="15.75" customHeight="1">
      <c r="C206" s="5"/>
      <c r="D206" s="5"/>
      <c r="E206" s="5"/>
      <c r="F206" s="5"/>
      <c r="G206" s="44"/>
      <c r="H206" s="5"/>
      <c r="I206" s="44"/>
      <c r="J206" s="44"/>
      <c r="K206" s="44"/>
      <c r="L206" s="5"/>
      <c r="M206" s="5"/>
      <c r="N206" s="5"/>
      <c r="O206" s="5"/>
      <c r="P206" s="44"/>
      <c r="Q206" s="44"/>
      <c r="R206" s="44"/>
      <c r="S206" s="44"/>
      <c r="T206" s="44"/>
      <c r="U206" s="44"/>
      <c r="V206" s="5"/>
      <c r="W206" s="5"/>
      <c r="Y206" s="44"/>
    </row>
    <row r="207" spans="3:25" ht="15.75" customHeight="1">
      <c r="C207" s="5"/>
      <c r="D207" s="5"/>
      <c r="E207" s="5"/>
      <c r="F207" s="5"/>
      <c r="G207" s="44"/>
      <c r="H207" s="5"/>
      <c r="I207" s="44"/>
      <c r="J207" s="44"/>
      <c r="K207" s="44"/>
      <c r="L207" s="5"/>
      <c r="M207" s="5"/>
      <c r="N207" s="5"/>
      <c r="O207" s="5"/>
      <c r="P207" s="44"/>
      <c r="Q207" s="44"/>
      <c r="R207" s="44"/>
      <c r="S207" s="44"/>
      <c r="T207" s="44"/>
      <c r="U207" s="44"/>
      <c r="V207" s="5"/>
      <c r="W207" s="5"/>
      <c r="Y207" s="44"/>
    </row>
    <row r="208" spans="3:25" ht="15.75" customHeight="1">
      <c r="C208" s="5"/>
      <c r="D208" s="5"/>
      <c r="E208" s="5"/>
      <c r="F208" s="5"/>
      <c r="G208" s="44"/>
      <c r="H208" s="5"/>
      <c r="I208" s="44"/>
      <c r="J208" s="44"/>
      <c r="K208" s="44"/>
      <c r="L208" s="5"/>
      <c r="M208" s="5"/>
      <c r="N208" s="5"/>
      <c r="O208" s="5"/>
      <c r="P208" s="44"/>
      <c r="Q208" s="44"/>
      <c r="R208" s="44"/>
      <c r="S208" s="44"/>
      <c r="T208" s="44"/>
      <c r="U208" s="44"/>
      <c r="V208" s="5"/>
      <c r="W208" s="5"/>
      <c r="Y208" s="44"/>
    </row>
    <row r="209" spans="3:25" ht="15.75" customHeight="1">
      <c r="C209" s="5"/>
      <c r="D209" s="5"/>
      <c r="E209" s="5"/>
      <c r="F209" s="5"/>
      <c r="G209" s="44"/>
      <c r="H209" s="5"/>
      <c r="I209" s="44"/>
      <c r="J209" s="44"/>
      <c r="K209" s="44"/>
      <c r="L209" s="5"/>
      <c r="M209" s="5"/>
      <c r="N209" s="5"/>
      <c r="O209" s="5"/>
      <c r="P209" s="44"/>
      <c r="Q209" s="44"/>
      <c r="R209" s="44"/>
      <c r="S209" s="44"/>
      <c r="T209" s="44"/>
      <c r="U209" s="44"/>
      <c r="V209" s="5"/>
      <c r="W209" s="5"/>
      <c r="Y209" s="44"/>
    </row>
    <row r="210" spans="3:25" ht="15.75" customHeight="1">
      <c r="C210" s="5"/>
      <c r="D210" s="5"/>
      <c r="E210" s="5"/>
      <c r="F210" s="5"/>
      <c r="G210" s="44"/>
      <c r="H210" s="5"/>
      <c r="I210" s="44"/>
      <c r="J210" s="44"/>
      <c r="K210" s="44"/>
      <c r="L210" s="5"/>
      <c r="M210" s="5"/>
      <c r="N210" s="5"/>
      <c r="O210" s="5"/>
      <c r="P210" s="44"/>
      <c r="Q210" s="44"/>
      <c r="R210" s="44"/>
      <c r="S210" s="44"/>
      <c r="T210" s="44"/>
      <c r="U210" s="44"/>
      <c r="V210" s="5"/>
      <c r="W210" s="5"/>
      <c r="Y210" s="44"/>
    </row>
    <row r="211" spans="3:25" ht="15.75" customHeight="1">
      <c r="C211" s="5"/>
      <c r="D211" s="5"/>
      <c r="E211" s="5"/>
      <c r="F211" s="5"/>
      <c r="G211" s="44"/>
      <c r="H211" s="5"/>
      <c r="I211" s="44"/>
      <c r="J211" s="44"/>
      <c r="K211" s="44"/>
      <c r="L211" s="5"/>
      <c r="M211" s="5"/>
      <c r="N211" s="5"/>
      <c r="O211" s="5"/>
      <c r="P211" s="44"/>
      <c r="Q211" s="44"/>
      <c r="R211" s="44"/>
      <c r="S211" s="44"/>
      <c r="T211" s="44"/>
      <c r="U211" s="44"/>
      <c r="V211" s="5"/>
      <c r="W211" s="5"/>
      <c r="Y211" s="44"/>
    </row>
    <row r="212" spans="3:25" ht="15.75" customHeight="1">
      <c r="C212" s="5"/>
      <c r="D212" s="5"/>
      <c r="E212" s="5"/>
      <c r="F212" s="5"/>
      <c r="G212" s="44"/>
      <c r="H212" s="5"/>
      <c r="I212" s="44"/>
      <c r="J212" s="44"/>
      <c r="K212" s="44"/>
      <c r="L212" s="5"/>
      <c r="M212" s="5"/>
      <c r="N212" s="5"/>
      <c r="O212" s="5"/>
      <c r="P212" s="44"/>
      <c r="Q212" s="44"/>
      <c r="R212" s="44"/>
      <c r="S212" s="44"/>
      <c r="T212" s="44"/>
      <c r="U212" s="44"/>
      <c r="V212" s="5"/>
      <c r="W212" s="5"/>
      <c r="Y212" s="44"/>
    </row>
    <row r="213" spans="3:25" ht="15.75" customHeight="1">
      <c r="C213" s="5"/>
      <c r="D213" s="5"/>
      <c r="E213" s="5"/>
      <c r="F213" s="5"/>
      <c r="G213" s="44"/>
      <c r="H213" s="5"/>
      <c r="I213" s="44"/>
      <c r="J213" s="44"/>
      <c r="K213" s="44"/>
      <c r="L213" s="5"/>
      <c r="M213" s="5"/>
      <c r="N213" s="5"/>
      <c r="O213" s="5"/>
      <c r="P213" s="44"/>
      <c r="Q213" s="44"/>
      <c r="R213" s="44"/>
      <c r="S213" s="44"/>
      <c r="T213" s="44"/>
      <c r="U213" s="44"/>
      <c r="V213" s="5"/>
      <c r="W213" s="5"/>
      <c r="Y213" s="44"/>
    </row>
    <row r="214" spans="3:25" ht="15.75" customHeight="1">
      <c r="C214" s="5"/>
      <c r="D214" s="5"/>
      <c r="E214" s="5"/>
      <c r="F214" s="5"/>
      <c r="G214" s="44"/>
      <c r="H214" s="5"/>
      <c r="I214" s="44"/>
      <c r="J214" s="44"/>
      <c r="K214" s="44"/>
      <c r="L214" s="5"/>
      <c r="M214" s="5"/>
      <c r="N214" s="5"/>
      <c r="O214" s="5"/>
      <c r="P214" s="44"/>
      <c r="Q214" s="44"/>
      <c r="R214" s="44"/>
      <c r="S214" s="44"/>
      <c r="T214" s="44"/>
      <c r="U214" s="44"/>
      <c r="V214" s="5"/>
      <c r="W214" s="5"/>
      <c r="Y214" s="44"/>
    </row>
    <row r="215" spans="3:25" ht="15.75" customHeight="1">
      <c r="C215" s="5"/>
      <c r="D215" s="5"/>
      <c r="E215" s="5"/>
      <c r="F215" s="5"/>
      <c r="G215" s="44"/>
      <c r="H215" s="5"/>
      <c r="I215" s="44"/>
      <c r="J215" s="44"/>
      <c r="K215" s="44"/>
      <c r="L215" s="5"/>
      <c r="M215" s="5"/>
      <c r="N215" s="5"/>
      <c r="O215" s="5"/>
      <c r="P215" s="44"/>
      <c r="Q215" s="44"/>
      <c r="R215" s="44"/>
      <c r="S215" s="44"/>
      <c r="T215" s="44"/>
      <c r="U215" s="44"/>
      <c r="V215" s="5"/>
      <c r="W215" s="5"/>
      <c r="Y215" s="44"/>
    </row>
    <row r="216" spans="3:25" ht="15.75" customHeight="1">
      <c r="C216" s="5"/>
      <c r="D216" s="5"/>
      <c r="E216" s="5"/>
      <c r="F216" s="5"/>
      <c r="G216" s="44"/>
      <c r="H216" s="5"/>
      <c r="I216" s="44"/>
      <c r="J216" s="44"/>
      <c r="K216" s="44"/>
      <c r="L216" s="5"/>
      <c r="M216" s="5"/>
      <c r="N216" s="5"/>
      <c r="O216" s="5"/>
      <c r="P216" s="44"/>
      <c r="Q216" s="44"/>
      <c r="R216" s="44"/>
      <c r="S216" s="44"/>
      <c r="T216" s="44"/>
      <c r="U216" s="44"/>
      <c r="V216" s="5"/>
      <c r="W216" s="5"/>
      <c r="Y216" s="44"/>
    </row>
    <row r="217" spans="3:25" ht="15.75" customHeight="1">
      <c r="C217" s="5"/>
      <c r="D217" s="5"/>
      <c r="E217" s="5"/>
      <c r="F217" s="5"/>
      <c r="G217" s="44"/>
      <c r="H217" s="5"/>
      <c r="I217" s="44"/>
      <c r="J217" s="44"/>
      <c r="K217" s="44"/>
      <c r="L217" s="5"/>
      <c r="M217" s="5"/>
      <c r="N217" s="5"/>
      <c r="O217" s="5"/>
      <c r="P217" s="44"/>
      <c r="Q217" s="44"/>
      <c r="R217" s="44"/>
      <c r="S217" s="44"/>
      <c r="T217" s="44"/>
      <c r="U217" s="44"/>
      <c r="V217" s="5"/>
      <c r="W217" s="5"/>
      <c r="Y217" s="44"/>
    </row>
    <row r="218" spans="3:25" ht="15.75" customHeight="1">
      <c r="C218" s="5"/>
      <c r="D218" s="5"/>
      <c r="E218" s="5"/>
      <c r="F218" s="5"/>
      <c r="G218" s="44"/>
      <c r="H218" s="5"/>
      <c r="I218" s="44"/>
      <c r="J218" s="44"/>
      <c r="K218" s="44"/>
      <c r="L218" s="5"/>
      <c r="M218" s="5"/>
      <c r="N218" s="5"/>
      <c r="O218" s="5"/>
      <c r="P218" s="44"/>
      <c r="Q218" s="44"/>
      <c r="R218" s="44"/>
      <c r="S218" s="44"/>
      <c r="T218" s="44"/>
      <c r="U218" s="44"/>
      <c r="V218" s="5"/>
      <c r="W218" s="5"/>
      <c r="Y218" s="44"/>
    </row>
    <row r="219" spans="3:25" ht="15.75" customHeight="1">
      <c r="C219" s="5"/>
      <c r="D219" s="5"/>
      <c r="E219" s="5"/>
      <c r="F219" s="5"/>
      <c r="G219" s="44"/>
      <c r="H219" s="5"/>
      <c r="I219" s="44"/>
      <c r="J219" s="44"/>
      <c r="K219" s="44"/>
      <c r="L219" s="5"/>
      <c r="M219" s="5"/>
      <c r="N219" s="5"/>
      <c r="O219" s="5"/>
      <c r="P219" s="44"/>
      <c r="Q219" s="44"/>
      <c r="R219" s="44"/>
      <c r="S219" s="44"/>
      <c r="T219" s="44"/>
      <c r="U219" s="44"/>
      <c r="V219" s="5"/>
      <c r="W219" s="5"/>
      <c r="Y219" s="44"/>
    </row>
    <row r="220" spans="3:25" ht="15.75" customHeight="1">
      <c r="C220" s="5"/>
      <c r="D220" s="5"/>
      <c r="E220" s="5"/>
      <c r="F220" s="5"/>
      <c r="G220" s="44"/>
      <c r="H220" s="5"/>
      <c r="I220" s="44"/>
      <c r="J220" s="44"/>
      <c r="K220" s="44"/>
      <c r="L220" s="5"/>
      <c r="M220" s="5"/>
      <c r="N220" s="5"/>
      <c r="O220" s="5"/>
      <c r="P220" s="44"/>
      <c r="Q220" s="44"/>
      <c r="R220" s="44"/>
      <c r="S220" s="44"/>
      <c r="T220" s="44"/>
      <c r="U220" s="44"/>
      <c r="V220" s="5"/>
      <c r="W220" s="5"/>
      <c r="Y220" s="44"/>
    </row>
    <row r="221" spans="3:25" ht="15.75" customHeight="1">
      <c r="C221" s="5"/>
      <c r="D221" s="5"/>
      <c r="E221" s="5"/>
      <c r="F221" s="5"/>
      <c r="G221" s="44"/>
      <c r="H221" s="5"/>
      <c r="I221" s="44"/>
      <c r="J221" s="44"/>
      <c r="K221" s="44"/>
      <c r="L221" s="5"/>
      <c r="M221" s="5"/>
      <c r="N221" s="5"/>
      <c r="O221" s="5"/>
      <c r="P221" s="44"/>
      <c r="Q221" s="44"/>
      <c r="R221" s="44"/>
      <c r="S221" s="44"/>
      <c r="T221" s="44"/>
      <c r="U221" s="44"/>
      <c r="V221" s="5"/>
      <c r="W221" s="5"/>
      <c r="Y221" s="44"/>
    </row>
    <row r="222" spans="3:25" ht="15.75" customHeight="1">
      <c r="C222" s="5"/>
      <c r="D222" s="5"/>
      <c r="E222" s="5"/>
      <c r="F222" s="5"/>
      <c r="G222" s="44"/>
      <c r="H222" s="5"/>
      <c r="I222" s="44"/>
      <c r="J222" s="44"/>
      <c r="K222" s="44"/>
      <c r="L222" s="5"/>
      <c r="M222" s="5"/>
      <c r="N222" s="5"/>
      <c r="O222" s="5"/>
      <c r="P222" s="44"/>
      <c r="Q222" s="44"/>
      <c r="R222" s="44"/>
      <c r="S222" s="44"/>
      <c r="T222" s="44"/>
      <c r="U222" s="44"/>
      <c r="V222" s="5"/>
      <c r="W222" s="5"/>
      <c r="Y222" s="44"/>
    </row>
    <row r="223" spans="3:25" ht="15.75" customHeight="1">
      <c r="C223" s="5"/>
      <c r="D223" s="5"/>
      <c r="E223" s="5"/>
      <c r="F223" s="5"/>
      <c r="G223" s="44"/>
      <c r="H223" s="5"/>
      <c r="I223" s="44"/>
      <c r="J223" s="44"/>
      <c r="K223" s="44"/>
      <c r="L223" s="5"/>
      <c r="M223" s="5"/>
      <c r="N223" s="5"/>
      <c r="O223" s="5"/>
      <c r="P223" s="44"/>
      <c r="Q223" s="44"/>
      <c r="R223" s="44"/>
      <c r="S223" s="44"/>
      <c r="T223" s="44"/>
      <c r="U223" s="44"/>
      <c r="V223" s="5"/>
      <c r="W223" s="5"/>
      <c r="Y223" s="44"/>
    </row>
    <row r="224" spans="3:25" ht="15.75" customHeight="1">
      <c r="C224" s="5"/>
      <c r="D224" s="5"/>
      <c r="E224" s="5"/>
      <c r="F224" s="5"/>
      <c r="G224" s="44"/>
      <c r="H224" s="5"/>
      <c r="I224" s="44"/>
      <c r="J224" s="44"/>
      <c r="K224" s="44"/>
      <c r="L224" s="5"/>
      <c r="M224" s="5"/>
      <c r="N224" s="5"/>
      <c r="O224" s="5"/>
      <c r="P224" s="44"/>
      <c r="Q224" s="44"/>
      <c r="R224" s="44"/>
      <c r="S224" s="44"/>
      <c r="T224" s="44"/>
      <c r="U224" s="44"/>
      <c r="V224" s="5"/>
      <c r="W224" s="5"/>
      <c r="Y224" s="44"/>
    </row>
    <row r="225" spans="3:25" ht="15.75" customHeight="1">
      <c r="C225" s="5"/>
      <c r="D225" s="5"/>
      <c r="E225" s="5"/>
      <c r="F225" s="5"/>
      <c r="G225" s="44"/>
      <c r="H225" s="5"/>
      <c r="I225" s="44"/>
      <c r="J225" s="44"/>
      <c r="K225" s="44"/>
      <c r="L225" s="5"/>
      <c r="M225" s="5"/>
      <c r="N225" s="5"/>
      <c r="O225" s="5"/>
      <c r="P225" s="44"/>
      <c r="Q225" s="44"/>
      <c r="R225" s="44"/>
      <c r="S225" s="44"/>
      <c r="T225" s="44"/>
      <c r="U225" s="44"/>
      <c r="V225" s="5"/>
      <c r="W225" s="5"/>
      <c r="Y225" s="44"/>
    </row>
    <row r="226" spans="3:25" ht="15.75" customHeight="1">
      <c r="C226" s="5"/>
      <c r="D226" s="5"/>
      <c r="E226" s="5"/>
      <c r="F226" s="5"/>
      <c r="G226" s="44"/>
      <c r="H226" s="5"/>
      <c r="I226" s="44"/>
      <c r="J226" s="44"/>
      <c r="K226" s="44"/>
      <c r="L226" s="5"/>
      <c r="M226" s="5"/>
      <c r="N226" s="5"/>
      <c r="O226" s="5"/>
      <c r="P226" s="44"/>
      <c r="Q226" s="44"/>
      <c r="R226" s="44"/>
      <c r="S226" s="44"/>
      <c r="T226" s="44"/>
      <c r="U226" s="44"/>
      <c r="V226" s="5"/>
      <c r="W226" s="5"/>
      <c r="Y226" s="44"/>
    </row>
    <row r="227" spans="3:25" ht="15.75" customHeight="1">
      <c r="C227" s="5"/>
      <c r="D227" s="5"/>
      <c r="E227" s="5"/>
      <c r="F227" s="5"/>
      <c r="G227" s="44"/>
      <c r="H227" s="5"/>
      <c r="I227" s="44"/>
      <c r="J227" s="44"/>
      <c r="K227" s="44"/>
      <c r="L227" s="5"/>
      <c r="M227" s="5"/>
      <c r="N227" s="5"/>
      <c r="O227" s="5"/>
      <c r="P227" s="44"/>
      <c r="Q227" s="44"/>
      <c r="R227" s="44"/>
      <c r="S227" s="44"/>
      <c r="T227" s="44"/>
      <c r="U227" s="44"/>
      <c r="V227" s="5"/>
      <c r="W227" s="5"/>
      <c r="Y227" s="44"/>
    </row>
    <row r="228" spans="3:25" ht="15.75" customHeight="1">
      <c r="C228" s="5"/>
      <c r="D228" s="5"/>
      <c r="E228" s="5"/>
      <c r="F228" s="5"/>
      <c r="G228" s="44"/>
      <c r="H228" s="5"/>
      <c r="I228" s="44"/>
      <c r="J228" s="44"/>
      <c r="K228" s="44"/>
      <c r="L228" s="5"/>
      <c r="M228" s="5"/>
      <c r="N228" s="5"/>
      <c r="O228" s="5"/>
      <c r="P228" s="44"/>
      <c r="Q228" s="44"/>
      <c r="R228" s="44"/>
      <c r="S228" s="44"/>
      <c r="T228" s="44"/>
      <c r="U228" s="44"/>
      <c r="V228" s="5"/>
      <c r="W228" s="5"/>
      <c r="Y228" s="44"/>
    </row>
    <row r="229" spans="3:25" ht="15.75" customHeight="1">
      <c r="C229" s="5"/>
      <c r="D229" s="5"/>
      <c r="E229" s="5"/>
      <c r="F229" s="5"/>
      <c r="G229" s="44"/>
      <c r="H229" s="5"/>
      <c r="I229" s="44"/>
      <c r="J229" s="44"/>
      <c r="K229" s="44"/>
      <c r="L229" s="5"/>
      <c r="M229" s="5"/>
      <c r="N229" s="5"/>
      <c r="O229" s="5"/>
      <c r="P229" s="44"/>
      <c r="Q229" s="44"/>
      <c r="R229" s="44"/>
      <c r="S229" s="44"/>
      <c r="T229" s="44"/>
      <c r="U229" s="44"/>
      <c r="V229" s="5"/>
      <c r="W229" s="5"/>
      <c r="Y229" s="44"/>
    </row>
    <row r="230" spans="3:25" ht="15.75" customHeight="1">
      <c r="C230" s="5"/>
      <c r="D230" s="5"/>
      <c r="E230" s="5"/>
      <c r="F230" s="5"/>
      <c r="G230" s="44"/>
      <c r="H230" s="5"/>
      <c r="I230" s="44"/>
      <c r="J230" s="44"/>
      <c r="K230" s="44"/>
      <c r="L230" s="5"/>
      <c r="M230" s="5"/>
      <c r="N230" s="5"/>
      <c r="O230" s="5"/>
      <c r="P230" s="44"/>
      <c r="Q230" s="44"/>
      <c r="R230" s="44"/>
      <c r="S230" s="44"/>
      <c r="T230" s="44"/>
      <c r="U230" s="44"/>
      <c r="V230" s="5"/>
      <c r="W230" s="5"/>
      <c r="Y230" s="44"/>
    </row>
    <row r="231" spans="3:25" ht="15.75" customHeight="1">
      <c r="C231" s="5"/>
      <c r="D231" s="5"/>
      <c r="E231" s="5"/>
      <c r="F231" s="5"/>
      <c r="G231" s="44"/>
      <c r="H231" s="5"/>
      <c r="I231" s="44"/>
      <c r="J231" s="44"/>
      <c r="K231" s="44"/>
      <c r="L231" s="5"/>
      <c r="M231" s="5"/>
      <c r="N231" s="5"/>
      <c r="O231" s="5"/>
      <c r="P231" s="44"/>
      <c r="Q231" s="44"/>
      <c r="R231" s="44"/>
      <c r="S231" s="44"/>
      <c r="T231" s="44"/>
      <c r="U231" s="44"/>
      <c r="V231" s="5"/>
      <c r="W231" s="5"/>
      <c r="Y231" s="44"/>
    </row>
    <row r="232" spans="3:25" ht="15.75" customHeight="1">
      <c r="C232" s="5"/>
      <c r="D232" s="5"/>
      <c r="E232" s="5"/>
      <c r="F232" s="5"/>
      <c r="G232" s="44"/>
      <c r="H232" s="5"/>
      <c r="I232" s="44"/>
      <c r="J232" s="44"/>
      <c r="K232" s="44"/>
      <c r="L232" s="5"/>
      <c r="M232" s="5"/>
      <c r="N232" s="5"/>
      <c r="O232" s="5"/>
      <c r="P232" s="44"/>
      <c r="Q232" s="44"/>
      <c r="R232" s="44"/>
      <c r="S232" s="44"/>
      <c r="T232" s="44"/>
      <c r="U232" s="44"/>
      <c r="V232" s="5"/>
      <c r="W232" s="5"/>
      <c r="Y232" s="44"/>
    </row>
    <row r="233" spans="3:25" ht="15.75" customHeight="1">
      <c r="C233" s="5"/>
      <c r="D233" s="5"/>
      <c r="E233" s="5"/>
      <c r="F233" s="5"/>
      <c r="G233" s="44"/>
      <c r="H233" s="5"/>
      <c r="I233" s="44"/>
      <c r="J233" s="44"/>
      <c r="K233" s="44"/>
      <c r="L233" s="5"/>
      <c r="M233" s="5"/>
      <c r="N233" s="5"/>
      <c r="O233" s="5"/>
      <c r="P233" s="44"/>
      <c r="Q233" s="44"/>
      <c r="R233" s="44"/>
      <c r="S233" s="44"/>
      <c r="T233" s="44"/>
      <c r="U233" s="44"/>
      <c r="V233" s="5"/>
      <c r="W233" s="5"/>
      <c r="Y233" s="44"/>
    </row>
    <row r="234" spans="3:25" ht="15.75" customHeight="1">
      <c r="C234" s="5"/>
      <c r="D234" s="5"/>
      <c r="E234" s="5"/>
      <c r="F234" s="5"/>
      <c r="G234" s="44"/>
      <c r="H234" s="5"/>
      <c r="I234" s="44"/>
      <c r="J234" s="44"/>
      <c r="K234" s="44"/>
      <c r="L234" s="5"/>
      <c r="M234" s="5"/>
      <c r="N234" s="5"/>
      <c r="O234" s="5"/>
      <c r="P234" s="44"/>
      <c r="Q234" s="44"/>
      <c r="R234" s="44"/>
      <c r="S234" s="44"/>
      <c r="T234" s="44"/>
      <c r="U234" s="44"/>
      <c r="V234" s="5"/>
      <c r="W234" s="5"/>
      <c r="Y234" s="44"/>
    </row>
    <row r="235" spans="3:25" ht="15.75" customHeight="1">
      <c r="C235" s="5"/>
      <c r="D235" s="5"/>
      <c r="E235" s="5"/>
      <c r="F235" s="5"/>
      <c r="G235" s="44"/>
      <c r="H235" s="5"/>
      <c r="I235" s="44"/>
      <c r="J235" s="44"/>
      <c r="K235" s="44"/>
      <c r="L235" s="5"/>
      <c r="M235" s="5"/>
      <c r="N235" s="5"/>
      <c r="O235" s="5"/>
      <c r="P235" s="44"/>
      <c r="Q235" s="44"/>
      <c r="R235" s="44"/>
      <c r="S235" s="44"/>
      <c r="T235" s="44"/>
      <c r="U235" s="44"/>
      <c r="V235" s="5"/>
      <c r="W235" s="5"/>
      <c r="Y235" s="44"/>
    </row>
    <row r="236" spans="3:25" ht="15.75" customHeight="1">
      <c r="C236" s="5"/>
      <c r="D236" s="5"/>
      <c r="E236" s="5"/>
      <c r="F236" s="5"/>
      <c r="G236" s="44"/>
      <c r="H236" s="5"/>
      <c r="I236" s="44"/>
      <c r="J236" s="44"/>
      <c r="K236" s="44"/>
      <c r="L236" s="5"/>
      <c r="M236" s="5"/>
      <c r="N236" s="5"/>
      <c r="O236" s="5"/>
      <c r="P236" s="44"/>
      <c r="Q236" s="44"/>
      <c r="R236" s="44"/>
      <c r="S236" s="44"/>
      <c r="T236" s="44"/>
      <c r="U236" s="44"/>
      <c r="V236" s="5"/>
      <c r="W236" s="5"/>
      <c r="Y236" s="44"/>
    </row>
    <row r="237" spans="3:25" ht="15.75" customHeight="1">
      <c r="C237" s="5"/>
      <c r="D237" s="5"/>
      <c r="E237" s="5"/>
      <c r="F237" s="5"/>
      <c r="G237" s="44"/>
      <c r="H237" s="5"/>
      <c r="I237" s="44"/>
      <c r="J237" s="44"/>
      <c r="K237" s="44"/>
      <c r="L237" s="5"/>
      <c r="M237" s="5"/>
      <c r="N237" s="5"/>
      <c r="O237" s="5"/>
      <c r="P237" s="44"/>
      <c r="Q237" s="44"/>
      <c r="R237" s="44"/>
      <c r="S237" s="44"/>
      <c r="T237" s="44"/>
      <c r="U237" s="44"/>
      <c r="V237" s="5"/>
      <c r="W237" s="5"/>
      <c r="Y237" s="44"/>
    </row>
    <row r="238" spans="3:25" ht="15.75" customHeight="1">
      <c r="C238" s="5"/>
      <c r="D238" s="5"/>
      <c r="E238" s="5"/>
      <c r="F238" s="5"/>
      <c r="G238" s="44"/>
      <c r="H238" s="5"/>
      <c r="I238" s="44"/>
      <c r="J238" s="44"/>
      <c r="K238" s="44"/>
      <c r="L238" s="5"/>
      <c r="M238" s="5"/>
      <c r="N238" s="5"/>
      <c r="O238" s="5"/>
      <c r="P238" s="44"/>
      <c r="Q238" s="44"/>
      <c r="R238" s="44"/>
      <c r="S238" s="44"/>
      <c r="T238" s="44"/>
      <c r="U238" s="44"/>
      <c r="V238" s="5"/>
      <c r="W238" s="5"/>
      <c r="Y238" s="44"/>
    </row>
    <row r="239" spans="3:25" ht="15.75" customHeight="1">
      <c r="C239" s="5"/>
      <c r="D239" s="5"/>
      <c r="E239" s="5"/>
      <c r="F239" s="5"/>
      <c r="G239" s="44"/>
      <c r="H239" s="5"/>
      <c r="I239" s="44"/>
      <c r="J239" s="44"/>
      <c r="K239" s="44"/>
      <c r="L239" s="5"/>
      <c r="M239" s="5"/>
      <c r="N239" s="5"/>
      <c r="O239" s="5"/>
      <c r="P239" s="44"/>
      <c r="Q239" s="44"/>
      <c r="R239" s="44"/>
      <c r="S239" s="44"/>
      <c r="T239" s="44"/>
      <c r="U239" s="44"/>
      <c r="V239" s="5"/>
      <c r="W239" s="5"/>
      <c r="Y239" s="44"/>
    </row>
    <row r="240" spans="3:25" ht="15.75" customHeight="1">
      <c r="C240" s="5"/>
      <c r="D240" s="5"/>
      <c r="E240" s="5"/>
      <c r="F240" s="5"/>
      <c r="G240" s="44"/>
      <c r="H240" s="5"/>
      <c r="I240" s="44"/>
      <c r="J240" s="44"/>
      <c r="K240" s="44"/>
      <c r="L240" s="5"/>
      <c r="M240" s="5"/>
      <c r="N240" s="5"/>
      <c r="O240" s="5"/>
      <c r="P240" s="44"/>
      <c r="Q240" s="44"/>
      <c r="R240" s="44"/>
      <c r="S240" s="44"/>
      <c r="T240" s="44"/>
      <c r="U240" s="44"/>
      <c r="V240" s="5"/>
      <c r="W240" s="5"/>
      <c r="Y240" s="44"/>
    </row>
    <row r="241" spans="3:25" ht="15.75" customHeight="1">
      <c r="C241" s="5"/>
      <c r="D241" s="5"/>
      <c r="E241" s="5"/>
      <c r="F241" s="5"/>
      <c r="G241" s="44"/>
      <c r="H241" s="5"/>
      <c r="I241" s="44"/>
      <c r="J241" s="44"/>
      <c r="K241" s="44"/>
      <c r="L241" s="5"/>
      <c r="M241" s="5"/>
      <c r="N241" s="5"/>
      <c r="O241" s="5"/>
      <c r="P241" s="44"/>
      <c r="Q241" s="44"/>
      <c r="R241" s="44"/>
      <c r="S241" s="44"/>
      <c r="T241" s="44"/>
      <c r="U241" s="44"/>
      <c r="V241" s="5"/>
      <c r="W241" s="5"/>
      <c r="Y241" s="44"/>
    </row>
    <row r="242" spans="3:25" ht="15.75" customHeight="1">
      <c r="C242" s="5"/>
      <c r="D242" s="5"/>
      <c r="E242" s="5"/>
      <c r="F242" s="5"/>
      <c r="G242" s="44"/>
      <c r="H242" s="5"/>
      <c r="I242" s="44"/>
      <c r="J242" s="44"/>
      <c r="K242" s="44"/>
      <c r="L242" s="5"/>
      <c r="M242" s="5"/>
      <c r="N242" s="5"/>
      <c r="O242" s="5"/>
      <c r="P242" s="44"/>
      <c r="Q242" s="44"/>
      <c r="R242" s="44"/>
      <c r="S242" s="44"/>
      <c r="T242" s="44"/>
      <c r="U242" s="44"/>
      <c r="V242" s="5"/>
      <c r="W242" s="5"/>
      <c r="Y242" s="44"/>
    </row>
    <row r="243" spans="3:25" ht="15.75" customHeight="1">
      <c r="C243" s="5"/>
      <c r="D243" s="5"/>
      <c r="E243" s="5"/>
      <c r="F243" s="5"/>
      <c r="G243" s="44"/>
      <c r="H243" s="5"/>
      <c r="I243" s="44"/>
      <c r="J243" s="44"/>
      <c r="K243" s="44"/>
      <c r="L243" s="5"/>
      <c r="M243" s="5"/>
      <c r="N243" s="5"/>
      <c r="O243" s="5"/>
      <c r="P243" s="44"/>
      <c r="Q243" s="44"/>
      <c r="R243" s="44"/>
      <c r="S243" s="44"/>
      <c r="T243" s="44"/>
      <c r="U243" s="44"/>
      <c r="V243" s="5"/>
      <c r="W243" s="5"/>
      <c r="Y243" s="44"/>
    </row>
    <row r="244" spans="3:25" ht="15.75" customHeight="1">
      <c r="C244" s="5"/>
      <c r="D244" s="5"/>
      <c r="E244" s="5"/>
      <c r="F244" s="5"/>
      <c r="G244" s="44"/>
      <c r="H244" s="5"/>
      <c r="I244" s="44"/>
      <c r="J244" s="44"/>
      <c r="K244" s="44"/>
      <c r="L244" s="5"/>
      <c r="M244" s="5"/>
      <c r="N244" s="5"/>
      <c r="O244" s="5"/>
      <c r="P244" s="44"/>
      <c r="Q244" s="44"/>
      <c r="R244" s="44"/>
      <c r="S244" s="44"/>
      <c r="T244" s="44"/>
      <c r="U244" s="44"/>
      <c r="V244" s="5"/>
      <c r="W244" s="5"/>
      <c r="Y244" s="44"/>
    </row>
    <row r="245" spans="3:25" ht="15.75" customHeight="1">
      <c r="C245" s="5"/>
      <c r="D245" s="5"/>
      <c r="E245" s="5"/>
      <c r="F245" s="5"/>
      <c r="G245" s="44"/>
      <c r="H245" s="5"/>
      <c r="I245" s="44"/>
      <c r="J245" s="44"/>
      <c r="K245" s="44"/>
      <c r="L245" s="5"/>
      <c r="M245" s="5"/>
      <c r="N245" s="5"/>
      <c r="O245" s="5"/>
      <c r="P245" s="44"/>
      <c r="Q245" s="44"/>
      <c r="R245" s="44"/>
      <c r="S245" s="44"/>
      <c r="T245" s="44"/>
      <c r="U245" s="44"/>
      <c r="V245" s="5"/>
      <c r="W245" s="5"/>
      <c r="Y245" s="44"/>
    </row>
    <row r="246" spans="3:25" ht="15.75" customHeight="1">
      <c r="C246" s="5"/>
      <c r="D246" s="5"/>
      <c r="E246" s="5"/>
      <c r="F246" s="5"/>
      <c r="G246" s="44"/>
      <c r="H246" s="5"/>
      <c r="I246" s="44"/>
      <c r="J246" s="44"/>
      <c r="K246" s="44"/>
      <c r="L246" s="5"/>
      <c r="M246" s="5"/>
      <c r="N246" s="5"/>
      <c r="O246" s="5"/>
      <c r="P246" s="44"/>
      <c r="Q246" s="44"/>
      <c r="R246" s="44"/>
      <c r="S246" s="44"/>
      <c r="T246" s="44"/>
      <c r="U246" s="44"/>
      <c r="V246" s="5"/>
      <c r="W246" s="5"/>
      <c r="Y246" s="44"/>
    </row>
    <row r="247" spans="3:25" ht="15.75" customHeight="1">
      <c r="C247" s="5"/>
      <c r="D247" s="5"/>
      <c r="E247" s="5"/>
      <c r="F247" s="5"/>
      <c r="G247" s="44"/>
      <c r="H247" s="5"/>
      <c r="I247" s="44"/>
      <c r="J247" s="44"/>
      <c r="K247" s="44"/>
      <c r="L247" s="5"/>
      <c r="M247" s="5"/>
      <c r="N247" s="5"/>
      <c r="O247" s="5"/>
      <c r="P247" s="44"/>
      <c r="Q247" s="44"/>
      <c r="R247" s="44"/>
      <c r="S247" s="44"/>
      <c r="T247" s="44"/>
      <c r="U247" s="44"/>
      <c r="V247" s="5"/>
      <c r="W247" s="5"/>
      <c r="Y247" s="44"/>
    </row>
    <row r="248" spans="3:25" ht="15.75" customHeight="1">
      <c r="C248" s="5"/>
      <c r="D248" s="5"/>
      <c r="E248" s="5"/>
      <c r="F248" s="5"/>
      <c r="G248" s="44"/>
      <c r="H248" s="5"/>
      <c r="I248" s="44"/>
      <c r="J248" s="44"/>
      <c r="K248" s="44"/>
      <c r="L248" s="5"/>
      <c r="M248" s="5"/>
      <c r="N248" s="5"/>
      <c r="O248" s="5"/>
      <c r="P248" s="44"/>
      <c r="Q248" s="44"/>
      <c r="R248" s="44"/>
      <c r="S248" s="44"/>
      <c r="T248" s="44"/>
      <c r="U248" s="44"/>
      <c r="V248" s="5"/>
      <c r="W248" s="5"/>
      <c r="Y248" s="44"/>
    </row>
    <row r="249" spans="3:25" ht="15.75" customHeight="1">
      <c r="C249" s="5"/>
      <c r="D249" s="5"/>
      <c r="E249" s="5"/>
      <c r="F249" s="5"/>
      <c r="G249" s="44"/>
      <c r="H249" s="5"/>
      <c r="I249" s="44"/>
      <c r="J249" s="44"/>
      <c r="K249" s="44"/>
      <c r="L249" s="5"/>
      <c r="M249" s="5"/>
      <c r="N249" s="5"/>
      <c r="O249" s="5"/>
      <c r="P249" s="44"/>
      <c r="Q249" s="44"/>
      <c r="R249" s="44"/>
      <c r="S249" s="44"/>
      <c r="T249" s="44"/>
      <c r="U249" s="44"/>
      <c r="V249" s="5"/>
      <c r="W249" s="5"/>
      <c r="Y249" s="44"/>
    </row>
    <row r="250" spans="3:25" ht="15.75" customHeight="1">
      <c r="C250" s="5"/>
      <c r="D250" s="5"/>
      <c r="E250" s="5"/>
      <c r="F250" s="5"/>
      <c r="G250" s="44"/>
      <c r="H250" s="5"/>
      <c r="I250" s="44"/>
      <c r="J250" s="44"/>
      <c r="K250" s="44"/>
      <c r="L250" s="5"/>
      <c r="M250" s="5"/>
      <c r="N250" s="5"/>
      <c r="O250" s="5"/>
      <c r="P250" s="44"/>
      <c r="Q250" s="44"/>
      <c r="R250" s="44"/>
      <c r="S250" s="44"/>
      <c r="T250" s="44"/>
      <c r="U250" s="44"/>
      <c r="V250" s="5"/>
      <c r="W250" s="5"/>
      <c r="Y250" s="44"/>
    </row>
    <row r="251" spans="3:25" ht="15.75" customHeight="1">
      <c r="C251" s="5"/>
      <c r="D251" s="5"/>
      <c r="E251" s="5"/>
      <c r="F251" s="5"/>
      <c r="G251" s="44"/>
      <c r="H251" s="5"/>
      <c r="I251" s="44"/>
      <c r="J251" s="44"/>
      <c r="K251" s="44"/>
      <c r="L251" s="5"/>
      <c r="M251" s="5"/>
      <c r="N251" s="5"/>
      <c r="O251" s="5"/>
      <c r="P251" s="44"/>
      <c r="Q251" s="44"/>
      <c r="R251" s="44"/>
      <c r="S251" s="44"/>
      <c r="T251" s="44"/>
      <c r="U251" s="44"/>
      <c r="V251" s="5"/>
      <c r="W251" s="5"/>
      <c r="Y251" s="44"/>
    </row>
    <row r="252" spans="3:25" ht="15.75" customHeight="1">
      <c r="C252" s="5"/>
      <c r="D252" s="5"/>
      <c r="E252" s="5"/>
      <c r="F252" s="5"/>
      <c r="G252" s="44"/>
      <c r="H252" s="5"/>
      <c r="I252" s="44"/>
      <c r="J252" s="44"/>
      <c r="K252" s="44"/>
      <c r="L252" s="5"/>
      <c r="M252" s="5"/>
      <c r="N252" s="5"/>
      <c r="O252" s="5"/>
      <c r="P252" s="44"/>
      <c r="Q252" s="44"/>
      <c r="R252" s="44"/>
      <c r="S252" s="44"/>
      <c r="T252" s="44"/>
      <c r="U252" s="44"/>
      <c r="V252" s="5"/>
      <c r="W252" s="5"/>
      <c r="Y252" s="44"/>
    </row>
    <row r="253" spans="3:25" ht="15.75" customHeight="1">
      <c r="C253" s="5"/>
      <c r="D253" s="5"/>
      <c r="E253" s="5"/>
      <c r="F253" s="5"/>
      <c r="G253" s="44"/>
      <c r="H253" s="5"/>
      <c r="I253" s="44"/>
      <c r="J253" s="44"/>
      <c r="K253" s="44"/>
      <c r="L253" s="5"/>
      <c r="M253" s="5"/>
      <c r="N253" s="5"/>
      <c r="O253" s="5"/>
      <c r="P253" s="44"/>
      <c r="Q253" s="44"/>
      <c r="R253" s="44"/>
      <c r="S253" s="44"/>
      <c r="T253" s="44"/>
      <c r="U253" s="44"/>
      <c r="V253" s="5"/>
      <c r="W253" s="5"/>
      <c r="Y253" s="44"/>
    </row>
    <row r="254" spans="3:25" ht="15.75" customHeight="1">
      <c r="C254" s="5"/>
      <c r="D254" s="5"/>
      <c r="E254" s="5"/>
      <c r="F254" s="5"/>
      <c r="G254" s="44"/>
      <c r="H254" s="5"/>
      <c r="I254" s="44"/>
      <c r="J254" s="44"/>
      <c r="K254" s="44"/>
      <c r="L254" s="5"/>
      <c r="M254" s="5"/>
      <c r="N254" s="5"/>
      <c r="O254" s="5"/>
      <c r="P254" s="44"/>
      <c r="Q254" s="44"/>
      <c r="R254" s="44"/>
      <c r="S254" s="44"/>
      <c r="T254" s="44"/>
      <c r="U254" s="44"/>
      <c r="V254" s="5"/>
      <c r="W254" s="5"/>
      <c r="Y254" s="44"/>
    </row>
    <row r="255" spans="3:25" ht="15.75" customHeight="1">
      <c r="C255" s="5"/>
      <c r="D255" s="5"/>
      <c r="E255" s="5"/>
      <c r="F255" s="5"/>
      <c r="G255" s="44"/>
      <c r="H255" s="5"/>
      <c r="I255" s="44"/>
      <c r="J255" s="44"/>
      <c r="K255" s="44"/>
      <c r="L255" s="5"/>
      <c r="M255" s="5"/>
      <c r="N255" s="5"/>
      <c r="O255" s="5"/>
      <c r="P255" s="44"/>
      <c r="Q255" s="44"/>
      <c r="R255" s="44"/>
      <c r="S255" s="44"/>
      <c r="T255" s="44"/>
      <c r="U255" s="44"/>
      <c r="V255" s="5"/>
      <c r="W255" s="5"/>
      <c r="Y255" s="44"/>
    </row>
    <row r="256" spans="3:25" ht="15.75" customHeight="1">
      <c r="C256" s="5"/>
      <c r="D256" s="5"/>
      <c r="E256" s="5"/>
      <c r="F256" s="5"/>
      <c r="G256" s="44"/>
      <c r="H256" s="5"/>
      <c r="I256" s="44"/>
      <c r="J256" s="44"/>
      <c r="K256" s="44"/>
      <c r="L256" s="5"/>
      <c r="M256" s="5"/>
      <c r="N256" s="5"/>
      <c r="O256" s="5"/>
      <c r="P256" s="44"/>
      <c r="Q256" s="44"/>
      <c r="R256" s="44"/>
      <c r="S256" s="44"/>
      <c r="T256" s="44"/>
      <c r="U256" s="44"/>
      <c r="V256" s="5"/>
      <c r="W256" s="5"/>
      <c r="Y256" s="44"/>
    </row>
    <row r="257" spans="3:25" ht="15.75" customHeight="1">
      <c r="C257" s="5"/>
      <c r="D257" s="5"/>
      <c r="E257" s="5"/>
      <c r="F257" s="5"/>
      <c r="G257" s="44"/>
      <c r="H257" s="5"/>
      <c r="I257" s="44"/>
      <c r="J257" s="44"/>
      <c r="K257" s="44"/>
      <c r="L257" s="5"/>
      <c r="M257" s="5"/>
      <c r="N257" s="5"/>
      <c r="O257" s="5"/>
      <c r="P257" s="44"/>
      <c r="Q257" s="44"/>
      <c r="R257" s="44"/>
      <c r="S257" s="44"/>
      <c r="T257" s="44"/>
      <c r="U257" s="44"/>
      <c r="V257" s="5"/>
      <c r="W257" s="5"/>
      <c r="Y257" s="44"/>
    </row>
    <row r="258" spans="3:25" ht="15.75" customHeight="1">
      <c r="C258" s="5"/>
      <c r="D258" s="5"/>
      <c r="E258" s="5"/>
      <c r="F258" s="5"/>
      <c r="G258" s="44"/>
      <c r="H258" s="5"/>
      <c r="I258" s="44"/>
      <c r="J258" s="44"/>
      <c r="K258" s="44"/>
      <c r="L258" s="5"/>
      <c r="M258" s="5"/>
      <c r="N258" s="5"/>
      <c r="O258" s="5"/>
      <c r="P258" s="44"/>
      <c r="Q258" s="44"/>
      <c r="R258" s="44"/>
      <c r="S258" s="44"/>
      <c r="T258" s="44"/>
      <c r="U258" s="44"/>
      <c r="V258" s="5"/>
      <c r="W258" s="5"/>
      <c r="Y258" s="44"/>
    </row>
    <row r="259" spans="3:25" ht="15.75" customHeight="1">
      <c r="C259" s="5"/>
      <c r="D259" s="5"/>
      <c r="E259" s="5"/>
      <c r="F259" s="5"/>
      <c r="G259" s="44"/>
      <c r="H259" s="5"/>
      <c r="I259" s="44"/>
      <c r="J259" s="44"/>
      <c r="K259" s="44"/>
      <c r="L259" s="5"/>
      <c r="M259" s="5"/>
      <c r="N259" s="5"/>
      <c r="O259" s="5"/>
      <c r="P259" s="44"/>
      <c r="Q259" s="44"/>
      <c r="R259" s="44"/>
      <c r="S259" s="44"/>
      <c r="T259" s="44"/>
      <c r="U259" s="44"/>
      <c r="V259" s="5"/>
      <c r="W259" s="5"/>
      <c r="Y259" s="44"/>
    </row>
    <row r="260" spans="3:25" ht="15.75" customHeight="1">
      <c r="C260" s="5"/>
      <c r="D260" s="5"/>
      <c r="E260" s="5"/>
      <c r="F260" s="5"/>
      <c r="G260" s="44"/>
      <c r="H260" s="5"/>
      <c r="I260" s="44"/>
      <c r="J260" s="44"/>
      <c r="K260" s="44"/>
      <c r="L260" s="5"/>
      <c r="M260" s="5"/>
      <c r="N260" s="5"/>
      <c r="O260" s="5"/>
      <c r="P260" s="44"/>
      <c r="Q260" s="44"/>
      <c r="R260" s="44"/>
      <c r="S260" s="44"/>
      <c r="T260" s="44"/>
      <c r="U260" s="44"/>
      <c r="V260" s="5"/>
      <c r="W260" s="5"/>
      <c r="Y260" s="44"/>
    </row>
    <row r="261" spans="3:25" ht="15.75" customHeight="1">
      <c r="C261" s="5"/>
      <c r="D261" s="5"/>
      <c r="E261" s="5"/>
      <c r="F261" s="5"/>
      <c r="G261" s="44"/>
      <c r="H261" s="5"/>
      <c r="I261" s="44"/>
      <c r="J261" s="44"/>
      <c r="K261" s="44"/>
      <c r="L261" s="5"/>
      <c r="M261" s="5"/>
      <c r="N261" s="5"/>
      <c r="O261" s="5"/>
      <c r="P261" s="44"/>
      <c r="Q261" s="44"/>
      <c r="R261" s="44"/>
      <c r="S261" s="44"/>
      <c r="T261" s="44"/>
      <c r="U261" s="44"/>
      <c r="V261" s="5"/>
      <c r="W261" s="5"/>
      <c r="Y261" s="44"/>
    </row>
    <row r="262" spans="3:25" ht="15.75" customHeight="1">
      <c r="C262" s="5"/>
      <c r="D262" s="5"/>
      <c r="E262" s="5"/>
      <c r="F262" s="5"/>
      <c r="G262" s="44"/>
      <c r="H262" s="5"/>
      <c r="I262" s="44"/>
      <c r="J262" s="44"/>
      <c r="K262" s="44"/>
      <c r="L262" s="5"/>
      <c r="M262" s="5"/>
      <c r="N262" s="5"/>
      <c r="O262" s="5"/>
      <c r="P262" s="44"/>
      <c r="Q262" s="44"/>
      <c r="R262" s="44"/>
      <c r="S262" s="44"/>
      <c r="T262" s="44"/>
      <c r="U262" s="44"/>
      <c r="V262" s="5"/>
      <c r="W262" s="5"/>
      <c r="Y262" s="44"/>
    </row>
    <row r="263" spans="3:25" ht="15.75" customHeight="1">
      <c r="C263" s="5"/>
      <c r="D263" s="5"/>
      <c r="E263" s="5"/>
      <c r="F263" s="5"/>
      <c r="G263" s="44"/>
      <c r="H263" s="5"/>
      <c r="I263" s="44"/>
      <c r="J263" s="44"/>
      <c r="K263" s="44"/>
      <c r="L263" s="5"/>
      <c r="M263" s="5"/>
      <c r="N263" s="5"/>
      <c r="O263" s="5"/>
      <c r="P263" s="44"/>
      <c r="Q263" s="44"/>
      <c r="R263" s="44"/>
      <c r="S263" s="44"/>
      <c r="T263" s="44"/>
      <c r="U263" s="44"/>
      <c r="V263" s="5"/>
      <c r="W263" s="5"/>
      <c r="Y263" s="44"/>
    </row>
    <row r="264" spans="3:25" ht="15.75" customHeight="1">
      <c r="C264" s="5"/>
      <c r="D264" s="5"/>
      <c r="E264" s="5"/>
      <c r="F264" s="5"/>
      <c r="G264" s="44"/>
      <c r="H264" s="5"/>
      <c r="I264" s="44"/>
      <c r="J264" s="44"/>
      <c r="K264" s="44"/>
      <c r="L264" s="5"/>
      <c r="M264" s="5"/>
      <c r="N264" s="5"/>
      <c r="O264" s="5"/>
      <c r="P264" s="44"/>
      <c r="Q264" s="44"/>
      <c r="R264" s="44"/>
      <c r="S264" s="44"/>
      <c r="T264" s="44"/>
      <c r="U264" s="44"/>
      <c r="V264" s="5"/>
      <c r="W264" s="5"/>
      <c r="Y264" s="44"/>
    </row>
    <row r="265" spans="3:25" ht="15.75" customHeight="1">
      <c r="C265" s="5"/>
      <c r="D265" s="5"/>
      <c r="E265" s="5"/>
      <c r="F265" s="5"/>
      <c r="G265" s="44"/>
      <c r="H265" s="5"/>
      <c r="I265" s="44"/>
      <c r="J265" s="44"/>
      <c r="K265" s="44"/>
      <c r="L265" s="5"/>
      <c r="M265" s="5"/>
      <c r="N265" s="5"/>
      <c r="O265" s="5"/>
      <c r="P265" s="44"/>
      <c r="Q265" s="44"/>
      <c r="R265" s="44"/>
      <c r="S265" s="44"/>
      <c r="T265" s="44"/>
      <c r="U265" s="44"/>
      <c r="V265" s="5"/>
      <c r="W265" s="5"/>
      <c r="Y265" s="44"/>
    </row>
    <row r="266" spans="3:25" ht="15.75" customHeight="1">
      <c r="C266" s="5"/>
      <c r="D266" s="5"/>
      <c r="E266" s="5"/>
      <c r="F266" s="5"/>
      <c r="G266" s="44"/>
      <c r="H266" s="5"/>
      <c r="I266" s="44"/>
      <c r="J266" s="44"/>
      <c r="K266" s="44"/>
      <c r="L266" s="5"/>
      <c r="M266" s="5"/>
      <c r="N266" s="5"/>
      <c r="O266" s="5"/>
      <c r="P266" s="44"/>
      <c r="Q266" s="44"/>
      <c r="R266" s="44"/>
      <c r="S266" s="44"/>
      <c r="T266" s="44"/>
      <c r="U266" s="44"/>
      <c r="V266" s="5"/>
      <c r="W266" s="5"/>
      <c r="Y266" s="44"/>
    </row>
    <row r="267" spans="3:25" ht="15.75" customHeight="1">
      <c r="C267" s="5"/>
      <c r="D267" s="5"/>
      <c r="E267" s="5"/>
      <c r="F267" s="5"/>
      <c r="G267" s="44"/>
      <c r="H267" s="5"/>
      <c r="I267" s="44"/>
      <c r="J267" s="44"/>
      <c r="K267" s="44"/>
      <c r="L267" s="5"/>
      <c r="M267" s="5"/>
      <c r="N267" s="5"/>
      <c r="O267" s="5"/>
      <c r="P267" s="44"/>
      <c r="Q267" s="44"/>
      <c r="R267" s="44"/>
      <c r="S267" s="44"/>
      <c r="T267" s="44"/>
      <c r="U267" s="44"/>
      <c r="V267" s="5"/>
      <c r="W267" s="5"/>
      <c r="Y267" s="44"/>
    </row>
    <row r="268" spans="3:25" ht="15.75" customHeight="1">
      <c r="C268" s="5"/>
      <c r="D268" s="5"/>
      <c r="E268" s="5"/>
      <c r="F268" s="5"/>
      <c r="G268" s="44"/>
      <c r="H268" s="5"/>
      <c r="I268" s="44"/>
      <c r="J268" s="44"/>
      <c r="K268" s="44"/>
      <c r="L268" s="5"/>
      <c r="M268" s="5"/>
      <c r="N268" s="5"/>
      <c r="O268" s="5"/>
      <c r="P268" s="44"/>
      <c r="Q268" s="44"/>
      <c r="R268" s="44"/>
      <c r="S268" s="44"/>
      <c r="T268" s="44"/>
      <c r="U268" s="44"/>
      <c r="V268" s="5"/>
      <c r="W268" s="5"/>
      <c r="Y268" s="44"/>
    </row>
    <row r="269" spans="3:25" ht="15.75" customHeight="1">
      <c r="C269" s="5"/>
      <c r="D269" s="5"/>
      <c r="E269" s="5"/>
      <c r="F269" s="5"/>
      <c r="G269" s="44"/>
      <c r="H269" s="5"/>
      <c r="I269" s="44"/>
      <c r="J269" s="44"/>
      <c r="K269" s="44"/>
      <c r="L269" s="5"/>
      <c r="M269" s="5"/>
      <c r="N269" s="5"/>
      <c r="O269" s="5"/>
      <c r="P269" s="44"/>
      <c r="Q269" s="44"/>
      <c r="R269" s="44"/>
      <c r="S269" s="44"/>
      <c r="T269" s="44"/>
      <c r="U269" s="44"/>
      <c r="V269" s="5"/>
      <c r="W269" s="5"/>
      <c r="Y269" s="44"/>
    </row>
    <row r="270" spans="3:25" ht="15.75" customHeight="1">
      <c r="C270" s="5"/>
      <c r="D270" s="5"/>
      <c r="E270" s="5"/>
      <c r="F270" s="5"/>
      <c r="G270" s="44"/>
      <c r="H270" s="5"/>
      <c r="I270" s="44"/>
      <c r="J270" s="44"/>
      <c r="K270" s="44"/>
      <c r="L270" s="5"/>
      <c r="M270" s="5"/>
      <c r="N270" s="5"/>
      <c r="O270" s="5"/>
      <c r="P270" s="44"/>
      <c r="Q270" s="44"/>
      <c r="R270" s="44"/>
      <c r="S270" s="44"/>
      <c r="T270" s="44"/>
      <c r="U270" s="44"/>
      <c r="V270" s="5"/>
      <c r="W270" s="5"/>
      <c r="Y270" s="44"/>
    </row>
    <row r="271" spans="3:25" ht="15.75" customHeight="1">
      <c r="C271" s="5"/>
      <c r="D271" s="5"/>
      <c r="E271" s="5"/>
      <c r="F271" s="5"/>
      <c r="G271" s="44"/>
      <c r="H271" s="5"/>
      <c r="I271" s="44"/>
      <c r="J271" s="44"/>
      <c r="K271" s="44"/>
      <c r="L271" s="5"/>
      <c r="M271" s="5"/>
      <c r="N271" s="5"/>
      <c r="O271" s="5"/>
      <c r="P271" s="44"/>
      <c r="Q271" s="44"/>
      <c r="R271" s="44"/>
      <c r="S271" s="44"/>
      <c r="T271" s="44"/>
      <c r="U271" s="44"/>
      <c r="V271" s="5"/>
      <c r="W271" s="5"/>
      <c r="Y271" s="44"/>
    </row>
    <row r="272" spans="3:25" ht="15.75" customHeight="1">
      <c r="C272" s="5"/>
      <c r="D272" s="5"/>
      <c r="E272" s="5"/>
      <c r="F272" s="5"/>
      <c r="G272" s="44"/>
      <c r="H272" s="5"/>
      <c r="I272" s="44"/>
      <c r="J272" s="44"/>
      <c r="K272" s="44"/>
      <c r="L272" s="5"/>
      <c r="M272" s="5"/>
      <c r="N272" s="5"/>
      <c r="O272" s="5"/>
      <c r="P272" s="44"/>
      <c r="Q272" s="44"/>
      <c r="R272" s="44"/>
      <c r="S272" s="44"/>
      <c r="T272" s="44"/>
      <c r="U272" s="44"/>
      <c r="V272" s="5"/>
      <c r="W272" s="5"/>
      <c r="Y272" s="44"/>
    </row>
    <row r="273" spans="3:25" ht="15.75" customHeight="1">
      <c r="C273" s="5"/>
      <c r="D273" s="5"/>
      <c r="E273" s="5"/>
      <c r="F273" s="5"/>
      <c r="G273" s="44"/>
      <c r="H273" s="5"/>
      <c r="I273" s="44"/>
      <c r="J273" s="44"/>
      <c r="K273" s="44"/>
      <c r="L273" s="5"/>
      <c r="M273" s="5"/>
      <c r="N273" s="5"/>
      <c r="O273" s="5"/>
      <c r="P273" s="44"/>
      <c r="Q273" s="44"/>
      <c r="R273" s="44"/>
      <c r="S273" s="44"/>
      <c r="T273" s="44"/>
      <c r="U273" s="44"/>
      <c r="V273" s="5"/>
      <c r="W273" s="5"/>
      <c r="Y273" s="44"/>
    </row>
    <row r="274" spans="3:25" ht="15.75" customHeight="1">
      <c r="C274" s="5"/>
      <c r="D274" s="5"/>
      <c r="E274" s="5"/>
      <c r="F274" s="5"/>
      <c r="G274" s="44"/>
      <c r="H274" s="5"/>
      <c r="I274" s="44"/>
      <c r="J274" s="44"/>
      <c r="K274" s="44"/>
      <c r="L274" s="5"/>
      <c r="M274" s="5"/>
      <c r="N274" s="5"/>
      <c r="O274" s="5"/>
      <c r="P274" s="44"/>
      <c r="Q274" s="44"/>
      <c r="R274" s="44"/>
      <c r="S274" s="44"/>
      <c r="T274" s="44"/>
      <c r="U274" s="44"/>
      <c r="V274" s="5"/>
      <c r="W274" s="5"/>
      <c r="Y274" s="44"/>
    </row>
    <row r="275" spans="3:25" ht="15.75" customHeight="1">
      <c r="C275" s="5"/>
      <c r="D275" s="5"/>
      <c r="E275" s="5"/>
      <c r="F275" s="5"/>
      <c r="G275" s="44"/>
      <c r="H275" s="5"/>
      <c r="I275" s="44"/>
      <c r="J275" s="44"/>
      <c r="K275" s="44"/>
      <c r="L275" s="5"/>
      <c r="M275" s="5"/>
      <c r="N275" s="5"/>
      <c r="O275" s="5"/>
      <c r="P275" s="44"/>
      <c r="Q275" s="44"/>
      <c r="R275" s="44"/>
      <c r="S275" s="44"/>
      <c r="T275" s="44"/>
      <c r="U275" s="44"/>
      <c r="V275" s="5"/>
      <c r="W275" s="5"/>
      <c r="Y275" s="44"/>
    </row>
    <row r="276" spans="3:25" ht="15.75" customHeight="1">
      <c r="C276" s="5"/>
      <c r="D276" s="5"/>
      <c r="E276" s="5"/>
      <c r="F276" s="5"/>
      <c r="G276" s="44"/>
      <c r="H276" s="5"/>
      <c r="I276" s="44"/>
      <c r="J276" s="44"/>
      <c r="K276" s="44"/>
      <c r="L276" s="5"/>
      <c r="M276" s="5"/>
      <c r="N276" s="5"/>
      <c r="O276" s="5"/>
      <c r="P276" s="44"/>
      <c r="Q276" s="44"/>
      <c r="R276" s="44"/>
      <c r="S276" s="44"/>
      <c r="T276" s="44"/>
      <c r="U276" s="44"/>
      <c r="V276" s="5"/>
      <c r="W276" s="5"/>
      <c r="Y276" s="44"/>
    </row>
    <row r="277" spans="3:25" ht="15.75" customHeight="1">
      <c r="C277" s="5"/>
      <c r="D277" s="5"/>
      <c r="E277" s="5"/>
      <c r="F277" s="5"/>
      <c r="G277" s="44"/>
      <c r="H277" s="5"/>
      <c r="I277" s="44"/>
      <c r="J277" s="44"/>
      <c r="K277" s="44"/>
      <c r="L277" s="5"/>
      <c r="M277" s="5"/>
      <c r="N277" s="5"/>
      <c r="O277" s="5"/>
      <c r="P277" s="44"/>
      <c r="Q277" s="44"/>
      <c r="R277" s="44"/>
      <c r="S277" s="44"/>
      <c r="T277" s="44"/>
      <c r="U277" s="44"/>
      <c r="V277" s="5"/>
      <c r="W277" s="5"/>
      <c r="Y277" s="44"/>
    </row>
    <row r="278" spans="3:25" ht="15.75" customHeight="1">
      <c r="C278" s="5"/>
      <c r="D278" s="5"/>
      <c r="E278" s="5"/>
      <c r="F278" s="5"/>
      <c r="G278" s="44"/>
      <c r="H278" s="5"/>
      <c r="I278" s="44"/>
      <c r="J278" s="44"/>
      <c r="K278" s="44"/>
      <c r="L278" s="5"/>
      <c r="M278" s="5"/>
      <c r="N278" s="5"/>
      <c r="O278" s="5"/>
      <c r="P278" s="44"/>
      <c r="Q278" s="44"/>
      <c r="R278" s="44"/>
      <c r="S278" s="44"/>
      <c r="T278" s="44"/>
      <c r="U278" s="44"/>
      <c r="V278" s="5"/>
      <c r="W278" s="5"/>
      <c r="Y278" s="44"/>
    </row>
    <row r="279" spans="3:25" ht="15.75" customHeight="1">
      <c r="C279" s="5"/>
      <c r="D279" s="5"/>
      <c r="E279" s="5"/>
      <c r="F279" s="5"/>
      <c r="G279" s="44"/>
      <c r="H279" s="5"/>
      <c r="I279" s="44"/>
      <c r="J279" s="44"/>
      <c r="K279" s="44"/>
      <c r="L279" s="5"/>
      <c r="M279" s="5"/>
      <c r="N279" s="5"/>
      <c r="O279" s="5"/>
      <c r="P279" s="44"/>
      <c r="Q279" s="44"/>
      <c r="R279" s="44"/>
      <c r="S279" s="44"/>
      <c r="T279" s="44"/>
      <c r="U279" s="44"/>
      <c r="V279" s="5"/>
      <c r="W279" s="5"/>
      <c r="Y279" s="44"/>
    </row>
    <row r="280" spans="3:25" ht="15.75" customHeight="1">
      <c r="C280" s="5"/>
      <c r="D280" s="5"/>
      <c r="E280" s="5"/>
      <c r="F280" s="5"/>
      <c r="G280" s="44"/>
      <c r="H280" s="5"/>
      <c r="I280" s="44"/>
      <c r="J280" s="44"/>
      <c r="K280" s="44"/>
      <c r="L280" s="5"/>
      <c r="M280" s="5"/>
      <c r="N280" s="5"/>
      <c r="O280" s="5"/>
      <c r="P280" s="44"/>
      <c r="Q280" s="44"/>
      <c r="R280" s="44"/>
      <c r="S280" s="44"/>
      <c r="T280" s="44"/>
      <c r="U280" s="44"/>
      <c r="V280" s="5"/>
      <c r="W280" s="5"/>
      <c r="Y280" s="44"/>
    </row>
    <row r="281" spans="3:25" ht="15.75" customHeight="1">
      <c r="C281" s="5"/>
      <c r="D281" s="5"/>
      <c r="E281" s="5"/>
      <c r="F281" s="5"/>
      <c r="G281" s="44"/>
      <c r="H281" s="5"/>
      <c r="I281" s="44"/>
      <c r="J281" s="44"/>
      <c r="K281" s="44"/>
      <c r="L281" s="5"/>
      <c r="M281" s="5"/>
      <c r="N281" s="5"/>
      <c r="O281" s="5"/>
      <c r="P281" s="44"/>
      <c r="Q281" s="44"/>
      <c r="R281" s="44"/>
      <c r="S281" s="44"/>
      <c r="T281" s="44"/>
      <c r="U281" s="44"/>
      <c r="V281" s="5"/>
      <c r="W281" s="5"/>
      <c r="Y281" s="44"/>
    </row>
    <row r="282" spans="3:25" ht="15.75" customHeight="1">
      <c r="C282" s="5"/>
      <c r="D282" s="5"/>
      <c r="E282" s="5"/>
      <c r="F282" s="5"/>
      <c r="G282" s="44"/>
      <c r="H282" s="5"/>
      <c r="I282" s="44"/>
      <c r="J282" s="44"/>
      <c r="K282" s="44"/>
      <c r="L282" s="5"/>
      <c r="M282" s="5"/>
      <c r="N282" s="5"/>
      <c r="O282" s="5"/>
      <c r="P282" s="44"/>
      <c r="Q282" s="44"/>
      <c r="R282" s="44"/>
      <c r="S282" s="44"/>
      <c r="T282" s="44"/>
      <c r="U282" s="44"/>
      <c r="V282" s="5"/>
      <c r="W282" s="5"/>
      <c r="Y282" s="44"/>
    </row>
    <row r="283" spans="3:25" ht="15.75" customHeight="1">
      <c r="C283" s="5"/>
      <c r="D283" s="5"/>
      <c r="E283" s="5"/>
      <c r="F283" s="5"/>
      <c r="G283" s="44"/>
      <c r="H283" s="5"/>
      <c r="I283" s="44"/>
      <c r="J283" s="44"/>
      <c r="K283" s="44"/>
      <c r="L283" s="5"/>
      <c r="M283" s="5"/>
      <c r="N283" s="5"/>
      <c r="O283" s="5"/>
      <c r="P283" s="44"/>
      <c r="Q283" s="44"/>
      <c r="R283" s="44"/>
      <c r="S283" s="44"/>
      <c r="T283" s="44"/>
      <c r="U283" s="44"/>
      <c r="V283" s="5"/>
      <c r="W283" s="5"/>
      <c r="Y283" s="44"/>
    </row>
    <row r="284" spans="3:25" ht="15.75" customHeight="1">
      <c r="C284" s="5"/>
      <c r="D284" s="5"/>
      <c r="E284" s="5"/>
      <c r="F284" s="5"/>
      <c r="G284" s="44"/>
      <c r="H284" s="5"/>
      <c r="I284" s="44"/>
      <c r="J284" s="44"/>
      <c r="K284" s="44"/>
      <c r="L284" s="5"/>
      <c r="M284" s="5"/>
      <c r="N284" s="5"/>
      <c r="O284" s="5"/>
      <c r="P284" s="44"/>
      <c r="Q284" s="44"/>
      <c r="R284" s="44"/>
      <c r="S284" s="44"/>
      <c r="T284" s="44"/>
      <c r="U284" s="44"/>
      <c r="V284" s="5"/>
      <c r="W284" s="5"/>
      <c r="Y284" s="44"/>
    </row>
    <row r="285" spans="3:25" ht="15.75" customHeight="1">
      <c r="C285" s="5"/>
      <c r="D285" s="5"/>
      <c r="E285" s="5"/>
      <c r="F285" s="5"/>
      <c r="G285" s="44"/>
      <c r="H285" s="5"/>
      <c r="I285" s="44"/>
      <c r="J285" s="44"/>
      <c r="K285" s="44"/>
      <c r="L285" s="5"/>
      <c r="M285" s="5"/>
      <c r="N285" s="5"/>
      <c r="O285" s="5"/>
      <c r="P285" s="44"/>
      <c r="Q285" s="44"/>
      <c r="R285" s="44"/>
      <c r="S285" s="44"/>
      <c r="T285" s="44"/>
      <c r="U285" s="44"/>
      <c r="V285" s="5"/>
      <c r="W285" s="5"/>
      <c r="Y285" s="44"/>
    </row>
    <row r="286" spans="3:25" ht="15.75" customHeight="1">
      <c r="C286" s="5"/>
      <c r="D286" s="5"/>
      <c r="E286" s="5"/>
      <c r="F286" s="5"/>
      <c r="G286" s="44"/>
      <c r="H286" s="5"/>
      <c r="I286" s="44"/>
      <c r="J286" s="44"/>
      <c r="K286" s="44"/>
      <c r="L286" s="5"/>
      <c r="M286" s="5"/>
      <c r="N286" s="5"/>
      <c r="O286" s="5"/>
      <c r="P286" s="44"/>
      <c r="Q286" s="44"/>
      <c r="R286" s="44"/>
      <c r="S286" s="44"/>
      <c r="T286" s="44"/>
      <c r="U286" s="44"/>
      <c r="V286" s="5"/>
      <c r="W286" s="5"/>
      <c r="Y286" s="44"/>
    </row>
    <row r="287" spans="3:25" ht="15.75" customHeight="1">
      <c r="C287" s="5"/>
      <c r="D287" s="5"/>
      <c r="E287" s="5"/>
      <c r="F287" s="5"/>
      <c r="G287" s="44"/>
      <c r="H287" s="5"/>
      <c r="I287" s="44"/>
      <c r="J287" s="44"/>
      <c r="K287" s="44"/>
      <c r="L287" s="5"/>
      <c r="M287" s="5"/>
      <c r="N287" s="5"/>
      <c r="O287" s="5"/>
      <c r="P287" s="44"/>
      <c r="Q287" s="44"/>
      <c r="R287" s="44"/>
      <c r="S287" s="44"/>
      <c r="T287" s="44"/>
      <c r="U287" s="44"/>
      <c r="V287" s="5"/>
      <c r="W287" s="5"/>
      <c r="Y287" s="44"/>
    </row>
    <row r="288" spans="3:25" ht="15.75" customHeight="1">
      <c r="C288" s="5"/>
      <c r="D288" s="5"/>
      <c r="E288" s="5"/>
      <c r="F288" s="5"/>
      <c r="G288" s="44"/>
      <c r="H288" s="5"/>
      <c r="I288" s="44"/>
      <c r="J288" s="44"/>
      <c r="K288" s="44"/>
      <c r="L288" s="5"/>
      <c r="M288" s="5"/>
      <c r="N288" s="5"/>
      <c r="O288" s="5"/>
      <c r="P288" s="44"/>
      <c r="Q288" s="44"/>
      <c r="R288" s="44"/>
      <c r="S288" s="44"/>
      <c r="T288" s="44"/>
      <c r="U288" s="44"/>
      <c r="V288" s="5"/>
      <c r="W288" s="5"/>
      <c r="Y288" s="44"/>
    </row>
    <row r="289" spans="3:25" ht="15.75" customHeight="1">
      <c r="C289" s="5"/>
      <c r="D289" s="5"/>
      <c r="E289" s="5"/>
      <c r="F289" s="5"/>
      <c r="G289" s="44"/>
      <c r="H289" s="5"/>
      <c r="I289" s="44"/>
      <c r="J289" s="44"/>
      <c r="K289" s="44"/>
      <c r="L289" s="5"/>
      <c r="M289" s="5"/>
      <c r="N289" s="5"/>
      <c r="O289" s="5"/>
      <c r="P289" s="44"/>
      <c r="Q289" s="44"/>
      <c r="R289" s="44"/>
      <c r="S289" s="44"/>
      <c r="T289" s="44"/>
      <c r="U289" s="44"/>
      <c r="V289" s="5"/>
      <c r="W289" s="5"/>
      <c r="Y289" s="44"/>
    </row>
    <row r="290" spans="3:25" ht="15.75" customHeight="1">
      <c r="C290" s="5"/>
      <c r="D290" s="5"/>
      <c r="E290" s="5"/>
      <c r="F290" s="5"/>
      <c r="G290" s="44"/>
      <c r="H290" s="5"/>
      <c r="I290" s="44"/>
      <c r="J290" s="44"/>
      <c r="K290" s="44"/>
      <c r="L290" s="5"/>
      <c r="M290" s="5"/>
      <c r="N290" s="5"/>
      <c r="O290" s="5"/>
      <c r="P290" s="44"/>
      <c r="Q290" s="44"/>
      <c r="R290" s="44"/>
      <c r="S290" s="44"/>
      <c r="T290" s="44"/>
      <c r="U290" s="44"/>
      <c r="V290" s="5"/>
      <c r="W290" s="5"/>
      <c r="Y290" s="44"/>
    </row>
    <row r="291" spans="3:25" ht="15.75" customHeight="1">
      <c r="C291" s="5"/>
      <c r="D291" s="5"/>
      <c r="E291" s="5"/>
      <c r="F291" s="5"/>
      <c r="G291" s="44"/>
      <c r="H291" s="5"/>
      <c r="I291" s="44"/>
      <c r="J291" s="44"/>
      <c r="K291" s="44"/>
      <c r="L291" s="5"/>
      <c r="M291" s="5"/>
      <c r="N291" s="5"/>
      <c r="O291" s="5"/>
      <c r="P291" s="44"/>
      <c r="Q291" s="44"/>
      <c r="R291" s="44"/>
      <c r="S291" s="44"/>
      <c r="T291" s="44"/>
      <c r="U291" s="44"/>
      <c r="V291" s="5"/>
      <c r="W291" s="5"/>
      <c r="Y291" s="44"/>
    </row>
    <row r="292" spans="3:25" ht="15.75" customHeight="1">
      <c r="C292" s="5"/>
      <c r="D292" s="5"/>
      <c r="E292" s="5"/>
      <c r="F292" s="5"/>
      <c r="G292" s="44"/>
      <c r="H292" s="5"/>
      <c r="I292" s="44"/>
      <c r="J292" s="44"/>
      <c r="K292" s="44"/>
      <c r="L292" s="5"/>
      <c r="M292" s="5"/>
      <c r="N292" s="5"/>
      <c r="O292" s="5"/>
      <c r="P292" s="44"/>
      <c r="Q292" s="44"/>
      <c r="R292" s="44"/>
      <c r="S292" s="44"/>
      <c r="T292" s="44"/>
      <c r="U292" s="44"/>
      <c r="V292" s="5"/>
      <c r="W292" s="5"/>
      <c r="Y292" s="44"/>
    </row>
    <row r="293" spans="3:25" ht="15.75" customHeight="1">
      <c r="C293" s="5"/>
      <c r="D293" s="5"/>
      <c r="E293" s="5"/>
      <c r="F293" s="5"/>
      <c r="G293" s="44"/>
      <c r="H293" s="5"/>
      <c r="I293" s="44"/>
      <c r="J293" s="44"/>
      <c r="K293" s="44"/>
      <c r="L293" s="5"/>
      <c r="M293" s="5"/>
      <c r="N293" s="5"/>
      <c r="O293" s="5"/>
      <c r="P293" s="44"/>
      <c r="Q293" s="44"/>
      <c r="R293" s="44"/>
      <c r="S293" s="44"/>
      <c r="T293" s="44"/>
      <c r="U293" s="44"/>
      <c r="V293" s="5"/>
      <c r="W293" s="5"/>
      <c r="Y293" s="44"/>
    </row>
    <row r="294" spans="3:25" ht="15.75" customHeight="1">
      <c r="C294" s="5"/>
      <c r="D294" s="5"/>
      <c r="E294" s="5"/>
      <c r="F294" s="5"/>
      <c r="G294" s="44"/>
      <c r="H294" s="5"/>
      <c r="I294" s="44"/>
      <c r="J294" s="44"/>
      <c r="K294" s="44"/>
      <c r="L294" s="5"/>
      <c r="M294" s="5"/>
      <c r="N294" s="5"/>
      <c r="O294" s="5"/>
      <c r="P294" s="44"/>
      <c r="Q294" s="44"/>
      <c r="R294" s="44"/>
      <c r="S294" s="44"/>
      <c r="T294" s="44"/>
      <c r="U294" s="44"/>
      <c r="V294" s="5"/>
      <c r="W294" s="5"/>
      <c r="Y294" s="44"/>
    </row>
    <row r="295" spans="3:25" ht="15.75" customHeight="1">
      <c r="C295" s="5"/>
      <c r="D295" s="5"/>
      <c r="E295" s="5"/>
      <c r="F295" s="5"/>
      <c r="G295" s="44"/>
      <c r="H295" s="5"/>
      <c r="I295" s="44"/>
      <c r="J295" s="44"/>
      <c r="K295" s="44"/>
      <c r="L295" s="5"/>
      <c r="M295" s="5"/>
      <c r="N295" s="5"/>
      <c r="O295" s="5"/>
      <c r="P295" s="44"/>
      <c r="Q295" s="44"/>
      <c r="R295" s="44"/>
      <c r="S295" s="44"/>
      <c r="T295" s="44"/>
      <c r="U295" s="44"/>
      <c r="V295" s="5"/>
      <c r="W295" s="5"/>
      <c r="Y295" s="44"/>
    </row>
    <row r="296" spans="3:25" ht="15.75" customHeight="1">
      <c r="C296" s="5"/>
      <c r="D296" s="5"/>
      <c r="E296" s="5"/>
      <c r="F296" s="5"/>
      <c r="G296" s="44"/>
      <c r="H296" s="5"/>
      <c r="I296" s="44"/>
      <c r="J296" s="44"/>
      <c r="K296" s="44"/>
      <c r="L296" s="5"/>
      <c r="M296" s="5"/>
      <c r="N296" s="5"/>
      <c r="O296" s="5"/>
      <c r="P296" s="44"/>
      <c r="Q296" s="44"/>
      <c r="R296" s="44"/>
      <c r="S296" s="44"/>
      <c r="T296" s="44"/>
      <c r="U296" s="44"/>
      <c r="V296" s="5"/>
      <c r="W296" s="5"/>
      <c r="Y296" s="44"/>
    </row>
    <row r="297" spans="3:25" ht="15.75" customHeight="1">
      <c r="C297" s="5"/>
      <c r="D297" s="5"/>
      <c r="E297" s="5"/>
      <c r="F297" s="5"/>
      <c r="G297" s="44"/>
      <c r="H297" s="5"/>
      <c r="I297" s="44"/>
      <c r="J297" s="44"/>
      <c r="K297" s="44"/>
      <c r="L297" s="5"/>
      <c r="M297" s="5"/>
      <c r="N297" s="5"/>
      <c r="O297" s="5"/>
      <c r="P297" s="44"/>
      <c r="Q297" s="44"/>
      <c r="R297" s="44"/>
      <c r="S297" s="44"/>
      <c r="T297" s="44"/>
      <c r="U297" s="44"/>
      <c r="V297" s="5"/>
      <c r="W297" s="5"/>
      <c r="Y297" s="44"/>
    </row>
    <row r="298" spans="3:25" ht="15.75" customHeight="1">
      <c r="C298" s="5"/>
      <c r="D298" s="5"/>
      <c r="E298" s="5"/>
      <c r="F298" s="5"/>
      <c r="G298" s="44"/>
      <c r="H298" s="5"/>
      <c r="I298" s="44"/>
      <c r="J298" s="44"/>
      <c r="K298" s="44"/>
      <c r="L298" s="5"/>
      <c r="M298" s="5"/>
      <c r="N298" s="5"/>
      <c r="O298" s="5"/>
      <c r="P298" s="44"/>
      <c r="Q298" s="44"/>
      <c r="R298" s="44"/>
      <c r="S298" s="44"/>
      <c r="T298" s="44"/>
      <c r="U298" s="44"/>
      <c r="V298" s="5"/>
      <c r="W298" s="5"/>
      <c r="Y298" s="44"/>
    </row>
    <row r="299" spans="3:25" ht="15.75" customHeight="1">
      <c r="C299" s="5"/>
      <c r="D299" s="5"/>
      <c r="E299" s="5"/>
      <c r="F299" s="5"/>
      <c r="G299" s="44"/>
      <c r="H299" s="5"/>
      <c r="I299" s="44"/>
      <c r="J299" s="44"/>
      <c r="K299" s="44"/>
      <c r="L299" s="5"/>
      <c r="M299" s="5"/>
      <c r="N299" s="5"/>
      <c r="O299" s="5"/>
      <c r="P299" s="44"/>
      <c r="Q299" s="44"/>
      <c r="R299" s="44"/>
      <c r="S299" s="44"/>
      <c r="T299" s="44"/>
      <c r="U299" s="44"/>
      <c r="V299" s="5"/>
      <c r="W299" s="5"/>
      <c r="Y299" s="44"/>
    </row>
    <row r="300" spans="3:25" ht="15.75" customHeight="1">
      <c r="C300" s="5"/>
      <c r="D300" s="5"/>
      <c r="E300" s="5"/>
      <c r="F300" s="5"/>
      <c r="G300" s="44"/>
      <c r="H300" s="5"/>
      <c r="I300" s="44"/>
      <c r="J300" s="44"/>
      <c r="K300" s="44"/>
      <c r="L300" s="5"/>
      <c r="M300" s="5"/>
      <c r="N300" s="5"/>
      <c r="O300" s="5"/>
      <c r="P300" s="44"/>
      <c r="Q300" s="44"/>
      <c r="R300" s="44"/>
      <c r="S300" s="44"/>
      <c r="T300" s="44"/>
      <c r="U300" s="44"/>
      <c r="V300" s="5"/>
      <c r="W300" s="5"/>
      <c r="Y300" s="44"/>
    </row>
    <row r="301" spans="3:25" ht="15.75" customHeight="1">
      <c r="C301" s="5"/>
      <c r="D301" s="5"/>
      <c r="E301" s="5"/>
      <c r="F301" s="5"/>
      <c r="G301" s="44"/>
      <c r="H301" s="5"/>
      <c r="I301" s="44"/>
      <c r="J301" s="44"/>
      <c r="K301" s="44"/>
      <c r="L301" s="5"/>
      <c r="M301" s="5"/>
      <c r="N301" s="5"/>
      <c r="O301" s="5"/>
      <c r="P301" s="44"/>
      <c r="Q301" s="44"/>
      <c r="R301" s="44"/>
      <c r="S301" s="44"/>
      <c r="T301" s="44"/>
      <c r="U301" s="44"/>
      <c r="V301" s="5"/>
      <c r="W301" s="5"/>
      <c r="Y301" s="44"/>
    </row>
    <row r="302" spans="3:25" ht="15.75" customHeight="1">
      <c r="C302" s="5"/>
      <c r="D302" s="5"/>
      <c r="E302" s="5"/>
      <c r="F302" s="5"/>
      <c r="G302" s="44"/>
      <c r="H302" s="5"/>
      <c r="I302" s="44"/>
      <c r="J302" s="44"/>
      <c r="K302" s="44"/>
      <c r="L302" s="5"/>
      <c r="M302" s="5"/>
      <c r="N302" s="5"/>
      <c r="O302" s="5"/>
      <c r="P302" s="44"/>
      <c r="Q302" s="44"/>
      <c r="R302" s="44"/>
      <c r="S302" s="44"/>
      <c r="T302" s="44"/>
      <c r="U302" s="44"/>
      <c r="V302" s="5"/>
      <c r="W302" s="5"/>
      <c r="Y302" s="44"/>
    </row>
    <row r="303" spans="3:25" ht="15.75" customHeight="1">
      <c r="C303" s="5"/>
      <c r="D303" s="5"/>
      <c r="E303" s="5"/>
      <c r="F303" s="5"/>
      <c r="G303" s="44"/>
      <c r="H303" s="5"/>
      <c r="I303" s="44"/>
      <c r="J303" s="44"/>
      <c r="K303" s="44"/>
      <c r="L303" s="5"/>
      <c r="M303" s="5"/>
      <c r="N303" s="5"/>
      <c r="O303" s="5"/>
      <c r="P303" s="44"/>
      <c r="Q303" s="44"/>
      <c r="R303" s="44"/>
      <c r="S303" s="44"/>
      <c r="T303" s="44"/>
      <c r="U303" s="44"/>
      <c r="V303" s="5"/>
      <c r="W303" s="5"/>
      <c r="Y303" s="44"/>
    </row>
    <row r="304" spans="3:25" ht="15.75" customHeight="1">
      <c r="C304" s="5"/>
      <c r="D304" s="5"/>
      <c r="E304" s="5"/>
      <c r="F304" s="5"/>
      <c r="G304" s="44"/>
      <c r="H304" s="5"/>
      <c r="I304" s="44"/>
      <c r="J304" s="44"/>
      <c r="K304" s="44"/>
      <c r="L304" s="5"/>
      <c r="M304" s="5"/>
      <c r="N304" s="5"/>
      <c r="O304" s="5"/>
      <c r="P304" s="44"/>
      <c r="Q304" s="44"/>
      <c r="R304" s="44"/>
      <c r="S304" s="44"/>
      <c r="T304" s="44"/>
      <c r="U304" s="44"/>
      <c r="V304" s="5"/>
      <c r="W304" s="5"/>
      <c r="Y304" s="44"/>
    </row>
    <row r="305" spans="3:25" ht="15.75" customHeight="1">
      <c r="C305" s="5"/>
      <c r="D305" s="5"/>
      <c r="E305" s="5"/>
      <c r="F305" s="5"/>
      <c r="G305" s="44"/>
      <c r="H305" s="5"/>
      <c r="I305" s="44"/>
      <c r="J305" s="44"/>
      <c r="K305" s="44"/>
      <c r="L305" s="5"/>
      <c r="M305" s="5"/>
      <c r="N305" s="5"/>
      <c r="O305" s="5"/>
      <c r="P305" s="44"/>
      <c r="Q305" s="44"/>
      <c r="R305" s="44"/>
      <c r="S305" s="44"/>
      <c r="T305" s="44"/>
      <c r="U305" s="44"/>
      <c r="V305" s="5"/>
      <c r="W305" s="5"/>
      <c r="Y305" s="44"/>
    </row>
    <row r="306" spans="3:25" ht="15.75" customHeight="1">
      <c r="C306" s="5"/>
      <c r="D306" s="5"/>
      <c r="E306" s="5"/>
      <c r="F306" s="5"/>
      <c r="G306" s="44"/>
      <c r="H306" s="5"/>
      <c r="I306" s="44"/>
      <c r="J306" s="44"/>
      <c r="K306" s="44"/>
      <c r="L306" s="5"/>
      <c r="M306" s="5"/>
      <c r="N306" s="5"/>
      <c r="O306" s="5"/>
      <c r="P306" s="44"/>
      <c r="Q306" s="44"/>
      <c r="R306" s="44"/>
      <c r="S306" s="44"/>
      <c r="T306" s="44"/>
      <c r="U306" s="44"/>
      <c r="V306" s="5"/>
      <c r="W306" s="5"/>
      <c r="Y306" s="44"/>
    </row>
    <row r="307" spans="3:25" ht="15.75" customHeight="1">
      <c r="C307" s="5"/>
      <c r="D307" s="5"/>
      <c r="E307" s="5"/>
      <c r="F307" s="5"/>
      <c r="G307" s="44"/>
      <c r="H307" s="5"/>
      <c r="I307" s="44"/>
      <c r="J307" s="44"/>
      <c r="K307" s="44"/>
      <c r="L307" s="5"/>
      <c r="M307" s="5"/>
      <c r="N307" s="5"/>
      <c r="O307" s="5"/>
      <c r="P307" s="44"/>
      <c r="Q307" s="44"/>
      <c r="R307" s="44"/>
      <c r="S307" s="44"/>
      <c r="T307" s="44"/>
      <c r="U307" s="44"/>
      <c r="V307" s="5"/>
      <c r="W307" s="5"/>
      <c r="Y307" s="44"/>
    </row>
    <row r="308" spans="3:25" ht="15.75" customHeight="1">
      <c r="C308" s="5"/>
      <c r="D308" s="5"/>
      <c r="E308" s="5"/>
      <c r="F308" s="5"/>
      <c r="G308" s="44"/>
      <c r="H308" s="5"/>
      <c r="I308" s="44"/>
      <c r="J308" s="44"/>
      <c r="K308" s="44"/>
      <c r="L308" s="5"/>
      <c r="M308" s="5"/>
      <c r="N308" s="5"/>
      <c r="O308" s="5"/>
      <c r="P308" s="44"/>
      <c r="Q308" s="44"/>
      <c r="R308" s="44"/>
      <c r="S308" s="44"/>
      <c r="T308" s="44"/>
      <c r="U308" s="44"/>
      <c r="V308" s="5"/>
      <c r="W308" s="5"/>
      <c r="Y308" s="44"/>
    </row>
    <row r="309" spans="3:25" ht="15.75" customHeight="1">
      <c r="C309" s="5"/>
      <c r="D309" s="5"/>
      <c r="E309" s="5"/>
      <c r="F309" s="5"/>
      <c r="G309" s="44"/>
      <c r="H309" s="5"/>
      <c r="I309" s="44"/>
      <c r="J309" s="44"/>
      <c r="K309" s="44"/>
      <c r="L309" s="5"/>
      <c r="M309" s="5"/>
      <c r="N309" s="5"/>
      <c r="O309" s="5"/>
      <c r="P309" s="44"/>
      <c r="Q309" s="44"/>
      <c r="R309" s="44"/>
      <c r="S309" s="44"/>
      <c r="T309" s="44"/>
      <c r="U309" s="44"/>
      <c r="V309" s="5"/>
      <c r="W309" s="5"/>
      <c r="Y309" s="44"/>
    </row>
    <row r="310" spans="3:25" ht="15.75" customHeight="1">
      <c r="C310" s="5"/>
      <c r="D310" s="5"/>
      <c r="E310" s="5"/>
      <c r="F310" s="5"/>
      <c r="G310" s="44"/>
      <c r="H310" s="5"/>
      <c r="I310" s="44"/>
      <c r="J310" s="44"/>
      <c r="K310" s="44"/>
      <c r="L310" s="5"/>
      <c r="M310" s="5"/>
      <c r="N310" s="5"/>
      <c r="O310" s="5"/>
      <c r="P310" s="44"/>
      <c r="Q310" s="44"/>
      <c r="R310" s="44"/>
      <c r="S310" s="44"/>
      <c r="T310" s="44"/>
      <c r="U310" s="44"/>
      <c r="V310" s="5"/>
      <c r="W310" s="5"/>
      <c r="Y310" s="44"/>
    </row>
    <row r="311" spans="3:25" ht="15.75" customHeight="1">
      <c r="C311" s="5"/>
      <c r="D311" s="5"/>
      <c r="E311" s="5"/>
      <c r="F311" s="5"/>
      <c r="G311" s="44"/>
      <c r="H311" s="5"/>
      <c r="I311" s="44"/>
      <c r="J311" s="44"/>
      <c r="K311" s="44"/>
      <c r="L311" s="5"/>
      <c r="M311" s="5"/>
      <c r="N311" s="5"/>
      <c r="O311" s="5"/>
      <c r="P311" s="44"/>
      <c r="Q311" s="44"/>
      <c r="R311" s="44"/>
      <c r="S311" s="44"/>
      <c r="T311" s="44"/>
      <c r="U311" s="44"/>
      <c r="V311" s="5"/>
      <c r="W311" s="5"/>
      <c r="Y311" s="44"/>
    </row>
    <row r="312" spans="3:25" ht="15.75" customHeight="1">
      <c r="C312" s="5"/>
      <c r="D312" s="5"/>
      <c r="E312" s="5"/>
      <c r="F312" s="5"/>
      <c r="G312" s="44"/>
      <c r="H312" s="5"/>
      <c r="I312" s="44"/>
      <c r="J312" s="44"/>
      <c r="K312" s="44"/>
      <c r="L312" s="5"/>
      <c r="M312" s="5"/>
      <c r="N312" s="5"/>
      <c r="O312" s="5"/>
      <c r="P312" s="44"/>
      <c r="Q312" s="44"/>
      <c r="R312" s="44"/>
      <c r="S312" s="44"/>
      <c r="T312" s="44"/>
      <c r="U312" s="44"/>
      <c r="V312" s="5"/>
      <c r="W312" s="5"/>
      <c r="Y312" s="44"/>
    </row>
    <row r="313" spans="3:25" ht="15.75" customHeight="1">
      <c r="C313" s="5"/>
      <c r="D313" s="5"/>
      <c r="E313" s="5"/>
      <c r="F313" s="5"/>
      <c r="G313" s="44"/>
      <c r="H313" s="5"/>
      <c r="I313" s="44"/>
      <c r="J313" s="44"/>
      <c r="K313" s="44"/>
      <c r="L313" s="5"/>
      <c r="M313" s="5"/>
      <c r="N313" s="5"/>
      <c r="O313" s="5"/>
      <c r="P313" s="44"/>
      <c r="Q313" s="44"/>
      <c r="R313" s="44"/>
      <c r="S313" s="44"/>
      <c r="T313" s="44"/>
      <c r="U313" s="44"/>
      <c r="V313" s="5"/>
      <c r="W313" s="5"/>
      <c r="Y313" s="44"/>
    </row>
    <row r="314" spans="3:25" ht="15.75" customHeight="1">
      <c r="C314" s="5"/>
      <c r="D314" s="5"/>
      <c r="E314" s="5"/>
      <c r="F314" s="5"/>
      <c r="G314" s="44"/>
      <c r="H314" s="5"/>
      <c r="I314" s="44"/>
      <c r="J314" s="44"/>
      <c r="K314" s="44"/>
      <c r="L314" s="5"/>
      <c r="M314" s="5"/>
      <c r="N314" s="5"/>
      <c r="O314" s="5"/>
      <c r="P314" s="44"/>
      <c r="Q314" s="44"/>
      <c r="R314" s="44"/>
      <c r="S314" s="44"/>
      <c r="T314" s="44"/>
      <c r="U314" s="44"/>
      <c r="V314" s="5"/>
      <c r="W314" s="5"/>
      <c r="Y314" s="44"/>
    </row>
    <row r="315" spans="3:25" ht="15.75" customHeight="1">
      <c r="C315" s="5"/>
      <c r="D315" s="5"/>
      <c r="E315" s="5"/>
      <c r="F315" s="5"/>
      <c r="G315" s="44"/>
      <c r="H315" s="5"/>
      <c r="I315" s="44"/>
      <c r="J315" s="44"/>
      <c r="K315" s="44"/>
      <c r="L315" s="5"/>
      <c r="M315" s="5"/>
      <c r="N315" s="5"/>
      <c r="O315" s="5"/>
      <c r="P315" s="44"/>
      <c r="Q315" s="44"/>
      <c r="R315" s="44"/>
      <c r="S315" s="44"/>
      <c r="T315" s="44"/>
      <c r="U315" s="44"/>
      <c r="V315" s="5"/>
      <c r="W315" s="5"/>
      <c r="Y315" s="44"/>
    </row>
    <row r="316" spans="3:25" ht="15.75" customHeight="1">
      <c r="C316" s="5"/>
      <c r="D316" s="5"/>
      <c r="E316" s="5"/>
      <c r="F316" s="5"/>
      <c r="G316" s="44"/>
      <c r="H316" s="5"/>
      <c r="I316" s="44"/>
      <c r="J316" s="44"/>
      <c r="K316" s="44"/>
      <c r="L316" s="5"/>
      <c r="M316" s="5"/>
      <c r="N316" s="5"/>
      <c r="O316" s="5"/>
      <c r="P316" s="44"/>
      <c r="Q316" s="44"/>
      <c r="R316" s="44"/>
      <c r="S316" s="44"/>
      <c r="T316" s="44"/>
      <c r="U316" s="44"/>
      <c r="V316" s="5"/>
      <c r="W316" s="5"/>
      <c r="Y316" s="44"/>
    </row>
    <row r="317" spans="3:25" ht="15.75" customHeight="1">
      <c r="C317" s="5"/>
      <c r="D317" s="5"/>
      <c r="E317" s="5"/>
      <c r="F317" s="5"/>
      <c r="G317" s="44"/>
      <c r="H317" s="5"/>
      <c r="I317" s="44"/>
      <c r="J317" s="44"/>
      <c r="K317" s="44"/>
      <c r="L317" s="5"/>
      <c r="M317" s="5"/>
      <c r="N317" s="5"/>
      <c r="O317" s="5"/>
      <c r="P317" s="44"/>
      <c r="Q317" s="44"/>
      <c r="R317" s="44"/>
      <c r="S317" s="44"/>
      <c r="T317" s="44"/>
      <c r="U317" s="44"/>
      <c r="V317" s="5"/>
      <c r="W317" s="5"/>
      <c r="Y317" s="44"/>
    </row>
    <row r="318" spans="3:25" ht="15.75" customHeight="1">
      <c r="C318" s="5"/>
      <c r="D318" s="5"/>
      <c r="E318" s="5"/>
      <c r="F318" s="5"/>
      <c r="G318" s="44"/>
      <c r="H318" s="5"/>
      <c r="I318" s="44"/>
      <c r="J318" s="44"/>
      <c r="K318" s="44"/>
      <c r="L318" s="5"/>
      <c r="M318" s="5"/>
      <c r="N318" s="5"/>
      <c r="O318" s="5"/>
      <c r="P318" s="44"/>
      <c r="Q318" s="44"/>
      <c r="R318" s="44"/>
      <c r="S318" s="44"/>
      <c r="T318" s="44"/>
      <c r="U318" s="44"/>
      <c r="V318" s="5"/>
      <c r="W318" s="5"/>
      <c r="Y318" s="44"/>
    </row>
    <row r="319" spans="3:25" ht="15.75" customHeight="1">
      <c r="C319" s="5"/>
      <c r="D319" s="5"/>
      <c r="E319" s="5"/>
      <c r="F319" s="5"/>
      <c r="G319" s="44"/>
      <c r="H319" s="5"/>
      <c r="I319" s="44"/>
      <c r="J319" s="44"/>
      <c r="K319" s="44"/>
      <c r="L319" s="5"/>
      <c r="M319" s="5"/>
      <c r="N319" s="5"/>
      <c r="O319" s="5"/>
      <c r="P319" s="44"/>
      <c r="Q319" s="44"/>
      <c r="R319" s="44"/>
      <c r="S319" s="44"/>
      <c r="T319" s="44"/>
      <c r="U319" s="44"/>
      <c r="V319" s="5"/>
      <c r="W319" s="5"/>
      <c r="Y319" s="44"/>
    </row>
    <row r="320" spans="3:25" ht="15.75" customHeight="1">
      <c r="C320" s="5"/>
      <c r="D320" s="5"/>
      <c r="E320" s="5"/>
      <c r="F320" s="5"/>
      <c r="G320" s="44"/>
      <c r="H320" s="5"/>
      <c r="I320" s="44"/>
      <c r="J320" s="44"/>
      <c r="K320" s="44"/>
      <c r="L320" s="5"/>
      <c r="M320" s="5"/>
      <c r="N320" s="5"/>
      <c r="O320" s="5"/>
      <c r="P320" s="44"/>
      <c r="Q320" s="44"/>
      <c r="R320" s="44"/>
      <c r="S320" s="44"/>
      <c r="T320" s="44"/>
      <c r="U320" s="44"/>
      <c r="V320" s="5"/>
      <c r="W320" s="5"/>
      <c r="Y320" s="44"/>
    </row>
    <row r="321" spans="3:25" ht="15.75" customHeight="1">
      <c r="C321" s="5"/>
      <c r="D321" s="5"/>
      <c r="E321" s="5"/>
      <c r="F321" s="5"/>
      <c r="G321" s="44"/>
      <c r="H321" s="5"/>
      <c r="I321" s="44"/>
      <c r="J321" s="44"/>
      <c r="K321" s="44"/>
      <c r="L321" s="5"/>
      <c r="M321" s="5"/>
      <c r="N321" s="5"/>
      <c r="O321" s="5"/>
      <c r="P321" s="44"/>
      <c r="Q321" s="44"/>
      <c r="R321" s="44"/>
      <c r="S321" s="44"/>
      <c r="T321" s="44"/>
      <c r="U321" s="44"/>
      <c r="V321" s="5"/>
      <c r="W321" s="5"/>
      <c r="Y321" s="44"/>
    </row>
    <row r="322" spans="3:25" ht="15.75" customHeight="1">
      <c r="C322" s="5"/>
      <c r="D322" s="5"/>
      <c r="E322" s="5"/>
      <c r="F322" s="5"/>
      <c r="G322" s="44"/>
      <c r="H322" s="5"/>
      <c r="I322" s="44"/>
      <c r="J322" s="44"/>
      <c r="K322" s="44"/>
      <c r="L322" s="5"/>
      <c r="M322" s="5"/>
      <c r="N322" s="5"/>
      <c r="O322" s="5"/>
      <c r="P322" s="44"/>
      <c r="Q322" s="44"/>
      <c r="R322" s="44"/>
      <c r="S322" s="44"/>
      <c r="T322" s="44"/>
      <c r="U322" s="44"/>
      <c r="V322" s="5"/>
      <c r="W322" s="5"/>
      <c r="Y322" s="44"/>
    </row>
    <row r="323" spans="3:25" ht="15.75" customHeight="1">
      <c r="C323" s="5"/>
      <c r="D323" s="5"/>
      <c r="E323" s="5"/>
      <c r="F323" s="5"/>
      <c r="G323" s="44"/>
      <c r="H323" s="5"/>
      <c r="I323" s="44"/>
      <c r="J323" s="44"/>
      <c r="K323" s="44"/>
      <c r="L323" s="5"/>
      <c r="M323" s="5"/>
      <c r="N323" s="5"/>
      <c r="O323" s="5"/>
      <c r="P323" s="44"/>
      <c r="Q323" s="44"/>
      <c r="R323" s="44"/>
      <c r="S323" s="44"/>
      <c r="T323" s="44"/>
      <c r="U323" s="44"/>
      <c r="V323" s="5"/>
      <c r="W323" s="5"/>
      <c r="Y323" s="44"/>
    </row>
    <row r="324" spans="3:25" ht="15.75" customHeight="1">
      <c r="C324" s="5"/>
      <c r="D324" s="5"/>
      <c r="E324" s="5"/>
      <c r="F324" s="5"/>
      <c r="G324" s="44"/>
      <c r="H324" s="5"/>
      <c r="I324" s="44"/>
      <c r="J324" s="44"/>
      <c r="K324" s="44"/>
      <c r="L324" s="5"/>
      <c r="M324" s="5"/>
      <c r="N324" s="5"/>
      <c r="O324" s="5"/>
      <c r="P324" s="44"/>
      <c r="Q324" s="44"/>
      <c r="R324" s="44"/>
      <c r="S324" s="44"/>
      <c r="T324" s="44"/>
      <c r="U324" s="44"/>
      <c r="V324" s="5"/>
      <c r="W324" s="5"/>
      <c r="Y324" s="44"/>
    </row>
    <row r="325" spans="3:25" ht="15.75" customHeight="1">
      <c r="C325" s="5"/>
      <c r="D325" s="5"/>
      <c r="E325" s="5"/>
      <c r="F325" s="5"/>
      <c r="G325" s="44"/>
      <c r="H325" s="5"/>
      <c r="I325" s="44"/>
      <c r="J325" s="44"/>
      <c r="K325" s="44"/>
      <c r="L325" s="5"/>
      <c r="M325" s="5"/>
      <c r="N325" s="5"/>
      <c r="O325" s="5"/>
      <c r="P325" s="44"/>
      <c r="Q325" s="44"/>
      <c r="R325" s="44"/>
      <c r="S325" s="44"/>
      <c r="T325" s="44"/>
      <c r="U325" s="44"/>
      <c r="V325" s="5"/>
      <c r="W325" s="5"/>
      <c r="Y325" s="44"/>
    </row>
    <row r="326" spans="3:25" ht="15.75" customHeight="1">
      <c r="C326" s="5"/>
      <c r="D326" s="5"/>
      <c r="E326" s="5"/>
      <c r="F326" s="5"/>
      <c r="G326" s="44"/>
      <c r="H326" s="5"/>
      <c r="I326" s="44"/>
      <c r="J326" s="44"/>
      <c r="K326" s="44"/>
      <c r="L326" s="5"/>
      <c r="M326" s="5"/>
      <c r="N326" s="5"/>
      <c r="O326" s="5"/>
      <c r="P326" s="44"/>
      <c r="Q326" s="44"/>
      <c r="R326" s="44"/>
      <c r="S326" s="44"/>
      <c r="T326" s="44"/>
      <c r="U326" s="44"/>
      <c r="V326" s="5"/>
      <c r="W326" s="5"/>
      <c r="Y326" s="44"/>
    </row>
    <row r="327" spans="3:25" ht="15.75" customHeight="1">
      <c r="C327" s="5"/>
      <c r="D327" s="5"/>
      <c r="E327" s="5"/>
      <c r="F327" s="5"/>
      <c r="G327" s="44"/>
      <c r="H327" s="5"/>
      <c r="I327" s="44"/>
      <c r="J327" s="44"/>
      <c r="K327" s="44"/>
      <c r="L327" s="5"/>
      <c r="M327" s="5"/>
      <c r="N327" s="5"/>
      <c r="O327" s="5"/>
      <c r="P327" s="44"/>
      <c r="Q327" s="44"/>
      <c r="R327" s="44"/>
      <c r="S327" s="44"/>
      <c r="T327" s="44"/>
      <c r="U327" s="44"/>
      <c r="V327" s="5"/>
      <c r="W327" s="5"/>
      <c r="Y327" s="44"/>
    </row>
    <row r="328" spans="3:25" ht="15.75" customHeight="1">
      <c r="C328" s="5"/>
      <c r="D328" s="5"/>
      <c r="E328" s="5"/>
      <c r="F328" s="5"/>
      <c r="G328" s="44"/>
      <c r="H328" s="5"/>
      <c r="I328" s="44"/>
      <c r="J328" s="44"/>
      <c r="K328" s="44"/>
      <c r="L328" s="5"/>
      <c r="M328" s="5"/>
      <c r="N328" s="5"/>
      <c r="O328" s="5"/>
      <c r="P328" s="44"/>
      <c r="Q328" s="44"/>
      <c r="R328" s="44"/>
      <c r="S328" s="44"/>
      <c r="T328" s="44"/>
      <c r="U328" s="44"/>
      <c r="V328" s="5"/>
      <c r="W328" s="5"/>
      <c r="Y328" s="44"/>
    </row>
    <row r="329" spans="3:25" ht="15.75" customHeight="1">
      <c r="C329" s="5"/>
      <c r="D329" s="5"/>
      <c r="E329" s="5"/>
      <c r="F329" s="5"/>
      <c r="G329" s="44"/>
      <c r="H329" s="5"/>
      <c r="I329" s="44"/>
      <c r="J329" s="44"/>
      <c r="K329" s="44"/>
      <c r="L329" s="5"/>
      <c r="M329" s="5"/>
      <c r="N329" s="5"/>
      <c r="O329" s="5"/>
      <c r="P329" s="44"/>
      <c r="Q329" s="44"/>
      <c r="R329" s="44"/>
      <c r="S329" s="44"/>
      <c r="T329" s="44"/>
      <c r="U329" s="44"/>
      <c r="V329" s="5"/>
      <c r="W329" s="5"/>
      <c r="Y329" s="44"/>
    </row>
    <row r="330" spans="3:25" ht="15.75" customHeight="1">
      <c r="C330" s="5"/>
      <c r="D330" s="5"/>
      <c r="E330" s="5"/>
      <c r="F330" s="5"/>
      <c r="G330" s="44"/>
      <c r="H330" s="5"/>
      <c r="I330" s="44"/>
      <c r="J330" s="44"/>
      <c r="K330" s="44"/>
      <c r="L330" s="5"/>
      <c r="M330" s="5"/>
      <c r="N330" s="5"/>
      <c r="O330" s="5"/>
      <c r="P330" s="44"/>
      <c r="Q330" s="44"/>
      <c r="R330" s="44"/>
      <c r="S330" s="44"/>
      <c r="T330" s="44"/>
      <c r="U330" s="44"/>
      <c r="V330" s="5"/>
      <c r="W330" s="5"/>
      <c r="Y330" s="44"/>
    </row>
    <row r="331" spans="3:25" ht="15.75" customHeight="1">
      <c r="C331" s="5"/>
      <c r="D331" s="5"/>
      <c r="E331" s="5"/>
      <c r="F331" s="5"/>
      <c r="G331" s="44"/>
      <c r="H331" s="5"/>
      <c r="I331" s="44"/>
      <c r="J331" s="44"/>
      <c r="K331" s="44"/>
      <c r="L331" s="5"/>
      <c r="M331" s="5"/>
      <c r="N331" s="5"/>
      <c r="O331" s="5"/>
      <c r="P331" s="44"/>
      <c r="Q331" s="44"/>
      <c r="R331" s="44"/>
      <c r="S331" s="44"/>
      <c r="T331" s="44"/>
      <c r="U331" s="44"/>
      <c r="V331" s="5"/>
      <c r="W331" s="5"/>
      <c r="Y331" s="44"/>
    </row>
    <row r="332" spans="3:25" ht="15.75" customHeight="1">
      <c r="C332" s="5"/>
      <c r="D332" s="5"/>
      <c r="E332" s="5"/>
      <c r="F332" s="5"/>
      <c r="G332" s="44"/>
      <c r="H332" s="5"/>
      <c r="I332" s="44"/>
      <c r="J332" s="44"/>
      <c r="K332" s="44"/>
      <c r="L332" s="5"/>
      <c r="M332" s="5"/>
      <c r="N332" s="5"/>
      <c r="O332" s="5"/>
      <c r="P332" s="44"/>
      <c r="Q332" s="44"/>
      <c r="R332" s="44"/>
      <c r="S332" s="44"/>
      <c r="T332" s="44"/>
      <c r="U332" s="44"/>
      <c r="V332" s="5"/>
      <c r="W332" s="5"/>
      <c r="Y332" s="44"/>
    </row>
    <row r="333" spans="3:25" ht="15.75" customHeight="1">
      <c r="C333" s="5"/>
      <c r="D333" s="5"/>
      <c r="E333" s="5"/>
      <c r="F333" s="5"/>
      <c r="G333" s="44"/>
      <c r="H333" s="5"/>
      <c r="I333" s="44"/>
      <c r="J333" s="44"/>
      <c r="K333" s="44"/>
      <c r="L333" s="5"/>
      <c r="M333" s="5"/>
      <c r="N333" s="5"/>
      <c r="O333" s="5"/>
      <c r="P333" s="44"/>
      <c r="Q333" s="44"/>
      <c r="R333" s="44"/>
      <c r="S333" s="44"/>
      <c r="T333" s="44"/>
      <c r="U333" s="44"/>
      <c r="V333" s="5"/>
      <c r="W333" s="5"/>
      <c r="Y333" s="44"/>
    </row>
    <row r="334" spans="3:25" ht="15.75" customHeight="1">
      <c r="C334" s="5"/>
      <c r="D334" s="5"/>
      <c r="E334" s="5"/>
      <c r="F334" s="5"/>
      <c r="G334" s="44"/>
      <c r="H334" s="5"/>
      <c r="I334" s="44"/>
      <c r="J334" s="44"/>
      <c r="K334" s="44"/>
      <c r="L334" s="5"/>
      <c r="M334" s="5"/>
      <c r="N334" s="5"/>
      <c r="O334" s="5"/>
      <c r="P334" s="44"/>
      <c r="Q334" s="44"/>
      <c r="R334" s="44"/>
      <c r="S334" s="44"/>
      <c r="T334" s="44"/>
      <c r="U334" s="44"/>
      <c r="V334" s="5"/>
      <c r="W334" s="5"/>
      <c r="Y334" s="44"/>
    </row>
    <row r="335" spans="3:25" ht="15.75" customHeight="1">
      <c r="C335" s="5"/>
      <c r="D335" s="5"/>
      <c r="E335" s="5"/>
      <c r="F335" s="5"/>
      <c r="G335" s="44"/>
      <c r="H335" s="5"/>
      <c r="I335" s="44"/>
      <c r="J335" s="44"/>
      <c r="K335" s="44"/>
      <c r="L335" s="5"/>
      <c r="M335" s="5"/>
      <c r="N335" s="5"/>
      <c r="O335" s="5"/>
      <c r="P335" s="44"/>
      <c r="Q335" s="44"/>
      <c r="R335" s="44"/>
      <c r="S335" s="44"/>
      <c r="T335" s="44"/>
      <c r="U335" s="44"/>
      <c r="V335" s="5"/>
      <c r="W335" s="5"/>
      <c r="Y335" s="44"/>
    </row>
    <row r="336" spans="3:25" ht="15.75" customHeight="1">
      <c r="C336" s="5"/>
      <c r="D336" s="5"/>
      <c r="E336" s="5"/>
      <c r="F336" s="5"/>
      <c r="G336" s="44"/>
      <c r="H336" s="5"/>
      <c r="I336" s="44"/>
      <c r="J336" s="44"/>
      <c r="K336" s="44"/>
      <c r="L336" s="5"/>
      <c r="M336" s="5"/>
      <c r="N336" s="5"/>
      <c r="O336" s="5"/>
      <c r="P336" s="44"/>
      <c r="Q336" s="44"/>
      <c r="R336" s="44"/>
      <c r="S336" s="44"/>
      <c r="T336" s="44"/>
      <c r="U336" s="44"/>
      <c r="V336" s="5"/>
      <c r="W336" s="5"/>
      <c r="Y336" s="44"/>
    </row>
    <row r="337" spans="3:25" ht="15.75" customHeight="1">
      <c r="C337" s="5"/>
      <c r="D337" s="5"/>
      <c r="E337" s="5"/>
      <c r="F337" s="5"/>
      <c r="G337" s="44"/>
      <c r="H337" s="5"/>
      <c r="I337" s="44"/>
      <c r="J337" s="44"/>
      <c r="K337" s="44"/>
      <c r="L337" s="5"/>
      <c r="M337" s="5"/>
      <c r="N337" s="5"/>
      <c r="O337" s="5"/>
      <c r="P337" s="44"/>
      <c r="Q337" s="44"/>
      <c r="R337" s="44"/>
      <c r="S337" s="44"/>
      <c r="T337" s="44"/>
      <c r="U337" s="44"/>
      <c r="V337" s="5"/>
      <c r="W337" s="5"/>
      <c r="Y337" s="44"/>
    </row>
    <row r="338" spans="3:25" ht="15.75" customHeight="1">
      <c r="C338" s="5"/>
      <c r="D338" s="5"/>
      <c r="E338" s="5"/>
      <c r="F338" s="5"/>
      <c r="G338" s="44"/>
      <c r="H338" s="5"/>
      <c r="I338" s="44"/>
      <c r="J338" s="44"/>
      <c r="K338" s="44"/>
      <c r="L338" s="5"/>
      <c r="M338" s="5"/>
      <c r="N338" s="5"/>
      <c r="O338" s="5"/>
      <c r="P338" s="44"/>
      <c r="Q338" s="44"/>
      <c r="R338" s="44"/>
      <c r="S338" s="44"/>
      <c r="T338" s="44"/>
      <c r="U338" s="44"/>
      <c r="V338" s="5"/>
      <c r="W338" s="5"/>
      <c r="Y338" s="44"/>
    </row>
    <row r="339" spans="3:25" ht="15.75" customHeight="1">
      <c r="C339" s="5"/>
      <c r="D339" s="5"/>
      <c r="E339" s="5"/>
      <c r="F339" s="5"/>
      <c r="G339" s="44"/>
      <c r="H339" s="5"/>
      <c r="I339" s="44"/>
      <c r="J339" s="44"/>
      <c r="K339" s="44"/>
      <c r="L339" s="5"/>
      <c r="M339" s="5"/>
      <c r="N339" s="5"/>
      <c r="O339" s="5"/>
      <c r="P339" s="44"/>
      <c r="Q339" s="44"/>
      <c r="R339" s="44"/>
      <c r="S339" s="44"/>
      <c r="T339" s="44"/>
      <c r="U339" s="44"/>
      <c r="V339" s="5"/>
      <c r="W339" s="5"/>
      <c r="Y339" s="44"/>
    </row>
    <row r="340" spans="3:25" ht="15.75" customHeight="1">
      <c r="C340" s="5"/>
      <c r="D340" s="5"/>
      <c r="E340" s="5"/>
      <c r="F340" s="5"/>
      <c r="G340" s="44"/>
      <c r="H340" s="5"/>
      <c r="I340" s="44"/>
      <c r="J340" s="44"/>
      <c r="K340" s="44"/>
      <c r="L340" s="5"/>
      <c r="M340" s="5"/>
      <c r="N340" s="5"/>
      <c r="O340" s="5"/>
      <c r="P340" s="44"/>
      <c r="Q340" s="44"/>
      <c r="R340" s="44"/>
      <c r="S340" s="44"/>
      <c r="T340" s="44"/>
      <c r="U340" s="44"/>
      <c r="V340" s="5"/>
      <c r="W340" s="5"/>
      <c r="Y340" s="44"/>
    </row>
    <row r="341" spans="3:25" ht="15.75" customHeight="1">
      <c r="C341" s="5"/>
      <c r="D341" s="5"/>
      <c r="E341" s="5"/>
      <c r="F341" s="5"/>
      <c r="G341" s="44"/>
      <c r="H341" s="5"/>
      <c r="I341" s="44"/>
      <c r="J341" s="44"/>
      <c r="K341" s="44"/>
      <c r="L341" s="5"/>
      <c r="M341" s="5"/>
      <c r="N341" s="5"/>
      <c r="O341" s="5"/>
      <c r="P341" s="44"/>
      <c r="Q341" s="44"/>
      <c r="R341" s="44"/>
      <c r="S341" s="44"/>
      <c r="T341" s="44"/>
      <c r="U341" s="44"/>
      <c r="V341" s="5"/>
      <c r="W341" s="5"/>
      <c r="Y341" s="44"/>
    </row>
    <row r="342" spans="3:25" ht="15.75" customHeight="1">
      <c r="C342" s="5"/>
      <c r="D342" s="5"/>
      <c r="E342" s="5"/>
      <c r="F342" s="5"/>
      <c r="G342" s="44"/>
      <c r="H342" s="5"/>
      <c r="I342" s="44"/>
      <c r="J342" s="44"/>
      <c r="K342" s="44"/>
      <c r="L342" s="5"/>
      <c r="M342" s="5"/>
      <c r="N342" s="5"/>
      <c r="O342" s="5"/>
      <c r="P342" s="44"/>
      <c r="Q342" s="44"/>
      <c r="R342" s="44"/>
      <c r="S342" s="44"/>
      <c r="T342" s="44"/>
      <c r="U342" s="44"/>
      <c r="V342" s="5"/>
      <c r="W342" s="5"/>
      <c r="Y342" s="44"/>
    </row>
    <row r="343" spans="3:25" ht="15.75" customHeight="1">
      <c r="C343" s="5"/>
      <c r="D343" s="5"/>
      <c r="E343" s="5"/>
      <c r="F343" s="5"/>
      <c r="G343" s="44"/>
      <c r="H343" s="5"/>
      <c r="I343" s="44"/>
      <c r="J343" s="44"/>
      <c r="K343" s="44"/>
      <c r="L343" s="5"/>
      <c r="M343" s="5"/>
      <c r="N343" s="5"/>
      <c r="O343" s="5"/>
      <c r="P343" s="44"/>
      <c r="Q343" s="44"/>
      <c r="R343" s="44"/>
      <c r="S343" s="44"/>
      <c r="T343" s="44"/>
      <c r="U343" s="44"/>
      <c r="V343" s="5"/>
      <c r="W343" s="5"/>
      <c r="Y343" s="44"/>
    </row>
    <row r="344" spans="3:25" ht="15.75" customHeight="1">
      <c r="C344" s="5"/>
      <c r="D344" s="5"/>
      <c r="E344" s="5"/>
      <c r="F344" s="5"/>
      <c r="G344" s="44"/>
      <c r="H344" s="5"/>
      <c r="I344" s="44"/>
      <c r="J344" s="44"/>
      <c r="K344" s="44"/>
      <c r="L344" s="5"/>
      <c r="M344" s="5"/>
      <c r="N344" s="5"/>
      <c r="O344" s="5"/>
      <c r="P344" s="44"/>
      <c r="Q344" s="44"/>
      <c r="R344" s="44"/>
      <c r="S344" s="44"/>
      <c r="T344" s="44"/>
      <c r="U344" s="44"/>
      <c r="V344" s="5"/>
      <c r="W344" s="5"/>
      <c r="Y344" s="44"/>
    </row>
    <row r="345" spans="3:25" ht="15.75" customHeight="1">
      <c r="C345" s="5"/>
      <c r="D345" s="5"/>
      <c r="E345" s="5"/>
      <c r="F345" s="5"/>
      <c r="G345" s="44"/>
      <c r="H345" s="5"/>
      <c r="I345" s="44"/>
      <c r="J345" s="44"/>
      <c r="K345" s="44"/>
      <c r="L345" s="5"/>
      <c r="M345" s="5"/>
      <c r="N345" s="5"/>
      <c r="O345" s="5"/>
      <c r="P345" s="44"/>
      <c r="Q345" s="44"/>
      <c r="R345" s="44"/>
      <c r="S345" s="44"/>
      <c r="T345" s="44"/>
      <c r="U345" s="44"/>
      <c r="V345" s="5"/>
      <c r="W345" s="5"/>
      <c r="Y345" s="44"/>
    </row>
    <row r="346" spans="3:25" ht="15.75" customHeight="1">
      <c r="C346" s="5"/>
      <c r="D346" s="5"/>
      <c r="E346" s="5"/>
      <c r="F346" s="5"/>
      <c r="G346" s="44"/>
      <c r="H346" s="5"/>
      <c r="I346" s="44"/>
      <c r="J346" s="44"/>
      <c r="K346" s="44"/>
      <c r="L346" s="5"/>
      <c r="M346" s="5"/>
      <c r="N346" s="5"/>
      <c r="O346" s="5"/>
      <c r="P346" s="44"/>
      <c r="Q346" s="44"/>
      <c r="R346" s="44"/>
      <c r="S346" s="44"/>
      <c r="T346" s="44"/>
      <c r="U346" s="44"/>
      <c r="V346" s="5"/>
      <c r="W346" s="5"/>
      <c r="Y346" s="44"/>
    </row>
    <row r="347" spans="3:25" ht="15.75" customHeight="1">
      <c r="C347" s="5"/>
      <c r="D347" s="5"/>
      <c r="E347" s="5"/>
      <c r="F347" s="5"/>
      <c r="G347" s="44"/>
      <c r="H347" s="5"/>
      <c r="I347" s="44"/>
      <c r="J347" s="44"/>
      <c r="K347" s="44"/>
      <c r="L347" s="5"/>
      <c r="M347" s="5"/>
      <c r="N347" s="5"/>
      <c r="O347" s="5"/>
      <c r="P347" s="44"/>
      <c r="Q347" s="44"/>
      <c r="R347" s="44"/>
      <c r="S347" s="44"/>
      <c r="T347" s="44"/>
      <c r="U347" s="44"/>
      <c r="V347" s="5"/>
      <c r="W347" s="5"/>
      <c r="Y347" s="44"/>
    </row>
    <row r="348" spans="3:25" ht="15.75" customHeight="1">
      <c r="C348" s="5"/>
      <c r="D348" s="5"/>
      <c r="E348" s="5"/>
      <c r="F348" s="5"/>
      <c r="G348" s="44"/>
      <c r="H348" s="5"/>
      <c r="I348" s="44"/>
      <c r="J348" s="44"/>
      <c r="K348" s="44"/>
      <c r="L348" s="5"/>
      <c r="M348" s="5"/>
      <c r="N348" s="5"/>
      <c r="O348" s="5"/>
      <c r="P348" s="44"/>
      <c r="Q348" s="44"/>
      <c r="R348" s="44"/>
      <c r="S348" s="44"/>
      <c r="T348" s="44"/>
      <c r="U348" s="44"/>
      <c r="V348" s="5"/>
      <c r="W348" s="5"/>
      <c r="Y348" s="44"/>
    </row>
    <row r="349" spans="3:25" ht="15.75" customHeight="1">
      <c r="C349" s="5"/>
      <c r="D349" s="5"/>
      <c r="E349" s="5"/>
      <c r="F349" s="5"/>
      <c r="G349" s="44"/>
      <c r="H349" s="5"/>
      <c r="I349" s="44"/>
      <c r="J349" s="44"/>
      <c r="K349" s="44"/>
      <c r="L349" s="5"/>
      <c r="M349" s="5"/>
      <c r="N349" s="5"/>
      <c r="O349" s="5"/>
      <c r="P349" s="44"/>
      <c r="Q349" s="44"/>
      <c r="R349" s="44"/>
      <c r="S349" s="44"/>
      <c r="T349" s="44"/>
      <c r="U349" s="44"/>
      <c r="V349" s="5"/>
      <c r="W349" s="5"/>
      <c r="Y349" s="44"/>
    </row>
    <row r="350" spans="3:25" ht="15.75" customHeight="1">
      <c r="C350" s="5"/>
      <c r="D350" s="5"/>
      <c r="E350" s="5"/>
      <c r="F350" s="5"/>
      <c r="G350" s="44"/>
      <c r="H350" s="5"/>
      <c r="I350" s="44"/>
      <c r="J350" s="44"/>
      <c r="K350" s="44"/>
      <c r="L350" s="5"/>
      <c r="M350" s="5"/>
      <c r="N350" s="5"/>
      <c r="O350" s="5"/>
      <c r="P350" s="44"/>
      <c r="Q350" s="44"/>
      <c r="R350" s="44"/>
      <c r="S350" s="44"/>
      <c r="T350" s="44"/>
      <c r="U350" s="44"/>
      <c r="V350" s="5"/>
      <c r="W350" s="5"/>
      <c r="Y350" s="44"/>
    </row>
    <row r="351" spans="3:25" ht="15.75" customHeight="1">
      <c r="C351" s="5"/>
      <c r="D351" s="5"/>
      <c r="E351" s="5"/>
      <c r="F351" s="5"/>
      <c r="G351" s="44"/>
      <c r="H351" s="5"/>
      <c r="I351" s="44"/>
      <c r="J351" s="44"/>
      <c r="K351" s="44"/>
      <c r="L351" s="5"/>
      <c r="M351" s="5"/>
      <c r="N351" s="5"/>
      <c r="O351" s="5"/>
      <c r="P351" s="44"/>
      <c r="Q351" s="44"/>
      <c r="R351" s="44"/>
      <c r="S351" s="44"/>
      <c r="T351" s="44"/>
      <c r="U351" s="44"/>
      <c r="V351" s="5"/>
      <c r="W351" s="5"/>
      <c r="Y351" s="44"/>
    </row>
    <row r="352" spans="3:25" ht="15.75" customHeight="1">
      <c r="C352" s="5"/>
      <c r="D352" s="5"/>
      <c r="E352" s="5"/>
      <c r="F352" s="5"/>
      <c r="G352" s="44"/>
      <c r="H352" s="5"/>
      <c r="I352" s="44"/>
      <c r="J352" s="44"/>
      <c r="K352" s="44"/>
      <c r="L352" s="5"/>
      <c r="M352" s="5"/>
      <c r="N352" s="5"/>
      <c r="O352" s="5"/>
      <c r="P352" s="44"/>
      <c r="Q352" s="44"/>
      <c r="R352" s="44"/>
      <c r="S352" s="44"/>
      <c r="T352" s="44"/>
      <c r="U352" s="44"/>
      <c r="V352" s="5"/>
      <c r="W352" s="5"/>
      <c r="Y352" s="44"/>
    </row>
    <row r="353" spans="3:25" ht="15.75" customHeight="1">
      <c r="C353" s="5"/>
      <c r="D353" s="5"/>
      <c r="E353" s="5"/>
      <c r="F353" s="5"/>
      <c r="G353" s="44"/>
      <c r="H353" s="5"/>
      <c r="I353" s="44"/>
      <c r="J353" s="44"/>
      <c r="K353" s="44"/>
      <c r="L353" s="5"/>
      <c r="M353" s="5"/>
      <c r="N353" s="5"/>
      <c r="O353" s="5"/>
      <c r="P353" s="44"/>
      <c r="Q353" s="44"/>
      <c r="R353" s="44"/>
      <c r="S353" s="44"/>
      <c r="T353" s="44"/>
      <c r="U353" s="44"/>
      <c r="V353" s="5"/>
      <c r="W353" s="5"/>
      <c r="Y353" s="44"/>
    </row>
    <row r="354" spans="3:25" ht="15.75" customHeight="1">
      <c r="C354" s="5"/>
      <c r="D354" s="5"/>
      <c r="E354" s="5"/>
      <c r="F354" s="5"/>
      <c r="G354" s="44"/>
      <c r="H354" s="5"/>
      <c r="I354" s="44"/>
      <c r="J354" s="44"/>
      <c r="K354" s="44"/>
      <c r="L354" s="5"/>
      <c r="M354" s="5"/>
      <c r="N354" s="5"/>
      <c r="O354" s="5"/>
      <c r="P354" s="44"/>
      <c r="Q354" s="44"/>
      <c r="R354" s="44"/>
      <c r="S354" s="44"/>
      <c r="T354" s="44"/>
      <c r="U354" s="44"/>
      <c r="V354" s="5"/>
      <c r="W354" s="5"/>
      <c r="Y354" s="44"/>
    </row>
    <row r="355" spans="3:25" ht="15.75" customHeight="1">
      <c r="C355" s="5"/>
      <c r="D355" s="5"/>
      <c r="E355" s="5"/>
      <c r="F355" s="5"/>
      <c r="G355" s="44"/>
      <c r="H355" s="5"/>
      <c r="I355" s="44"/>
      <c r="J355" s="44"/>
      <c r="K355" s="44"/>
      <c r="L355" s="5"/>
      <c r="M355" s="5"/>
      <c r="N355" s="5"/>
      <c r="O355" s="5"/>
      <c r="P355" s="44"/>
      <c r="Q355" s="44"/>
      <c r="R355" s="44"/>
      <c r="S355" s="44"/>
      <c r="T355" s="44"/>
      <c r="U355" s="44"/>
      <c r="V355" s="5"/>
      <c r="W355" s="5"/>
      <c r="Y355" s="44"/>
    </row>
    <row r="356" spans="3:25" ht="15.75" customHeight="1">
      <c r="C356" s="5"/>
      <c r="D356" s="5"/>
      <c r="E356" s="5"/>
      <c r="F356" s="5"/>
      <c r="G356" s="44"/>
      <c r="H356" s="5"/>
      <c r="I356" s="44"/>
      <c r="J356" s="44"/>
      <c r="K356" s="44"/>
      <c r="L356" s="5"/>
      <c r="M356" s="5"/>
      <c r="N356" s="5"/>
      <c r="O356" s="5"/>
      <c r="P356" s="44"/>
      <c r="Q356" s="44"/>
      <c r="R356" s="44"/>
      <c r="S356" s="44"/>
      <c r="T356" s="44"/>
      <c r="U356" s="44"/>
      <c r="V356" s="5"/>
      <c r="W356" s="5"/>
      <c r="Y356" s="44"/>
    </row>
    <row r="357" spans="3:25" ht="15.75" customHeight="1">
      <c r="C357" s="5"/>
      <c r="D357" s="5"/>
      <c r="E357" s="5"/>
      <c r="F357" s="5"/>
      <c r="G357" s="44"/>
      <c r="H357" s="5"/>
      <c r="I357" s="44"/>
      <c r="J357" s="44"/>
      <c r="K357" s="44"/>
      <c r="L357" s="5"/>
      <c r="M357" s="5"/>
      <c r="N357" s="5"/>
      <c r="O357" s="5"/>
      <c r="P357" s="44"/>
      <c r="Q357" s="44"/>
      <c r="R357" s="44"/>
      <c r="S357" s="44"/>
      <c r="T357" s="44"/>
      <c r="U357" s="44"/>
      <c r="V357" s="5"/>
      <c r="W357" s="5"/>
      <c r="Y357" s="44"/>
    </row>
    <row r="358" spans="3:25" ht="15.75" customHeight="1">
      <c r="C358" s="5"/>
      <c r="D358" s="5"/>
      <c r="E358" s="5"/>
      <c r="F358" s="5"/>
      <c r="G358" s="44"/>
      <c r="H358" s="5"/>
      <c r="I358" s="44"/>
      <c r="J358" s="44"/>
      <c r="K358" s="44"/>
      <c r="L358" s="5"/>
      <c r="M358" s="5"/>
      <c r="N358" s="5"/>
      <c r="O358" s="5"/>
      <c r="P358" s="44"/>
      <c r="Q358" s="44"/>
      <c r="R358" s="44"/>
      <c r="S358" s="44"/>
      <c r="T358" s="44"/>
      <c r="U358" s="44"/>
      <c r="V358" s="5"/>
      <c r="W358" s="5"/>
      <c r="Y358" s="44"/>
    </row>
    <row r="359" spans="3:25" ht="15.75" customHeight="1">
      <c r="C359" s="5"/>
      <c r="D359" s="5"/>
      <c r="E359" s="5"/>
      <c r="F359" s="5"/>
      <c r="G359" s="44"/>
      <c r="H359" s="5"/>
      <c r="I359" s="44"/>
      <c r="J359" s="44"/>
      <c r="K359" s="44"/>
      <c r="L359" s="5"/>
      <c r="M359" s="5"/>
      <c r="N359" s="5"/>
      <c r="O359" s="5"/>
      <c r="P359" s="44"/>
      <c r="Q359" s="44"/>
      <c r="R359" s="44"/>
      <c r="S359" s="44"/>
      <c r="T359" s="44"/>
      <c r="U359" s="44"/>
      <c r="V359" s="5"/>
      <c r="W359" s="5"/>
      <c r="Y359" s="44"/>
    </row>
    <row r="360" spans="3:25" ht="15.75" customHeight="1">
      <c r="C360" s="5"/>
      <c r="D360" s="5"/>
      <c r="E360" s="5"/>
      <c r="F360" s="5"/>
      <c r="G360" s="44"/>
      <c r="H360" s="5"/>
      <c r="I360" s="44"/>
      <c r="J360" s="44"/>
      <c r="K360" s="44"/>
      <c r="L360" s="5"/>
      <c r="M360" s="5"/>
      <c r="N360" s="5"/>
      <c r="O360" s="5"/>
      <c r="P360" s="44"/>
      <c r="Q360" s="44"/>
      <c r="R360" s="44"/>
      <c r="S360" s="44"/>
      <c r="T360" s="44"/>
      <c r="U360" s="44"/>
      <c r="V360" s="5"/>
      <c r="W360" s="5"/>
      <c r="Y360" s="44"/>
    </row>
    <row r="361" spans="3:25" ht="15.75" customHeight="1">
      <c r="C361" s="5"/>
      <c r="D361" s="5"/>
      <c r="E361" s="5"/>
      <c r="F361" s="5"/>
      <c r="G361" s="44"/>
      <c r="H361" s="5"/>
      <c r="I361" s="44"/>
      <c r="J361" s="44"/>
      <c r="K361" s="44"/>
      <c r="L361" s="5"/>
      <c r="M361" s="5"/>
      <c r="N361" s="5"/>
      <c r="O361" s="5"/>
      <c r="P361" s="44"/>
      <c r="Q361" s="44"/>
      <c r="R361" s="44"/>
      <c r="S361" s="44"/>
      <c r="T361" s="44"/>
      <c r="U361" s="44"/>
      <c r="V361" s="5"/>
      <c r="W361" s="5"/>
      <c r="Y361" s="44"/>
    </row>
    <row r="362" spans="3:25" ht="15.75" customHeight="1">
      <c r="C362" s="5"/>
      <c r="D362" s="5"/>
      <c r="E362" s="5"/>
      <c r="F362" s="5"/>
      <c r="G362" s="44"/>
      <c r="H362" s="5"/>
      <c r="I362" s="44"/>
      <c r="J362" s="44"/>
      <c r="K362" s="44"/>
      <c r="L362" s="5"/>
      <c r="M362" s="5"/>
      <c r="N362" s="5"/>
      <c r="O362" s="5"/>
      <c r="P362" s="44"/>
      <c r="Q362" s="44"/>
      <c r="R362" s="44"/>
      <c r="S362" s="44"/>
      <c r="T362" s="44"/>
      <c r="U362" s="44"/>
      <c r="V362" s="5"/>
      <c r="W362" s="5"/>
      <c r="Y362" s="44"/>
    </row>
    <row r="363" spans="3:25" ht="15.75" customHeight="1">
      <c r="C363" s="5"/>
      <c r="D363" s="5"/>
      <c r="E363" s="5"/>
      <c r="F363" s="5"/>
      <c r="G363" s="44"/>
      <c r="H363" s="5"/>
      <c r="I363" s="44"/>
      <c r="J363" s="44"/>
      <c r="K363" s="44"/>
      <c r="L363" s="5"/>
      <c r="M363" s="5"/>
      <c r="N363" s="5"/>
      <c r="O363" s="5"/>
      <c r="P363" s="44"/>
      <c r="Q363" s="44"/>
      <c r="R363" s="44"/>
      <c r="S363" s="44"/>
      <c r="T363" s="44"/>
      <c r="U363" s="44"/>
      <c r="V363" s="5"/>
      <c r="W363" s="5"/>
      <c r="Y363" s="44"/>
    </row>
    <row r="364" spans="3:25" ht="15.75" customHeight="1">
      <c r="C364" s="5"/>
      <c r="D364" s="5"/>
      <c r="E364" s="5"/>
      <c r="F364" s="5"/>
      <c r="G364" s="44"/>
      <c r="H364" s="5"/>
      <c r="I364" s="44"/>
      <c r="J364" s="44"/>
      <c r="K364" s="44"/>
      <c r="L364" s="5"/>
      <c r="M364" s="5"/>
      <c r="N364" s="5"/>
      <c r="O364" s="5"/>
      <c r="P364" s="44"/>
      <c r="Q364" s="44"/>
      <c r="R364" s="44"/>
      <c r="S364" s="44"/>
      <c r="T364" s="44"/>
      <c r="U364" s="44"/>
      <c r="V364" s="5"/>
      <c r="W364" s="5"/>
      <c r="Y364" s="44"/>
    </row>
    <row r="365" spans="3:25" ht="15.75" customHeight="1">
      <c r="C365" s="5"/>
      <c r="D365" s="5"/>
      <c r="E365" s="5"/>
      <c r="F365" s="5"/>
      <c r="G365" s="44"/>
      <c r="H365" s="5"/>
      <c r="I365" s="44"/>
      <c r="J365" s="44"/>
      <c r="K365" s="44"/>
      <c r="L365" s="5"/>
      <c r="M365" s="5"/>
      <c r="N365" s="5"/>
      <c r="O365" s="5"/>
      <c r="P365" s="44"/>
      <c r="Q365" s="44"/>
      <c r="R365" s="44"/>
      <c r="S365" s="44"/>
      <c r="T365" s="44"/>
      <c r="U365" s="44"/>
      <c r="V365" s="5"/>
      <c r="W365" s="5"/>
      <c r="Y365" s="44"/>
    </row>
    <row r="366" spans="3:25" ht="15.75" customHeight="1">
      <c r="C366" s="5"/>
      <c r="D366" s="5"/>
      <c r="E366" s="5"/>
      <c r="F366" s="5"/>
      <c r="G366" s="44"/>
      <c r="H366" s="5"/>
      <c r="I366" s="44"/>
      <c r="J366" s="44"/>
      <c r="K366" s="44"/>
      <c r="L366" s="5"/>
      <c r="M366" s="5"/>
      <c r="N366" s="5"/>
      <c r="O366" s="5"/>
      <c r="P366" s="44"/>
      <c r="Q366" s="44"/>
      <c r="R366" s="44"/>
      <c r="S366" s="44"/>
      <c r="T366" s="44"/>
      <c r="U366" s="44"/>
      <c r="V366" s="5"/>
      <c r="W366" s="5"/>
      <c r="Y366" s="44"/>
    </row>
    <row r="367" spans="3:25" ht="15.75" customHeight="1">
      <c r="C367" s="5"/>
      <c r="D367" s="5"/>
      <c r="E367" s="5"/>
      <c r="F367" s="5"/>
      <c r="G367" s="44"/>
      <c r="H367" s="5"/>
      <c r="I367" s="44"/>
      <c r="J367" s="44"/>
      <c r="K367" s="44"/>
      <c r="L367" s="5"/>
      <c r="M367" s="5"/>
      <c r="N367" s="5"/>
      <c r="O367" s="5"/>
      <c r="P367" s="44"/>
      <c r="Q367" s="44"/>
      <c r="R367" s="44"/>
      <c r="S367" s="44"/>
      <c r="T367" s="44"/>
      <c r="U367" s="44"/>
      <c r="V367" s="5"/>
      <c r="W367" s="5"/>
      <c r="Y367" s="44"/>
    </row>
    <row r="368" spans="3:25" ht="15.75" customHeight="1">
      <c r="C368" s="5"/>
      <c r="D368" s="5"/>
      <c r="E368" s="5"/>
      <c r="F368" s="5"/>
      <c r="G368" s="44"/>
      <c r="H368" s="5"/>
      <c r="I368" s="44"/>
      <c r="J368" s="44"/>
      <c r="K368" s="44"/>
      <c r="L368" s="5"/>
      <c r="M368" s="5"/>
      <c r="N368" s="5"/>
      <c r="O368" s="5"/>
      <c r="P368" s="44"/>
      <c r="Q368" s="44"/>
      <c r="R368" s="44"/>
      <c r="S368" s="44"/>
      <c r="T368" s="44"/>
      <c r="U368" s="44"/>
      <c r="V368" s="5"/>
      <c r="W368" s="5"/>
      <c r="Y368" s="44"/>
    </row>
    <row r="369" spans="3:25" ht="15.75" customHeight="1">
      <c r="C369" s="5"/>
      <c r="D369" s="5"/>
      <c r="E369" s="5"/>
      <c r="F369" s="5"/>
      <c r="G369" s="44"/>
      <c r="H369" s="5"/>
      <c r="I369" s="44"/>
      <c r="J369" s="44"/>
      <c r="K369" s="44"/>
      <c r="L369" s="5"/>
      <c r="M369" s="5"/>
      <c r="N369" s="5"/>
      <c r="O369" s="5"/>
      <c r="P369" s="44"/>
      <c r="Q369" s="44"/>
      <c r="R369" s="44"/>
      <c r="S369" s="44"/>
      <c r="T369" s="44"/>
      <c r="U369" s="44"/>
      <c r="V369" s="5"/>
      <c r="W369" s="5"/>
      <c r="Y369" s="44"/>
    </row>
    <row r="370" spans="3:25" ht="15.75" customHeight="1">
      <c r="C370" s="5"/>
      <c r="D370" s="5"/>
      <c r="E370" s="5"/>
      <c r="F370" s="5"/>
      <c r="G370" s="44"/>
      <c r="H370" s="5"/>
      <c r="I370" s="44"/>
      <c r="J370" s="44"/>
      <c r="K370" s="44"/>
      <c r="L370" s="5"/>
      <c r="M370" s="5"/>
      <c r="N370" s="5"/>
      <c r="O370" s="5"/>
      <c r="P370" s="44"/>
      <c r="Q370" s="44"/>
      <c r="R370" s="44"/>
      <c r="S370" s="44"/>
      <c r="T370" s="44"/>
      <c r="U370" s="44"/>
      <c r="V370" s="5"/>
      <c r="W370" s="5"/>
      <c r="Y370" s="44"/>
    </row>
    <row r="371" spans="3:25" ht="15.75" customHeight="1">
      <c r="C371" s="5"/>
      <c r="D371" s="5"/>
      <c r="E371" s="5"/>
      <c r="F371" s="5"/>
      <c r="G371" s="44"/>
      <c r="H371" s="5"/>
      <c r="I371" s="44"/>
      <c r="J371" s="44"/>
      <c r="K371" s="44"/>
      <c r="L371" s="5"/>
      <c r="M371" s="5"/>
      <c r="N371" s="5"/>
      <c r="O371" s="5"/>
      <c r="P371" s="44"/>
      <c r="Q371" s="44"/>
      <c r="R371" s="44"/>
      <c r="S371" s="44"/>
      <c r="T371" s="44"/>
      <c r="U371" s="44"/>
      <c r="V371" s="5"/>
      <c r="W371" s="5"/>
      <c r="Y371" s="44"/>
    </row>
    <row r="372" spans="3:25" ht="15.75" customHeight="1">
      <c r="C372" s="5"/>
      <c r="D372" s="5"/>
      <c r="E372" s="5"/>
      <c r="F372" s="5"/>
      <c r="G372" s="44"/>
      <c r="H372" s="5"/>
      <c r="I372" s="44"/>
      <c r="J372" s="44"/>
      <c r="K372" s="44"/>
      <c r="L372" s="5"/>
      <c r="M372" s="5"/>
      <c r="N372" s="5"/>
      <c r="O372" s="5"/>
      <c r="P372" s="44"/>
      <c r="Q372" s="44"/>
      <c r="R372" s="44"/>
      <c r="S372" s="44"/>
      <c r="T372" s="44"/>
      <c r="U372" s="44"/>
      <c r="V372" s="5"/>
      <c r="W372" s="5"/>
      <c r="Y372" s="44"/>
    </row>
    <row r="373" spans="3:25" ht="15.75" customHeight="1">
      <c r="C373" s="5"/>
      <c r="D373" s="5"/>
      <c r="E373" s="5"/>
      <c r="F373" s="5"/>
      <c r="G373" s="44"/>
      <c r="H373" s="5"/>
      <c r="I373" s="44"/>
      <c r="J373" s="44"/>
      <c r="K373" s="44"/>
      <c r="L373" s="5"/>
      <c r="M373" s="5"/>
      <c r="N373" s="5"/>
      <c r="O373" s="5"/>
      <c r="P373" s="44"/>
      <c r="Q373" s="44"/>
      <c r="R373" s="44"/>
      <c r="S373" s="44"/>
      <c r="T373" s="44"/>
      <c r="U373" s="44"/>
      <c r="V373" s="5"/>
      <c r="W373" s="5"/>
      <c r="Y373" s="44"/>
    </row>
    <row r="374" spans="3:25" ht="15.75" customHeight="1">
      <c r="C374" s="5"/>
      <c r="D374" s="5"/>
      <c r="E374" s="5"/>
      <c r="F374" s="5"/>
      <c r="G374" s="44"/>
      <c r="H374" s="5"/>
      <c r="I374" s="44"/>
      <c r="J374" s="44"/>
      <c r="K374" s="44"/>
      <c r="L374" s="5"/>
      <c r="M374" s="5"/>
      <c r="N374" s="5"/>
      <c r="O374" s="5"/>
      <c r="P374" s="44"/>
      <c r="Q374" s="44"/>
      <c r="R374" s="44"/>
      <c r="S374" s="44"/>
      <c r="T374" s="44"/>
      <c r="U374" s="44"/>
      <c r="V374" s="5"/>
      <c r="W374" s="5"/>
      <c r="Y374" s="44"/>
    </row>
    <row r="375" spans="3:25" ht="15.75" customHeight="1">
      <c r="C375" s="5"/>
      <c r="D375" s="5"/>
      <c r="E375" s="5"/>
      <c r="F375" s="5"/>
      <c r="G375" s="44"/>
      <c r="H375" s="5"/>
      <c r="I375" s="44"/>
      <c r="J375" s="44"/>
      <c r="K375" s="44"/>
      <c r="L375" s="5"/>
      <c r="M375" s="5"/>
      <c r="N375" s="5"/>
      <c r="O375" s="5"/>
      <c r="P375" s="44"/>
      <c r="Q375" s="44"/>
      <c r="R375" s="44"/>
      <c r="S375" s="44"/>
      <c r="T375" s="44"/>
      <c r="U375" s="44"/>
      <c r="V375" s="5"/>
      <c r="W375" s="5"/>
      <c r="Y375" s="44"/>
    </row>
    <row r="376" spans="3:25" ht="15.75" customHeight="1">
      <c r="C376" s="5"/>
      <c r="D376" s="5"/>
      <c r="E376" s="5"/>
      <c r="F376" s="5"/>
      <c r="G376" s="44"/>
      <c r="H376" s="5"/>
      <c r="I376" s="44"/>
      <c r="J376" s="44"/>
      <c r="K376" s="44"/>
      <c r="L376" s="5"/>
      <c r="M376" s="5"/>
      <c r="N376" s="5"/>
      <c r="O376" s="5"/>
      <c r="P376" s="44"/>
      <c r="Q376" s="44"/>
      <c r="R376" s="44"/>
      <c r="S376" s="44"/>
      <c r="T376" s="44"/>
      <c r="U376" s="44"/>
      <c r="V376" s="5"/>
      <c r="W376" s="5"/>
      <c r="Y376" s="44"/>
    </row>
    <row r="377" spans="3:25" ht="15.75" customHeight="1">
      <c r="C377" s="5"/>
      <c r="D377" s="5"/>
      <c r="E377" s="5"/>
      <c r="F377" s="5"/>
      <c r="G377" s="44"/>
      <c r="H377" s="5"/>
      <c r="I377" s="44"/>
      <c r="J377" s="44"/>
      <c r="K377" s="44"/>
      <c r="L377" s="5"/>
      <c r="M377" s="5"/>
      <c r="N377" s="5"/>
      <c r="O377" s="5"/>
      <c r="P377" s="44"/>
      <c r="Q377" s="44"/>
      <c r="R377" s="44"/>
      <c r="S377" s="44"/>
      <c r="T377" s="44"/>
      <c r="U377" s="44"/>
      <c r="V377" s="5"/>
      <c r="W377" s="5"/>
      <c r="Y377" s="44"/>
    </row>
    <row r="378" spans="3:25" ht="15.75" customHeight="1">
      <c r="C378" s="5"/>
      <c r="D378" s="5"/>
      <c r="E378" s="5"/>
      <c r="F378" s="5"/>
      <c r="G378" s="44"/>
      <c r="H378" s="5"/>
      <c r="I378" s="44"/>
      <c r="J378" s="44"/>
      <c r="K378" s="44"/>
      <c r="L378" s="5"/>
      <c r="M378" s="5"/>
      <c r="N378" s="5"/>
      <c r="O378" s="5"/>
      <c r="P378" s="44"/>
      <c r="Q378" s="44"/>
      <c r="R378" s="44"/>
      <c r="S378" s="44"/>
      <c r="T378" s="44"/>
      <c r="U378" s="44"/>
      <c r="V378" s="5"/>
      <c r="W378" s="5"/>
      <c r="Y378" s="44"/>
    </row>
    <row r="379" spans="3:25" ht="15.75" customHeight="1">
      <c r="C379" s="5"/>
      <c r="D379" s="5"/>
      <c r="E379" s="5"/>
      <c r="F379" s="5"/>
      <c r="G379" s="44"/>
      <c r="H379" s="5"/>
      <c r="I379" s="44"/>
      <c r="J379" s="44"/>
      <c r="K379" s="44"/>
      <c r="L379" s="5"/>
      <c r="M379" s="5"/>
      <c r="N379" s="5"/>
      <c r="O379" s="5"/>
      <c r="P379" s="44"/>
      <c r="Q379" s="44"/>
      <c r="R379" s="44"/>
      <c r="S379" s="44"/>
      <c r="T379" s="44"/>
      <c r="U379" s="44"/>
      <c r="V379" s="5"/>
      <c r="W379" s="5"/>
      <c r="Y379" s="44"/>
    </row>
    <row r="380" spans="3:25" ht="15.75" customHeight="1">
      <c r="C380" s="5"/>
      <c r="D380" s="5"/>
      <c r="E380" s="5"/>
      <c r="F380" s="5"/>
      <c r="G380" s="44"/>
      <c r="H380" s="5"/>
      <c r="I380" s="44"/>
      <c r="J380" s="44"/>
      <c r="K380" s="44"/>
      <c r="L380" s="5"/>
      <c r="M380" s="5"/>
      <c r="N380" s="5"/>
      <c r="O380" s="5"/>
      <c r="P380" s="44"/>
      <c r="Q380" s="44"/>
      <c r="R380" s="44"/>
      <c r="S380" s="44"/>
      <c r="T380" s="44"/>
      <c r="U380" s="44"/>
      <c r="V380" s="5"/>
      <c r="W380" s="5"/>
      <c r="Y380" s="44"/>
    </row>
    <row r="381" spans="3:25" ht="15.75" customHeight="1">
      <c r="C381" s="5"/>
      <c r="D381" s="5"/>
      <c r="E381" s="5"/>
      <c r="F381" s="5"/>
      <c r="G381" s="44"/>
      <c r="H381" s="5"/>
      <c r="I381" s="44"/>
      <c r="J381" s="44"/>
      <c r="K381" s="44"/>
      <c r="L381" s="5"/>
      <c r="M381" s="5"/>
      <c r="N381" s="5"/>
      <c r="O381" s="5"/>
      <c r="P381" s="44"/>
      <c r="Q381" s="44"/>
      <c r="R381" s="44"/>
      <c r="S381" s="44"/>
      <c r="T381" s="44"/>
      <c r="U381" s="44"/>
      <c r="V381" s="5"/>
      <c r="W381" s="5"/>
      <c r="Y381" s="44"/>
    </row>
    <row r="382" spans="3:25" ht="15.75" customHeight="1">
      <c r="C382" s="5"/>
      <c r="D382" s="5"/>
      <c r="E382" s="5"/>
      <c r="F382" s="5"/>
      <c r="G382" s="44"/>
      <c r="H382" s="5"/>
      <c r="I382" s="44"/>
      <c r="J382" s="44"/>
      <c r="K382" s="44"/>
      <c r="L382" s="5"/>
      <c r="M382" s="5"/>
      <c r="N382" s="5"/>
      <c r="O382" s="5"/>
      <c r="P382" s="44"/>
      <c r="Q382" s="44"/>
      <c r="R382" s="44"/>
      <c r="S382" s="44"/>
      <c r="T382" s="44"/>
      <c r="U382" s="44"/>
      <c r="V382" s="5"/>
      <c r="W382" s="5"/>
      <c r="Y382" s="44"/>
    </row>
    <row r="383" spans="3:25" ht="15.75" customHeight="1">
      <c r="C383" s="5"/>
      <c r="D383" s="5"/>
      <c r="E383" s="5"/>
      <c r="F383" s="5"/>
      <c r="G383" s="44"/>
      <c r="H383" s="5"/>
      <c r="I383" s="44"/>
      <c r="J383" s="44"/>
      <c r="K383" s="44"/>
      <c r="L383" s="5"/>
      <c r="M383" s="5"/>
      <c r="N383" s="5"/>
      <c r="O383" s="5"/>
      <c r="P383" s="44"/>
      <c r="Q383" s="44"/>
      <c r="R383" s="44"/>
      <c r="S383" s="44"/>
      <c r="T383" s="44"/>
      <c r="U383" s="44"/>
      <c r="V383" s="5"/>
      <c r="W383" s="5"/>
      <c r="Y383" s="44"/>
    </row>
    <row r="384" spans="3:25" ht="15.75" customHeight="1">
      <c r="C384" s="5"/>
      <c r="D384" s="5"/>
      <c r="E384" s="5"/>
      <c r="F384" s="5"/>
      <c r="G384" s="44"/>
      <c r="H384" s="5"/>
      <c r="I384" s="44"/>
      <c r="J384" s="44"/>
      <c r="K384" s="44"/>
      <c r="L384" s="5"/>
      <c r="M384" s="5"/>
      <c r="N384" s="5"/>
      <c r="O384" s="5"/>
      <c r="P384" s="44"/>
      <c r="Q384" s="44"/>
      <c r="R384" s="44"/>
      <c r="S384" s="44"/>
      <c r="T384" s="44"/>
      <c r="U384" s="44"/>
      <c r="V384" s="5"/>
      <c r="W384" s="5"/>
      <c r="Y384" s="44"/>
    </row>
    <row r="385" spans="3:25" ht="15.75" customHeight="1">
      <c r="C385" s="5"/>
      <c r="D385" s="5"/>
      <c r="E385" s="5"/>
      <c r="F385" s="5"/>
      <c r="G385" s="44"/>
      <c r="H385" s="5"/>
      <c r="I385" s="44"/>
      <c r="J385" s="44"/>
      <c r="K385" s="44"/>
      <c r="L385" s="5"/>
      <c r="M385" s="5"/>
      <c r="N385" s="5"/>
      <c r="O385" s="5"/>
      <c r="P385" s="44"/>
      <c r="Q385" s="44"/>
      <c r="R385" s="44"/>
      <c r="S385" s="44"/>
      <c r="T385" s="44"/>
      <c r="U385" s="44"/>
      <c r="V385" s="5"/>
      <c r="W385" s="5"/>
      <c r="Y385" s="44"/>
    </row>
    <row r="386" spans="3:25" ht="15.75" customHeight="1">
      <c r="C386" s="5"/>
      <c r="D386" s="5"/>
      <c r="E386" s="5"/>
      <c r="F386" s="5"/>
      <c r="G386" s="44"/>
      <c r="H386" s="5"/>
      <c r="I386" s="44"/>
      <c r="J386" s="44"/>
      <c r="K386" s="44"/>
      <c r="L386" s="5"/>
      <c r="M386" s="5"/>
      <c r="N386" s="5"/>
      <c r="O386" s="5"/>
      <c r="P386" s="44"/>
      <c r="Q386" s="44"/>
      <c r="R386" s="44"/>
      <c r="S386" s="44"/>
      <c r="T386" s="44"/>
      <c r="U386" s="44"/>
      <c r="V386" s="5"/>
      <c r="W386" s="5"/>
      <c r="Y386" s="44"/>
    </row>
    <row r="387" spans="3:25" ht="15.75" customHeight="1">
      <c r="C387" s="5"/>
      <c r="D387" s="5"/>
      <c r="E387" s="5"/>
      <c r="F387" s="5"/>
      <c r="G387" s="44"/>
      <c r="H387" s="5"/>
      <c r="I387" s="44"/>
      <c r="J387" s="44"/>
      <c r="K387" s="44"/>
      <c r="L387" s="5"/>
      <c r="M387" s="5"/>
      <c r="N387" s="5"/>
      <c r="O387" s="5"/>
      <c r="P387" s="44"/>
      <c r="Q387" s="44"/>
      <c r="R387" s="44"/>
      <c r="S387" s="44"/>
      <c r="T387" s="44"/>
      <c r="U387" s="44"/>
      <c r="V387" s="5"/>
      <c r="W387" s="5"/>
      <c r="Y387" s="44"/>
    </row>
    <row r="388" spans="3:25" ht="15.75" customHeight="1">
      <c r="C388" s="5"/>
      <c r="D388" s="5"/>
      <c r="E388" s="5"/>
      <c r="F388" s="5"/>
      <c r="G388" s="44"/>
      <c r="H388" s="5"/>
      <c r="I388" s="44"/>
      <c r="J388" s="44"/>
      <c r="K388" s="44"/>
      <c r="L388" s="5"/>
      <c r="M388" s="5"/>
      <c r="N388" s="5"/>
      <c r="O388" s="5"/>
      <c r="P388" s="44"/>
      <c r="Q388" s="44"/>
      <c r="R388" s="44"/>
      <c r="S388" s="44"/>
      <c r="T388" s="44"/>
      <c r="U388" s="44"/>
      <c r="V388" s="5"/>
      <c r="W388" s="5"/>
      <c r="Y388" s="44"/>
    </row>
    <row r="389" spans="3:25" ht="15.75" customHeight="1">
      <c r="C389" s="5"/>
      <c r="D389" s="5"/>
      <c r="E389" s="5"/>
      <c r="F389" s="5"/>
      <c r="G389" s="44"/>
      <c r="H389" s="5"/>
      <c r="I389" s="44"/>
      <c r="J389" s="44"/>
      <c r="K389" s="44"/>
      <c r="L389" s="5"/>
      <c r="M389" s="5"/>
      <c r="N389" s="5"/>
      <c r="O389" s="5"/>
      <c r="P389" s="44"/>
      <c r="Q389" s="44"/>
      <c r="R389" s="44"/>
      <c r="S389" s="44"/>
      <c r="T389" s="44"/>
      <c r="U389" s="44"/>
      <c r="V389" s="5"/>
      <c r="W389" s="5"/>
      <c r="Y389" s="44"/>
    </row>
    <row r="390" spans="3:25" ht="15.75" customHeight="1">
      <c r="C390" s="5"/>
      <c r="D390" s="5"/>
      <c r="E390" s="5"/>
      <c r="F390" s="5"/>
      <c r="G390" s="44"/>
      <c r="H390" s="5"/>
      <c r="I390" s="44"/>
      <c r="J390" s="44"/>
      <c r="K390" s="44"/>
      <c r="L390" s="5"/>
      <c r="M390" s="5"/>
      <c r="N390" s="5"/>
      <c r="O390" s="5"/>
      <c r="P390" s="44"/>
      <c r="Q390" s="44"/>
      <c r="R390" s="44"/>
      <c r="S390" s="44"/>
      <c r="T390" s="44"/>
      <c r="U390" s="44"/>
      <c r="V390" s="5"/>
      <c r="W390" s="5"/>
      <c r="Y390" s="44"/>
    </row>
    <row r="391" spans="3:25" ht="15.75" customHeight="1">
      <c r="C391" s="5"/>
      <c r="D391" s="5"/>
      <c r="E391" s="5"/>
      <c r="F391" s="5"/>
      <c r="G391" s="44"/>
      <c r="H391" s="5"/>
      <c r="I391" s="44"/>
      <c r="J391" s="44"/>
      <c r="K391" s="44"/>
      <c r="L391" s="5"/>
      <c r="M391" s="5"/>
      <c r="N391" s="5"/>
      <c r="O391" s="5"/>
      <c r="P391" s="44"/>
      <c r="Q391" s="44"/>
      <c r="R391" s="44"/>
      <c r="S391" s="44"/>
      <c r="T391" s="44"/>
      <c r="U391" s="44"/>
      <c r="V391" s="5"/>
      <c r="W391" s="5"/>
      <c r="Y391" s="44"/>
    </row>
    <row r="392" spans="3:25" ht="15.75" customHeight="1">
      <c r="C392" s="5"/>
      <c r="D392" s="5"/>
      <c r="E392" s="5"/>
      <c r="F392" s="5"/>
      <c r="G392" s="44"/>
      <c r="H392" s="5"/>
      <c r="I392" s="44"/>
      <c r="J392" s="44"/>
      <c r="K392" s="44"/>
      <c r="L392" s="5"/>
      <c r="M392" s="5"/>
      <c r="N392" s="5"/>
      <c r="O392" s="5"/>
      <c r="P392" s="44"/>
      <c r="Q392" s="44"/>
      <c r="R392" s="44"/>
      <c r="S392" s="44"/>
      <c r="T392" s="44"/>
      <c r="U392" s="44"/>
      <c r="V392" s="5"/>
      <c r="W392" s="5"/>
      <c r="Y392" s="44"/>
    </row>
    <row r="393" spans="3:25" ht="15.75" customHeight="1">
      <c r="C393" s="5"/>
      <c r="D393" s="5"/>
      <c r="E393" s="5"/>
      <c r="F393" s="5"/>
      <c r="G393" s="44"/>
      <c r="H393" s="5"/>
      <c r="I393" s="44"/>
      <c r="J393" s="44"/>
      <c r="K393" s="44"/>
      <c r="L393" s="5"/>
      <c r="M393" s="5"/>
      <c r="N393" s="5"/>
      <c r="O393" s="5"/>
      <c r="P393" s="44"/>
      <c r="Q393" s="44"/>
      <c r="R393" s="44"/>
      <c r="S393" s="44"/>
      <c r="T393" s="44"/>
      <c r="U393" s="44"/>
      <c r="V393" s="5"/>
      <c r="W393" s="5"/>
      <c r="Y393" s="44"/>
    </row>
    <row r="394" spans="3:25" ht="15.75" customHeight="1">
      <c r="C394" s="5"/>
      <c r="D394" s="5"/>
      <c r="E394" s="5"/>
      <c r="F394" s="5"/>
      <c r="G394" s="44"/>
      <c r="H394" s="5"/>
      <c r="I394" s="44"/>
      <c r="J394" s="44"/>
      <c r="K394" s="44"/>
      <c r="L394" s="5"/>
      <c r="M394" s="5"/>
      <c r="N394" s="5"/>
      <c r="O394" s="5"/>
      <c r="P394" s="44"/>
      <c r="Q394" s="44"/>
      <c r="R394" s="44"/>
      <c r="S394" s="44"/>
      <c r="T394" s="44"/>
      <c r="U394" s="44"/>
      <c r="V394" s="5"/>
      <c r="W394" s="5"/>
      <c r="Y394" s="44"/>
    </row>
    <row r="395" spans="3:25" ht="15.75" customHeight="1">
      <c r="C395" s="5"/>
      <c r="D395" s="5"/>
      <c r="E395" s="5"/>
      <c r="F395" s="5"/>
      <c r="G395" s="44"/>
      <c r="H395" s="5"/>
      <c r="I395" s="44"/>
      <c r="J395" s="44"/>
      <c r="K395" s="44"/>
      <c r="L395" s="5"/>
      <c r="M395" s="5"/>
      <c r="N395" s="5"/>
      <c r="O395" s="5"/>
      <c r="P395" s="44"/>
      <c r="Q395" s="44"/>
      <c r="R395" s="44"/>
      <c r="S395" s="44"/>
      <c r="T395" s="44"/>
      <c r="U395" s="44"/>
      <c r="V395" s="5"/>
      <c r="W395" s="5"/>
      <c r="Y395" s="44"/>
    </row>
    <row r="396" spans="3:25" ht="15.75" customHeight="1">
      <c r="C396" s="5"/>
      <c r="D396" s="5"/>
      <c r="E396" s="5"/>
      <c r="F396" s="5"/>
      <c r="G396" s="44"/>
      <c r="H396" s="5"/>
      <c r="I396" s="44"/>
      <c r="J396" s="44"/>
      <c r="K396" s="44"/>
      <c r="L396" s="5"/>
      <c r="M396" s="5"/>
      <c r="N396" s="5"/>
      <c r="O396" s="5"/>
      <c r="P396" s="44"/>
      <c r="Q396" s="44"/>
      <c r="R396" s="44"/>
      <c r="S396" s="44"/>
      <c r="T396" s="44"/>
      <c r="U396" s="44"/>
      <c r="V396" s="5"/>
      <c r="W396" s="5"/>
      <c r="Y396" s="44"/>
    </row>
    <row r="397" spans="3:25" ht="15.75" customHeight="1">
      <c r="C397" s="5"/>
      <c r="D397" s="5"/>
      <c r="E397" s="5"/>
      <c r="F397" s="5"/>
      <c r="G397" s="44"/>
      <c r="H397" s="5"/>
      <c r="I397" s="44"/>
      <c r="J397" s="44"/>
      <c r="K397" s="44"/>
      <c r="L397" s="5"/>
      <c r="M397" s="5"/>
      <c r="N397" s="5"/>
      <c r="O397" s="5"/>
      <c r="P397" s="44"/>
      <c r="Q397" s="44"/>
      <c r="R397" s="44"/>
      <c r="S397" s="44"/>
      <c r="T397" s="44"/>
      <c r="U397" s="44"/>
      <c r="V397" s="5"/>
      <c r="W397" s="5"/>
      <c r="Y397" s="44"/>
    </row>
    <row r="398" spans="3:25" ht="15.75" customHeight="1">
      <c r="C398" s="5"/>
      <c r="D398" s="5"/>
      <c r="E398" s="5"/>
      <c r="F398" s="5"/>
      <c r="G398" s="44"/>
      <c r="H398" s="5"/>
      <c r="I398" s="44"/>
      <c r="J398" s="44"/>
      <c r="K398" s="44"/>
      <c r="L398" s="5"/>
      <c r="M398" s="5"/>
      <c r="N398" s="5"/>
      <c r="O398" s="5"/>
      <c r="P398" s="44"/>
      <c r="Q398" s="44"/>
      <c r="R398" s="44"/>
      <c r="S398" s="44"/>
      <c r="T398" s="44"/>
      <c r="U398" s="44"/>
      <c r="V398" s="5"/>
      <c r="W398" s="5"/>
      <c r="Y398" s="44"/>
    </row>
    <row r="399" spans="3:25" ht="15.75" customHeight="1">
      <c r="C399" s="5"/>
      <c r="D399" s="5"/>
      <c r="E399" s="5"/>
      <c r="F399" s="5"/>
      <c r="G399" s="44"/>
      <c r="H399" s="5"/>
      <c r="I399" s="44"/>
      <c r="J399" s="44"/>
      <c r="K399" s="44"/>
      <c r="L399" s="5"/>
      <c r="M399" s="5"/>
      <c r="N399" s="5"/>
      <c r="O399" s="5"/>
      <c r="P399" s="44"/>
      <c r="Q399" s="44"/>
      <c r="R399" s="44"/>
      <c r="S399" s="44"/>
      <c r="T399" s="44"/>
      <c r="U399" s="44"/>
      <c r="V399" s="5"/>
      <c r="W399" s="5"/>
      <c r="Y399" s="44"/>
    </row>
    <row r="400" spans="3:25" ht="15.75" customHeight="1">
      <c r="C400" s="5"/>
      <c r="D400" s="5"/>
      <c r="E400" s="5"/>
      <c r="F400" s="5"/>
      <c r="G400" s="44"/>
      <c r="H400" s="5"/>
      <c r="I400" s="44"/>
      <c r="J400" s="44"/>
      <c r="K400" s="44"/>
      <c r="L400" s="5"/>
      <c r="M400" s="5"/>
      <c r="N400" s="5"/>
      <c r="O400" s="5"/>
      <c r="P400" s="44"/>
      <c r="Q400" s="44"/>
      <c r="R400" s="44"/>
      <c r="S400" s="44"/>
      <c r="T400" s="44"/>
      <c r="U400" s="44"/>
      <c r="V400" s="5"/>
      <c r="W400" s="5"/>
      <c r="Y400" s="44"/>
    </row>
    <row r="401" spans="3:25" ht="15.75" customHeight="1">
      <c r="C401" s="5"/>
      <c r="D401" s="5"/>
      <c r="E401" s="5"/>
      <c r="F401" s="5"/>
      <c r="G401" s="44"/>
      <c r="H401" s="5"/>
      <c r="I401" s="44"/>
      <c r="J401" s="44"/>
      <c r="K401" s="44"/>
      <c r="L401" s="5"/>
      <c r="M401" s="5"/>
      <c r="N401" s="5"/>
      <c r="O401" s="5"/>
      <c r="P401" s="44"/>
      <c r="Q401" s="44"/>
      <c r="R401" s="44"/>
      <c r="S401" s="44"/>
      <c r="T401" s="44"/>
      <c r="U401" s="44"/>
      <c r="V401" s="5"/>
      <c r="W401" s="5"/>
      <c r="Y401" s="44"/>
    </row>
    <row r="402" spans="3:25" ht="15.75" customHeight="1">
      <c r="C402" s="5"/>
      <c r="D402" s="5"/>
      <c r="E402" s="5"/>
      <c r="F402" s="5"/>
      <c r="G402" s="44"/>
      <c r="H402" s="5"/>
      <c r="I402" s="44"/>
      <c r="J402" s="44"/>
      <c r="K402" s="44"/>
      <c r="L402" s="5"/>
      <c r="M402" s="5"/>
      <c r="N402" s="5"/>
      <c r="O402" s="5"/>
      <c r="P402" s="44"/>
      <c r="Q402" s="44"/>
      <c r="R402" s="44"/>
      <c r="S402" s="44"/>
      <c r="T402" s="44"/>
      <c r="U402" s="44"/>
      <c r="V402" s="5"/>
      <c r="W402" s="5"/>
      <c r="Y402" s="44"/>
    </row>
    <row r="403" spans="3:25" ht="15.75" customHeight="1">
      <c r="C403" s="5"/>
      <c r="D403" s="5"/>
      <c r="E403" s="5"/>
      <c r="F403" s="5"/>
      <c r="G403" s="44"/>
      <c r="H403" s="5"/>
      <c r="I403" s="44"/>
      <c r="J403" s="44"/>
      <c r="K403" s="44"/>
      <c r="L403" s="5"/>
      <c r="M403" s="5"/>
      <c r="N403" s="5"/>
      <c r="O403" s="5"/>
      <c r="P403" s="44"/>
      <c r="Q403" s="44"/>
      <c r="R403" s="44"/>
      <c r="S403" s="44"/>
      <c r="T403" s="44"/>
      <c r="U403" s="44"/>
      <c r="V403" s="5"/>
      <c r="W403" s="5"/>
      <c r="Y403" s="44"/>
    </row>
    <row r="404" spans="3:25" ht="15.75" customHeight="1">
      <c r="C404" s="5"/>
      <c r="D404" s="5"/>
      <c r="E404" s="5"/>
      <c r="F404" s="5"/>
      <c r="G404" s="44"/>
      <c r="H404" s="5"/>
      <c r="I404" s="44"/>
      <c r="J404" s="44"/>
      <c r="K404" s="44"/>
      <c r="L404" s="5"/>
      <c r="M404" s="5"/>
      <c r="N404" s="5"/>
      <c r="O404" s="5"/>
      <c r="P404" s="44"/>
      <c r="Q404" s="44"/>
      <c r="R404" s="44"/>
      <c r="S404" s="44"/>
      <c r="T404" s="44"/>
      <c r="U404" s="44"/>
      <c r="V404" s="5"/>
      <c r="W404" s="5"/>
      <c r="Y404" s="44"/>
    </row>
    <row r="405" spans="3:25" ht="15.75" customHeight="1">
      <c r="C405" s="5"/>
      <c r="D405" s="5"/>
      <c r="E405" s="5"/>
      <c r="F405" s="5"/>
      <c r="G405" s="44"/>
      <c r="H405" s="5"/>
      <c r="I405" s="44"/>
      <c r="J405" s="44"/>
      <c r="K405" s="44"/>
      <c r="L405" s="5"/>
      <c r="M405" s="5"/>
      <c r="N405" s="5"/>
      <c r="O405" s="5"/>
      <c r="P405" s="44"/>
      <c r="Q405" s="44"/>
      <c r="R405" s="44"/>
      <c r="S405" s="44"/>
      <c r="T405" s="44"/>
      <c r="U405" s="44"/>
      <c r="V405" s="5"/>
      <c r="W405" s="5"/>
      <c r="Y405" s="44"/>
    </row>
    <row r="406" spans="3:25" ht="15.75" customHeight="1">
      <c r="C406" s="5"/>
      <c r="D406" s="5"/>
      <c r="E406" s="5"/>
      <c r="F406" s="5"/>
      <c r="G406" s="44"/>
      <c r="H406" s="5"/>
      <c r="I406" s="44"/>
      <c r="J406" s="44"/>
      <c r="K406" s="44"/>
      <c r="L406" s="5"/>
      <c r="M406" s="5"/>
      <c r="N406" s="5"/>
      <c r="O406" s="5"/>
      <c r="P406" s="44"/>
      <c r="Q406" s="44"/>
      <c r="R406" s="44"/>
      <c r="S406" s="44"/>
      <c r="T406" s="44"/>
      <c r="U406" s="44"/>
      <c r="V406" s="5"/>
      <c r="W406" s="5"/>
      <c r="Y406" s="44"/>
    </row>
    <row r="407" spans="3:25" ht="15.75" customHeight="1">
      <c r="C407" s="5"/>
      <c r="D407" s="5"/>
      <c r="E407" s="5"/>
      <c r="F407" s="5"/>
      <c r="G407" s="44"/>
      <c r="H407" s="5"/>
      <c r="I407" s="44"/>
      <c r="J407" s="44"/>
      <c r="K407" s="44"/>
      <c r="L407" s="5"/>
      <c r="M407" s="5"/>
      <c r="N407" s="5"/>
      <c r="O407" s="5"/>
      <c r="P407" s="44"/>
      <c r="Q407" s="44"/>
      <c r="R407" s="44"/>
      <c r="S407" s="44"/>
      <c r="T407" s="44"/>
      <c r="U407" s="44"/>
      <c r="V407" s="5"/>
      <c r="W407" s="5"/>
      <c r="Y407" s="44"/>
    </row>
    <row r="408" spans="3:25" ht="15.75" customHeight="1">
      <c r="C408" s="5"/>
      <c r="D408" s="5"/>
      <c r="E408" s="5"/>
      <c r="F408" s="5"/>
      <c r="G408" s="44"/>
      <c r="H408" s="5"/>
      <c r="I408" s="44"/>
      <c r="J408" s="44"/>
      <c r="K408" s="44"/>
      <c r="L408" s="5"/>
      <c r="M408" s="5"/>
      <c r="N408" s="5"/>
      <c r="O408" s="5"/>
      <c r="P408" s="44"/>
      <c r="Q408" s="44"/>
      <c r="R408" s="44"/>
      <c r="S408" s="44"/>
      <c r="T408" s="44"/>
      <c r="U408" s="44"/>
      <c r="V408" s="5"/>
      <c r="W408" s="5"/>
      <c r="Y408" s="44"/>
    </row>
    <row r="409" spans="3:25" ht="15.75" customHeight="1">
      <c r="C409" s="5"/>
      <c r="D409" s="5"/>
      <c r="E409" s="5"/>
      <c r="F409" s="5"/>
      <c r="G409" s="44"/>
      <c r="H409" s="5"/>
      <c r="I409" s="44"/>
      <c r="J409" s="44"/>
      <c r="K409" s="44"/>
      <c r="L409" s="5"/>
      <c r="M409" s="5"/>
      <c r="N409" s="5"/>
      <c r="O409" s="5"/>
      <c r="P409" s="44"/>
      <c r="Q409" s="44"/>
      <c r="R409" s="44"/>
      <c r="S409" s="44"/>
      <c r="T409" s="44"/>
      <c r="U409" s="44"/>
      <c r="V409" s="5"/>
      <c r="W409" s="5"/>
      <c r="Y409" s="44"/>
    </row>
    <row r="410" spans="3:25" ht="15.75" customHeight="1">
      <c r="C410" s="5"/>
      <c r="D410" s="5"/>
      <c r="E410" s="5"/>
      <c r="F410" s="5"/>
      <c r="G410" s="44"/>
      <c r="H410" s="5"/>
      <c r="I410" s="44"/>
      <c r="J410" s="44"/>
      <c r="K410" s="44"/>
      <c r="L410" s="5"/>
      <c r="M410" s="5"/>
      <c r="N410" s="5"/>
      <c r="O410" s="5"/>
      <c r="P410" s="44"/>
      <c r="Q410" s="44"/>
      <c r="R410" s="44"/>
      <c r="S410" s="44"/>
      <c r="T410" s="44"/>
      <c r="U410" s="44"/>
      <c r="V410" s="5"/>
      <c r="W410" s="5"/>
      <c r="Y410" s="44"/>
    </row>
    <row r="411" spans="3:25" ht="15.75" customHeight="1">
      <c r="C411" s="5"/>
      <c r="D411" s="5"/>
      <c r="E411" s="5"/>
      <c r="F411" s="5"/>
      <c r="G411" s="44"/>
      <c r="H411" s="5"/>
      <c r="I411" s="44"/>
      <c r="J411" s="44"/>
      <c r="K411" s="44"/>
      <c r="L411" s="5"/>
      <c r="M411" s="5"/>
      <c r="N411" s="5"/>
      <c r="O411" s="5"/>
      <c r="P411" s="44"/>
      <c r="Q411" s="44"/>
      <c r="R411" s="44"/>
      <c r="S411" s="44"/>
      <c r="T411" s="44"/>
      <c r="U411" s="44"/>
      <c r="V411" s="5"/>
      <c r="W411" s="5"/>
      <c r="Y411" s="44"/>
    </row>
    <row r="412" spans="3:25" ht="15.75" customHeight="1">
      <c r="C412" s="5"/>
      <c r="D412" s="5"/>
      <c r="E412" s="5"/>
      <c r="F412" s="5"/>
      <c r="G412" s="44"/>
      <c r="H412" s="5"/>
      <c r="I412" s="44"/>
      <c r="J412" s="44"/>
      <c r="K412" s="44"/>
      <c r="L412" s="5"/>
      <c r="M412" s="5"/>
      <c r="N412" s="5"/>
      <c r="O412" s="5"/>
      <c r="P412" s="44"/>
      <c r="Q412" s="44"/>
      <c r="R412" s="44"/>
      <c r="S412" s="44"/>
      <c r="T412" s="44"/>
      <c r="U412" s="44"/>
      <c r="V412" s="5"/>
      <c r="W412" s="5"/>
      <c r="Y412" s="44"/>
    </row>
    <row r="413" spans="3:25" ht="15.75" customHeight="1">
      <c r="C413" s="5"/>
      <c r="D413" s="5"/>
      <c r="E413" s="5"/>
      <c r="F413" s="5"/>
      <c r="G413" s="44"/>
      <c r="H413" s="5"/>
      <c r="I413" s="44"/>
      <c r="J413" s="44"/>
      <c r="K413" s="44"/>
      <c r="L413" s="5"/>
      <c r="M413" s="5"/>
      <c r="N413" s="5"/>
      <c r="O413" s="5"/>
      <c r="P413" s="44"/>
      <c r="Q413" s="44"/>
      <c r="R413" s="44"/>
      <c r="S413" s="44"/>
      <c r="T413" s="44"/>
      <c r="U413" s="44"/>
      <c r="V413" s="5"/>
      <c r="W413" s="5"/>
      <c r="Y413" s="44"/>
    </row>
    <row r="414" spans="3:25" ht="15.75" customHeight="1">
      <c r="C414" s="5"/>
      <c r="D414" s="5"/>
      <c r="E414" s="5"/>
      <c r="F414" s="5"/>
      <c r="G414" s="44"/>
      <c r="H414" s="5"/>
      <c r="I414" s="44"/>
      <c r="J414" s="44"/>
      <c r="K414" s="44"/>
      <c r="L414" s="5"/>
      <c r="M414" s="5"/>
      <c r="N414" s="5"/>
      <c r="O414" s="5"/>
      <c r="P414" s="44"/>
      <c r="Q414" s="44"/>
      <c r="R414" s="44"/>
      <c r="S414" s="44"/>
      <c r="T414" s="44"/>
      <c r="U414" s="44"/>
      <c r="V414" s="5"/>
      <c r="W414" s="5"/>
      <c r="Y414" s="44"/>
    </row>
    <row r="415" spans="3:25" ht="15.75" customHeight="1">
      <c r="C415" s="5"/>
      <c r="D415" s="5"/>
      <c r="E415" s="5"/>
      <c r="F415" s="5"/>
      <c r="G415" s="44"/>
      <c r="H415" s="5"/>
      <c r="I415" s="44"/>
      <c r="J415" s="44"/>
      <c r="K415" s="44"/>
      <c r="L415" s="5"/>
      <c r="M415" s="5"/>
      <c r="N415" s="5"/>
      <c r="O415" s="5"/>
      <c r="P415" s="44"/>
      <c r="Q415" s="44"/>
      <c r="R415" s="44"/>
      <c r="S415" s="44"/>
      <c r="T415" s="44"/>
      <c r="U415" s="44"/>
      <c r="V415" s="5"/>
      <c r="W415" s="5"/>
      <c r="Y415" s="44"/>
    </row>
    <row r="416" spans="3:25" ht="15.75" customHeight="1">
      <c r="C416" s="5"/>
      <c r="D416" s="5"/>
      <c r="E416" s="5"/>
      <c r="F416" s="5"/>
      <c r="G416" s="44"/>
      <c r="H416" s="5"/>
      <c r="I416" s="44"/>
      <c r="J416" s="44"/>
      <c r="K416" s="44"/>
      <c r="L416" s="5"/>
      <c r="M416" s="5"/>
      <c r="N416" s="5"/>
      <c r="O416" s="5"/>
      <c r="P416" s="44"/>
      <c r="Q416" s="44"/>
      <c r="R416" s="44"/>
      <c r="S416" s="44"/>
      <c r="T416" s="44"/>
      <c r="U416" s="44"/>
      <c r="V416" s="5"/>
      <c r="W416" s="5"/>
      <c r="Y416" s="44"/>
    </row>
    <row r="417" spans="3:25" ht="15.75" customHeight="1">
      <c r="C417" s="5"/>
      <c r="D417" s="5"/>
      <c r="E417" s="5"/>
      <c r="F417" s="5"/>
      <c r="G417" s="44"/>
      <c r="H417" s="5"/>
      <c r="I417" s="44"/>
      <c r="J417" s="44"/>
      <c r="K417" s="44"/>
      <c r="L417" s="5"/>
      <c r="M417" s="5"/>
      <c r="N417" s="5"/>
      <c r="O417" s="5"/>
      <c r="P417" s="44"/>
      <c r="Q417" s="44"/>
      <c r="R417" s="44"/>
      <c r="S417" s="44"/>
      <c r="T417" s="44"/>
      <c r="U417" s="44"/>
      <c r="V417" s="5"/>
      <c r="W417" s="5"/>
      <c r="Y417" s="44"/>
    </row>
    <row r="418" spans="3:25" ht="15.75" customHeight="1">
      <c r="C418" s="5"/>
      <c r="D418" s="5"/>
      <c r="E418" s="5"/>
      <c r="F418" s="5"/>
      <c r="G418" s="44"/>
      <c r="H418" s="5"/>
      <c r="I418" s="44"/>
      <c r="J418" s="44"/>
      <c r="K418" s="44"/>
      <c r="L418" s="5"/>
      <c r="M418" s="5"/>
      <c r="N418" s="5"/>
      <c r="O418" s="5"/>
      <c r="P418" s="44"/>
      <c r="Q418" s="44"/>
      <c r="R418" s="44"/>
      <c r="S418" s="44"/>
      <c r="T418" s="44"/>
      <c r="U418" s="44"/>
      <c r="V418" s="5"/>
      <c r="W418" s="5"/>
      <c r="Y418" s="44"/>
    </row>
    <row r="419" spans="3:25" ht="15.75" customHeight="1">
      <c r="C419" s="5"/>
      <c r="D419" s="5"/>
      <c r="E419" s="5"/>
      <c r="F419" s="5"/>
      <c r="G419" s="44"/>
      <c r="H419" s="5"/>
      <c r="I419" s="44"/>
      <c r="J419" s="44"/>
      <c r="K419" s="44"/>
      <c r="L419" s="5"/>
      <c r="M419" s="5"/>
      <c r="N419" s="5"/>
      <c r="O419" s="5"/>
      <c r="P419" s="44"/>
      <c r="Q419" s="44"/>
      <c r="R419" s="44"/>
      <c r="S419" s="44"/>
      <c r="T419" s="44"/>
      <c r="U419" s="44"/>
      <c r="V419" s="5"/>
      <c r="W419" s="5"/>
      <c r="Y419" s="44"/>
    </row>
    <row r="420" spans="3:25" ht="15.75" customHeight="1">
      <c r="C420" s="5"/>
      <c r="D420" s="5"/>
      <c r="E420" s="5"/>
      <c r="F420" s="5"/>
      <c r="G420" s="44"/>
      <c r="H420" s="5"/>
      <c r="I420" s="44"/>
      <c r="J420" s="44"/>
      <c r="K420" s="44"/>
      <c r="L420" s="5"/>
      <c r="M420" s="5"/>
      <c r="N420" s="5"/>
      <c r="O420" s="5"/>
      <c r="P420" s="44"/>
      <c r="Q420" s="44"/>
      <c r="R420" s="44"/>
      <c r="S420" s="44"/>
      <c r="T420" s="44"/>
      <c r="U420" s="44"/>
      <c r="V420" s="5"/>
      <c r="W420" s="5"/>
      <c r="Y420" s="44"/>
    </row>
    <row r="421" spans="3:25" ht="15.75" customHeight="1">
      <c r="C421" s="5"/>
      <c r="D421" s="5"/>
      <c r="E421" s="5"/>
      <c r="F421" s="5"/>
      <c r="G421" s="44"/>
      <c r="H421" s="5"/>
      <c r="I421" s="44"/>
      <c r="J421" s="44"/>
      <c r="K421" s="44"/>
      <c r="L421" s="5"/>
      <c r="M421" s="5"/>
      <c r="N421" s="5"/>
      <c r="O421" s="5"/>
      <c r="P421" s="44"/>
      <c r="Q421" s="44"/>
      <c r="R421" s="44"/>
      <c r="S421" s="44"/>
      <c r="T421" s="44"/>
      <c r="U421" s="44"/>
      <c r="V421" s="5"/>
      <c r="W421" s="5"/>
      <c r="Y421" s="44"/>
    </row>
    <row r="422" spans="3:25" ht="15.75" customHeight="1">
      <c r="C422" s="5"/>
      <c r="D422" s="5"/>
      <c r="E422" s="5"/>
      <c r="F422" s="5"/>
      <c r="G422" s="44"/>
      <c r="H422" s="5"/>
      <c r="I422" s="44"/>
      <c r="J422" s="44"/>
      <c r="K422" s="44"/>
      <c r="L422" s="5"/>
      <c r="M422" s="5"/>
      <c r="N422" s="5"/>
      <c r="O422" s="5"/>
      <c r="P422" s="44"/>
      <c r="Q422" s="44"/>
      <c r="R422" s="44"/>
      <c r="S422" s="44"/>
      <c r="T422" s="44"/>
      <c r="U422" s="44"/>
      <c r="V422" s="5"/>
      <c r="W422" s="5"/>
      <c r="Y422" s="44"/>
    </row>
    <row r="423" spans="3:25" ht="15.75" customHeight="1">
      <c r="C423" s="5"/>
      <c r="D423" s="5"/>
      <c r="E423" s="5"/>
      <c r="F423" s="5"/>
      <c r="G423" s="44"/>
      <c r="H423" s="5"/>
      <c r="I423" s="44"/>
      <c r="J423" s="44"/>
      <c r="K423" s="44"/>
      <c r="L423" s="5"/>
      <c r="M423" s="5"/>
      <c r="N423" s="5"/>
      <c r="O423" s="5"/>
      <c r="P423" s="44"/>
      <c r="Q423" s="44"/>
      <c r="R423" s="44"/>
      <c r="S423" s="44"/>
      <c r="T423" s="44"/>
      <c r="U423" s="44"/>
      <c r="V423" s="5"/>
      <c r="W423" s="5"/>
      <c r="Y423" s="44"/>
    </row>
    <row r="424" spans="3:25" ht="15.75" customHeight="1">
      <c r="C424" s="5"/>
      <c r="D424" s="5"/>
      <c r="E424" s="5"/>
      <c r="F424" s="5"/>
      <c r="G424" s="44"/>
      <c r="H424" s="5"/>
      <c r="I424" s="44"/>
      <c r="J424" s="44"/>
      <c r="K424" s="44"/>
      <c r="L424" s="5"/>
      <c r="M424" s="5"/>
      <c r="N424" s="5"/>
      <c r="O424" s="5"/>
      <c r="P424" s="44"/>
      <c r="Q424" s="44"/>
      <c r="R424" s="44"/>
      <c r="S424" s="44"/>
      <c r="T424" s="44"/>
      <c r="U424" s="44"/>
      <c r="V424" s="5"/>
      <c r="W424" s="5"/>
      <c r="Y424" s="44"/>
    </row>
    <row r="425" spans="3:25" ht="15.75" customHeight="1">
      <c r="C425" s="5"/>
      <c r="D425" s="5"/>
      <c r="E425" s="5"/>
      <c r="F425" s="5"/>
      <c r="G425" s="44"/>
      <c r="H425" s="5"/>
      <c r="I425" s="44"/>
      <c r="J425" s="44"/>
      <c r="K425" s="44"/>
      <c r="L425" s="5"/>
      <c r="M425" s="5"/>
      <c r="N425" s="5"/>
      <c r="O425" s="5"/>
      <c r="P425" s="44"/>
      <c r="Q425" s="44"/>
      <c r="R425" s="44"/>
      <c r="S425" s="44"/>
      <c r="T425" s="44"/>
      <c r="U425" s="44"/>
      <c r="V425" s="5"/>
      <c r="W425" s="5"/>
      <c r="Y425" s="44"/>
    </row>
    <row r="426" spans="3:25" ht="15.75" customHeight="1">
      <c r="C426" s="5"/>
      <c r="D426" s="5"/>
      <c r="E426" s="5"/>
      <c r="F426" s="5"/>
      <c r="G426" s="44"/>
      <c r="H426" s="5"/>
      <c r="I426" s="44"/>
      <c r="J426" s="44"/>
      <c r="K426" s="44"/>
      <c r="L426" s="5"/>
      <c r="M426" s="5"/>
      <c r="N426" s="5"/>
      <c r="O426" s="5"/>
      <c r="P426" s="44"/>
      <c r="Q426" s="44"/>
      <c r="R426" s="44"/>
      <c r="S426" s="44"/>
      <c r="T426" s="44"/>
      <c r="U426" s="44"/>
      <c r="V426" s="5"/>
      <c r="W426" s="5"/>
      <c r="Y426" s="44"/>
    </row>
    <row r="427" spans="3:25" ht="15.75" customHeight="1">
      <c r="C427" s="5"/>
      <c r="D427" s="5"/>
      <c r="E427" s="5"/>
      <c r="F427" s="5"/>
      <c r="G427" s="44"/>
      <c r="H427" s="5"/>
      <c r="I427" s="44"/>
      <c r="J427" s="44"/>
      <c r="K427" s="44"/>
      <c r="L427" s="5"/>
      <c r="M427" s="5"/>
      <c r="N427" s="5"/>
      <c r="O427" s="5"/>
      <c r="P427" s="44"/>
      <c r="Q427" s="44"/>
      <c r="R427" s="44"/>
      <c r="S427" s="44"/>
      <c r="T427" s="44"/>
      <c r="U427" s="44"/>
      <c r="V427" s="5"/>
      <c r="W427" s="5"/>
      <c r="Y427" s="44"/>
    </row>
    <row r="428" spans="3:25" ht="15.75" customHeight="1">
      <c r="C428" s="5"/>
      <c r="D428" s="5"/>
      <c r="E428" s="5"/>
      <c r="F428" s="5"/>
      <c r="G428" s="44"/>
      <c r="H428" s="5"/>
      <c r="I428" s="44"/>
      <c r="J428" s="44"/>
      <c r="K428" s="44"/>
      <c r="L428" s="5"/>
      <c r="M428" s="5"/>
      <c r="N428" s="5"/>
      <c r="O428" s="5"/>
      <c r="P428" s="44"/>
      <c r="Q428" s="44"/>
      <c r="R428" s="44"/>
      <c r="S428" s="44"/>
      <c r="T428" s="44"/>
      <c r="U428" s="44"/>
      <c r="V428" s="5"/>
      <c r="W428" s="5"/>
      <c r="Y428" s="44"/>
    </row>
    <row r="429" spans="3:25" ht="15.75" customHeight="1">
      <c r="C429" s="5"/>
      <c r="D429" s="5"/>
      <c r="E429" s="5"/>
      <c r="F429" s="5"/>
      <c r="G429" s="44"/>
      <c r="H429" s="5"/>
      <c r="I429" s="44"/>
      <c r="J429" s="44"/>
      <c r="K429" s="44"/>
      <c r="L429" s="5"/>
      <c r="M429" s="5"/>
      <c r="N429" s="5"/>
      <c r="O429" s="5"/>
      <c r="P429" s="44"/>
      <c r="Q429" s="44"/>
      <c r="R429" s="44"/>
      <c r="S429" s="44"/>
      <c r="T429" s="44"/>
      <c r="U429" s="44"/>
      <c r="V429" s="5"/>
      <c r="W429" s="5"/>
      <c r="Y429" s="44"/>
    </row>
    <row r="430" spans="3:25" ht="15.75" customHeight="1">
      <c r="C430" s="5"/>
      <c r="D430" s="5"/>
      <c r="E430" s="5"/>
      <c r="F430" s="5"/>
      <c r="G430" s="44"/>
      <c r="H430" s="5"/>
      <c r="I430" s="44"/>
      <c r="J430" s="44"/>
      <c r="K430" s="44"/>
      <c r="L430" s="5"/>
      <c r="M430" s="5"/>
      <c r="N430" s="5"/>
      <c r="O430" s="5"/>
      <c r="P430" s="44"/>
      <c r="Q430" s="44"/>
      <c r="R430" s="44"/>
      <c r="S430" s="44"/>
      <c r="T430" s="44"/>
      <c r="U430" s="44"/>
      <c r="V430" s="5"/>
      <c r="W430" s="5"/>
      <c r="Y430" s="44"/>
    </row>
    <row r="431" spans="3:25" ht="15.75" customHeight="1">
      <c r="C431" s="5"/>
      <c r="D431" s="5"/>
      <c r="E431" s="5"/>
      <c r="F431" s="5"/>
      <c r="G431" s="44"/>
      <c r="H431" s="5"/>
      <c r="I431" s="44"/>
      <c r="J431" s="44"/>
      <c r="K431" s="44"/>
      <c r="L431" s="5"/>
      <c r="M431" s="5"/>
      <c r="N431" s="5"/>
      <c r="O431" s="5"/>
      <c r="P431" s="44"/>
      <c r="Q431" s="44"/>
      <c r="R431" s="44"/>
      <c r="S431" s="44"/>
      <c r="T431" s="44"/>
      <c r="U431" s="44"/>
      <c r="V431" s="5"/>
      <c r="W431" s="5"/>
      <c r="Y431" s="44"/>
    </row>
    <row r="432" spans="3:25" ht="15.75" customHeight="1">
      <c r="C432" s="5"/>
      <c r="D432" s="5"/>
      <c r="E432" s="5"/>
      <c r="F432" s="5"/>
      <c r="G432" s="44"/>
      <c r="H432" s="5"/>
      <c r="I432" s="44"/>
      <c r="J432" s="44"/>
      <c r="K432" s="44"/>
      <c r="L432" s="5"/>
      <c r="M432" s="5"/>
      <c r="N432" s="5"/>
      <c r="O432" s="5"/>
      <c r="P432" s="44"/>
      <c r="Q432" s="44"/>
      <c r="R432" s="44"/>
      <c r="S432" s="44"/>
      <c r="T432" s="44"/>
      <c r="U432" s="44"/>
      <c r="V432" s="5"/>
      <c r="W432" s="5"/>
      <c r="Y432" s="44"/>
    </row>
    <row r="433" spans="3:25" ht="15.75" customHeight="1">
      <c r="C433" s="5"/>
      <c r="D433" s="5"/>
      <c r="E433" s="5"/>
      <c r="F433" s="5"/>
      <c r="G433" s="44"/>
      <c r="H433" s="5"/>
      <c r="I433" s="44"/>
      <c r="J433" s="44"/>
      <c r="K433" s="44"/>
      <c r="L433" s="5"/>
      <c r="M433" s="5"/>
      <c r="N433" s="5"/>
      <c r="O433" s="5"/>
      <c r="P433" s="44"/>
      <c r="Q433" s="44"/>
      <c r="R433" s="44"/>
      <c r="S433" s="44"/>
      <c r="T433" s="44"/>
      <c r="U433" s="44"/>
      <c r="V433" s="5"/>
      <c r="W433" s="5"/>
      <c r="Y433" s="44"/>
    </row>
    <row r="434" spans="3:25" ht="15.75" customHeight="1">
      <c r="C434" s="5"/>
      <c r="D434" s="5"/>
      <c r="E434" s="5"/>
      <c r="F434" s="5"/>
      <c r="G434" s="44"/>
      <c r="H434" s="5"/>
      <c r="I434" s="44"/>
      <c r="J434" s="44"/>
      <c r="K434" s="44"/>
      <c r="L434" s="5"/>
      <c r="M434" s="5"/>
      <c r="N434" s="5"/>
      <c r="O434" s="5"/>
      <c r="P434" s="44"/>
      <c r="Q434" s="44"/>
      <c r="R434" s="44"/>
      <c r="S434" s="44"/>
      <c r="T434" s="44"/>
      <c r="U434" s="44"/>
      <c r="V434" s="5"/>
      <c r="W434" s="5"/>
      <c r="Y434" s="44"/>
    </row>
    <row r="435" spans="3:25" ht="15.75" customHeight="1">
      <c r="C435" s="5"/>
      <c r="D435" s="5"/>
      <c r="E435" s="5"/>
      <c r="F435" s="5"/>
      <c r="G435" s="44"/>
      <c r="H435" s="5"/>
      <c r="I435" s="44"/>
      <c r="J435" s="44"/>
      <c r="K435" s="44"/>
      <c r="L435" s="5"/>
      <c r="M435" s="5"/>
      <c r="N435" s="5"/>
      <c r="O435" s="5"/>
      <c r="P435" s="44"/>
      <c r="Q435" s="44"/>
      <c r="R435" s="44"/>
      <c r="S435" s="44"/>
      <c r="T435" s="44"/>
      <c r="U435" s="44"/>
      <c r="V435" s="5"/>
      <c r="W435" s="5"/>
      <c r="Y435" s="44"/>
    </row>
    <row r="436" spans="3:25" ht="15.75" customHeight="1">
      <c r="C436" s="5"/>
      <c r="D436" s="5"/>
      <c r="E436" s="5"/>
      <c r="F436" s="5"/>
      <c r="G436" s="44"/>
      <c r="H436" s="5"/>
      <c r="I436" s="44"/>
      <c r="J436" s="44"/>
      <c r="K436" s="44"/>
      <c r="L436" s="5"/>
      <c r="M436" s="5"/>
      <c r="N436" s="5"/>
      <c r="O436" s="5"/>
      <c r="P436" s="44"/>
      <c r="Q436" s="44"/>
      <c r="R436" s="44"/>
      <c r="S436" s="44"/>
      <c r="T436" s="44"/>
      <c r="U436" s="44"/>
      <c r="V436" s="5"/>
      <c r="W436" s="5"/>
      <c r="Y436" s="44"/>
    </row>
    <row r="437" spans="3:25" ht="15.75" customHeight="1">
      <c r="C437" s="5"/>
      <c r="D437" s="5"/>
      <c r="E437" s="5"/>
      <c r="F437" s="5"/>
      <c r="G437" s="44"/>
      <c r="H437" s="5"/>
      <c r="I437" s="44"/>
      <c r="J437" s="44"/>
      <c r="K437" s="44"/>
      <c r="L437" s="5"/>
      <c r="M437" s="5"/>
      <c r="N437" s="5"/>
      <c r="O437" s="5"/>
      <c r="P437" s="44"/>
      <c r="Q437" s="44"/>
      <c r="R437" s="44"/>
      <c r="S437" s="44"/>
      <c r="T437" s="44"/>
      <c r="U437" s="44"/>
      <c r="V437" s="5"/>
      <c r="W437" s="5"/>
      <c r="Y437" s="44"/>
    </row>
    <row r="438" spans="3:25" ht="15.75" customHeight="1">
      <c r="C438" s="5"/>
      <c r="D438" s="5"/>
      <c r="E438" s="5"/>
      <c r="F438" s="5"/>
      <c r="G438" s="44"/>
      <c r="H438" s="5"/>
      <c r="I438" s="44"/>
      <c r="J438" s="44"/>
      <c r="K438" s="44"/>
      <c r="L438" s="5"/>
      <c r="M438" s="5"/>
      <c r="N438" s="5"/>
      <c r="O438" s="5"/>
      <c r="P438" s="44"/>
      <c r="Q438" s="44"/>
      <c r="R438" s="44"/>
      <c r="S438" s="44"/>
      <c r="T438" s="44"/>
      <c r="U438" s="44"/>
      <c r="V438" s="5"/>
      <c r="W438" s="5"/>
      <c r="Y438" s="44"/>
    </row>
    <row r="439" spans="3:25" ht="15.75" customHeight="1">
      <c r="C439" s="5"/>
      <c r="D439" s="5"/>
      <c r="E439" s="5"/>
      <c r="F439" s="5"/>
      <c r="G439" s="44"/>
      <c r="H439" s="5"/>
      <c r="I439" s="44"/>
      <c r="J439" s="44"/>
      <c r="K439" s="44"/>
      <c r="L439" s="5"/>
      <c r="M439" s="5"/>
      <c r="N439" s="5"/>
      <c r="O439" s="5"/>
      <c r="P439" s="44"/>
      <c r="Q439" s="44"/>
      <c r="R439" s="44"/>
      <c r="S439" s="44"/>
      <c r="T439" s="44"/>
      <c r="U439" s="44"/>
      <c r="V439" s="5"/>
      <c r="W439" s="5"/>
      <c r="Y439" s="44"/>
    </row>
    <row r="440" spans="3:25" ht="15.75" customHeight="1">
      <c r="C440" s="5"/>
      <c r="D440" s="5"/>
      <c r="E440" s="5"/>
      <c r="F440" s="5"/>
      <c r="G440" s="44"/>
      <c r="H440" s="5"/>
      <c r="I440" s="44"/>
      <c r="J440" s="44"/>
      <c r="K440" s="44"/>
      <c r="L440" s="5"/>
      <c r="M440" s="5"/>
      <c r="N440" s="5"/>
      <c r="O440" s="5"/>
      <c r="P440" s="44"/>
      <c r="Q440" s="44"/>
      <c r="R440" s="44"/>
      <c r="S440" s="44"/>
      <c r="T440" s="44"/>
      <c r="U440" s="44"/>
      <c r="V440" s="5"/>
      <c r="W440" s="5"/>
      <c r="Y440" s="44"/>
    </row>
    <row r="441" spans="3:25" ht="15.75" customHeight="1">
      <c r="C441" s="5"/>
      <c r="D441" s="5"/>
      <c r="E441" s="5"/>
      <c r="F441" s="5"/>
      <c r="G441" s="44"/>
      <c r="H441" s="5"/>
      <c r="I441" s="44"/>
      <c r="J441" s="44"/>
      <c r="K441" s="44"/>
      <c r="L441" s="5"/>
      <c r="M441" s="5"/>
      <c r="N441" s="5"/>
      <c r="O441" s="5"/>
      <c r="P441" s="44"/>
      <c r="Q441" s="44"/>
      <c r="R441" s="44"/>
      <c r="S441" s="44"/>
      <c r="T441" s="44"/>
      <c r="U441" s="44"/>
      <c r="V441" s="5"/>
      <c r="W441" s="5"/>
      <c r="Y441" s="44"/>
    </row>
    <row r="442" spans="3:25" ht="15.75" customHeight="1">
      <c r="C442" s="5"/>
      <c r="D442" s="5"/>
      <c r="E442" s="5"/>
      <c r="F442" s="5"/>
      <c r="G442" s="44"/>
      <c r="H442" s="5"/>
      <c r="I442" s="44"/>
      <c r="J442" s="44"/>
      <c r="K442" s="44"/>
      <c r="L442" s="5"/>
      <c r="M442" s="5"/>
      <c r="N442" s="5"/>
      <c r="O442" s="5"/>
      <c r="P442" s="44"/>
      <c r="Q442" s="44"/>
      <c r="R442" s="44"/>
      <c r="S442" s="44"/>
      <c r="T442" s="44"/>
      <c r="U442" s="44"/>
      <c r="V442" s="5"/>
      <c r="W442" s="5"/>
      <c r="Y442" s="44"/>
    </row>
    <row r="443" spans="3:25" ht="15.75" customHeight="1">
      <c r="C443" s="5"/>
      <c r="D443" s="5"/>
      <c r="E443" s="5"/>
      <c r="F443" s="5"/>
      <c r="G443" s="44"/>
      <c r="H443" s="5"/>
      <c r="I443" s="44"/>
      <c r="J443" s="44"/>
      <c r="K443" s="44"/>
      <c r="L443" s="5"/>
      <c r="M443" s="5"/>
      <c r="N443" s="5"/>
      <c r="O443" s="5"/>
      <c r="P443" s="44"/>
      <c r="Q443" s="44"/>
      <c r="R443" s="44"/>
      <c r="S443" s="44"/>
      <c r="T443" s="44"/>
      <c r="U443" s="44"/>
      <c r="V443" s="5"/>
      <c r="W443" s="5"/>
      <c r="Y443" s="44"/>
    </row>
    <row r="444" spans="3:25" ht="15.75" customHeight="1">
      <c r="C444" s="5"/>
      <c r="D444" s="5"/>
      <c r="E444" s="5"/>
      <c r="F444" s="5"/>
      <c r="G444" s="44"/>
      <c r="H444" s="5"/>
      <c r="I444" s="44"/>
      <c r="J444" s="44"/>
      <c r="K444" s="44"/>
      <c r="L444" s="5"/>
      <c r="M444" s="5"/>
      <c r="N444" s="5"/>
      <c r="O444" s="5"/>
      <c r="P444" s="44"/>
      <c r="Q444" s="44"/>
      <c r="R444" s="44"/>
      <c r="S444" s="44"/>
      <c r="T444" s="44"/>
      <c r="U444" s="44"/>
      <c r="V444" s="5"/>
      <c r="W444" s="5"/>
      <c r="Y444" s="44"/>
    </row>
    <row r="445" spans="3:25" ht="15.75" customHeight="1">
      <c r="C445" s="5"/>
      <c r="D445" s="5"/>
      <c r="E445" s="5"/>
      <c r="F445" s="5"/>
      <c r="G445" s="44"/>
      <c r="H445" s="5"/>
      <c r="I445" s="44"/>
      <c r="J445" s="44"/>
      <c r="K445" s="44"/>
      <c r="L445" s="5"/>
      <c r="M445" s="5"/>
      <c r="N445" s="5"/>
      <c r="O445" s="5"/>
      <c r="P445" s="44"/>
      <c r="Q445" s="44"/>
      <c r="R445" s="44"/>
      <c r="S445" s="44"/>
      <c r="T445" s="44"/>
      <c r="U445" s="44"/>
      <c r="V445" s="5"/>
      <c r="W445" s="5"/>
      <c r="Y445" s="44"/>
    </row>
    <row r="446" spans="3:25" ht="15.75" customHeight="1">
      <c r="C446" s="5"/>
      <c r="D446" s="5"/>
      <c r="E446" s="5"/>
      <c r="F446" s="5"/>
      <c r="G446" s="44"/>
      <c r="H446" s="5"/>
      <c r="I446" s="44"/>
      <c r="J446" s="44"/>
      <c r="K446" s="44"/>
      <c r="L446" s="5"/>
      <c r="M446" s="5"/>
      <c r="N446" s="5"/>
      <c r="O446" s="5"/>
      <c r="P446" s="44"/>
      <c r="Q446" s="44"/>
      <c r="R446" s="44"/>
      <c r="S446" s="44"/>
      <c r="T446" s="44"/>
      <c r="U446" s="44"/>
      <c r="V446" s="5"/>
      <c r="W446" s="5"/>
      <c r="Y446" s="44"/>
    </row>
    <row r="447" spans="3:25" ht="15.75" customHeight="1">
      <c r="C447" s="5"/>
      <c r="D447" s="5"/>
      <c r="E447" s="5"/>
      <c r="F447" s="5"/>
      <c r="G447" s="44"/>
      <c r="H447" s="5"/>
      <c r="I447" s="44"/>
      <c r="J447" s="44"/>
      <c r="K447" s="44"/>
      <c r="L447" s="5"/>
      <c r="M447" s="5"/>
      <c r="N447" s="5"/>
      <c r="O447" s="5"/>
      <c r="P447" s="44"/>
      <c r="Q447" s="44"/>
      <c r="R447" s="44"/>
      <c r="S447" s="44"/>
      <c r="T447" s="44"/>
      <c r="U447" s="44"/>
      <c r="V447" s="5"/>
      <c r="W447" s="5"/>
      <c r="Y447" s="44"/>
    </row>
    <row r="448" spans="3:25" ht="15.75" customHeight="1">
      <c r="C448" s="5"/>
      <c r="D448" s="5"/>
      <c r="E448" s="5"/>
      <c r="F448" s="5"/>
      <c r="G448" s="44"/>
      <c r="H448" s="5"/>
      <c r="I448" s="44"/>
      <c r="J448" s="44"/>
      <c r="K448" s="44"/>
      <c r="L448" s="5"/>
      <c r="M448" s="5"/>
      <c r="N448" s="5"/>
      <c r="O448" s="5"/>
      <c r="P448" s="44"/>
      <c r="Q448" s="44"/>
      <c r="R448" s="44"/>
      <c r="S448" s="44"/>
      <c r="T448" s="44"/>
      <c r="U448" s="44"/>
      <c r="V448" s="5"/>
      <c r="W448" s="5"/>
      <c r="Y448" s="44"/>
    </row>
    <row r="449" spans="3:25" ht="15.75" customHeight="1">
      <c r="C449" s="5"/>
      <c r="D449" s="5"/>
      <c r="E449" s="5"/>
      <c r="F449" s="5"/>
      <c r="G449" s="44"/>
      <c r="H449" s="5"/>
      <c r="I449" s="44"/>
      <c r="J449" s="44"/>
      <c r="K449" s="44"/>
      <c r="L449" s="5"/>
      <c r="M449" s="5"/>
      <c r="N449" s="5"/>
      <c r="O449" s="5"/>
      <c r="P449" s="44"/>
      <c r="Q449" s="44"/>
      <c r="R449" s="44"/>
      <c r="S449" s="44"/>
      <c r="T449" s="44"/>
      <c r="U449" s="44"/>
      <c r="V449" s="5"/>
      <c r="W449" s="5"/>
      <c r="Y449" s="44"/>
    </row>
    <row r="450" spans="3:25" ht="15.75" customHeight="1">
      <c r="C450" s="5"/>
      <c r="D450" s="5"/>
      <c r="E450" s="5"/>
      <c r="F450" s="5"/>
      <c r="G450" s="44"/>
      <c r="H450" s="5"/>
      <c r="I450" s="44"/>
      <c r="J450" s="44"/>
      <c r="K450" s="44"/>
      <c r="L450" s="5"/>
      <c r="M450" s="5"/>
      <c r="N450" s="5"/>
      <c r="O450" s="5"/>
      <c r="P450" s="44"/>
      <c r="Q450" s="44"/>
      <c r="R450" s="44"/>
      <c r="S450" s="44"/>
      <c r="T450" s="44"/>
      <c r="U450" s="44"/>
      <c r="V450" s="5"/>
      <c r="W450" s="5"/>
      <c r="Y450" s="44"/>
    </row>
    <row r="451" spans="3:25" ht="15.75" customHeight="1">
      <c r="C451" s="5"/>
      <c r="D451" s="5"/>
      <c r="E451" s="5"/>
      <c r="F451" s="5"/>
      <c r="G451" s="44"/>
      <c r="H451" s="5"/>
      <c r="I451" s="44"/>
      <c r="J451" s="44"/>
      <c r="K451" s="44"/>
      <c r="L451" s="5"/>
      <c r="M451" s="5"/>
      <c r="N451" s="5"/>
      <c r="O451" s="5"/>
      <c r="P451" s="44"/>
      <c r="Q451" s="44"/>
      <c r="R451" s="44"/>
      <c r="S451" s="44"/>
      <c r="T451" s="44"/>
      <c r="U451" s="44"/>
      <c r="V451" s="5"/>
      <c r="W451" s="5"/>
      <c r="Y451" s="44"/>
    </row>
    <row r="452" spans="3:25" ht="15.75" customHeight="1">
      <c r="C452" s="5"/>
      <c r="D452" s="5"/>
      <c r="E452" s="5"/>
      <c r="F452" s="5"/>
      <c r="G452" s="44"/>
      <c r="H452" s="5"/>
      <c r="I452" s="44"/>
      <c r="J452" s="44"/>
      <c r="K452" s="44"/>
      <c r="L452" s="5"/>
      <c r="M452" s="5"/>
      <c r="N452" s="5"/>
      <c r="O452" s="5"/>
      <c r="P452" s="44"/>
      <c r="Q452" s="44"/>
      <c r="R452" s="44"/>
      <c r="S452" s="44"/>
      <c r="T452" s="44"/>
      <c r="U452" s="44"/>
      <c r="V452" s="5"/>
      <c r="W452" s="5"/>
      <c r="Y452" s="44"/>
    </row>
    <row r="453" spans="3:25" ht="15.75" customHeight="1">
      <c r="C453" s="5"/>
      <c r="D453" s="5"/>
      <c r="E453" s="5"/>
      <c r="F453" s="5"/>
      <c r="G453" s="44"/>
      <c r="H453" s="5"/>
      <c r="I453" s="44"/>
      <c r="J453" s="44"/>
      <c r="K453" s="44"/>
      <c r="L453" s="5"/>
      <c r="M453" s="5"/>
      <c r="N453" s="5"/>
      <c r="O453" s="5"/>
      <c r="P453" s="44"/>
      <c r="Q453" s="44"/>
      <c r="R453" s="44"/>
      <c r="S453" s="44"/>
      <c r="T453" s="44"/>
      <c r="U453" s="44"/>
      <c r="V453" s="5"/>
      <c r="W453" s="5"/>
      <c r="Y453" s="44"/>
    </row>
    <row r="454" spans="3:25" ht="15.75" customHeight="1">
      <c r="C454" s="5"/>
      <c r="D454" s="5"/>
      <c r="E454" s="5"/>
      <c r="F454" s="5"/>
      <c r="G454" s="44"/>
      <c r="H454" s="5"/>
      <c r="I454" s="44"/>
      <c r="J454" s="44"/>
      <c r="K454" s="44"/>
      <c r="L454" s="5"/>
      <c r="M454" s="5"/>
      <c r="N454" s="5"/>
      <c r="O454" s="5"/>
      <c r="P454" s="44"/>
      <c r="Q454" s="44"/>
      <c r="R454" s="44"/>
      <c r="S454" s="44"/>
      <c r="T454" s="44"/>
      <c r="U454" s="44"/>
      <c r="V454" s="5"/>
      <c r="W454" s="5"/>
      <c r="Y454" s="44"/>
    </row>
    <row r="455" spans="3:25" ht="15.75" customHeight="1">
      <c r="C455" s="5"/>
      <c r="D455" s="5"/>
      <c r="E455" s="5"/>
      <c r="F455" s="5"/>
      <c r="G455" s="44"/>
      <c r="H455" s="5"/>
      <c r="I455" s="44"/>
      <c r="J455" s="44"/>
      <c r="K455" s="44"/>
      <c r="L455" s="5"/>
      <c r="M455" s="5"/>
      <c r="N455" s="5"/>
      <c r="O455" s="5"/>
      <c r="P455" s="44"/>
      <c r="Q455" s="44"/>
      <c r="R455" s="44"/>
      <c r="S455" s="44"/>
      <c r="T455" s="44"/>
      <c r="U455" s="44"/>
      <c r="V455" s="5"/>
      <c r="W455" s="5"/>
      <c r="Y455" s="44"/>
    </row>
    <row r="456" spans="3:25" ht="15.75" customHeight="1">
      <c r="C456" s="5"/>
      <c r="D456" s="5"/>
      <c r="E456" s="5"/>
      <c r="F456" s="5"/>
      <c r="G456" s="44"/>
      <c r="H456" s="5"/>
      <c r="I456" s="44"/>
      <c r="J456" s="44"/>
      <c r="K456" s="44"/>
      <c r="L456" s="5"/>
      <c r="M456" s="5"/>
      <c r="N456" s="5"/>
      <c r="O456" s="5"/>
      <c r="P456" s="44"/>
      <c r="Q456" s="44"/>
      <c r="R456" s="44"/>
      <c r="S456" s="44"/>
      <c r="T456" s="44"/>
      <c r="U456" s="44"/>
      <c r="V456" s="5"/>
      <c r="W456" s="5"/>
      <c r="Y456" s="44"/>
    </row>
    <row r="457" spans="3:25" ht="15.75" customHeight="1">
      <c r="C457" s="5"/>
      <c r="D457" s="5"/>
      <c r="E457" s="5"/>
      <c r="F457" s="5"/>
      <c r="G457" s="44"/>
      <c r="H457" s="5"/>
      <c r="I457" s="44"/>
      <c r="J457" s="44"/>
      <c r="K457" s="44"/>
      <c r="L457" s="5"/>
      <c r="M457" s="5"/>
      <c r="N457" s="5"/>
      <c r="O457" s="5"/>
      <c r="P457" s="44"/>
      <c r="Q457" s="44"/>
      <c r="R457" s="44"/>
      <c r="S457" s="44"/>
      <c r="T457" s="44"/>
      <c r="U457" s="44"/>
      <c r="V457" s="5"/>
      <c r="W457" s="5"/>
      <c r="Y457" s="44"/>
    </row>
    <row r="458" spans="3:25" ht="15.75" customHeight="1">
      <c r="C458" s="5"/>
      <c r="D458" s="5"/>
      <c r="E458" s="5"/>
      <c r="F458" s="5"/>
      <c r="G458" s="44"/>
      <c r="H458" s="5"/>
      <c r="I458" s="44"/>
      <c r="J458" s="44"/>
      <c r="K458" s="44"/>
      <c r="L458" s="5"/>
      <c r="M458" s="5"/>
      <c r="N458" s="5"/>
      <c r="O458" s="5"/>
      <c r="P458" s="44"/>
      <c r="Q458" s="44"/>
      <c r="R458" s="44"/>
      <c r="S458" s="44"/>
      <c r="T458" s="44"/>
      <c r="U458" s="44"/>
      <c r="V458" s="5"/>
      <c r="W458" s="5"/>
      <c r="Y458" s="44"/>
    </row>
    <row r="459" spans="3:25" ht="15.75" customHeight="1">
      <c r="C459" s="5"/>
      <c r="D459" s="5"/>
      <c r="E459" s="5"/>
      <c r="F459" s="5"/>
      <c r="G459" s="44"/>
      <c r="H459" s="5"/>
      <c r="I459" s="44"/>
      <c r="J459" s="44"/>
      <c r="K459" s="44"/>
      <c r="L459" s="5"/>
      <c r="M459" s="5"/>
      <c r="N459" s="5"/>
      <c r="O459" s="5"/>
      <c r="P459" s="44"/>
      <c r="Q459" s="44"/>
      <c r="R459" s="44"/>
      <c r="S459" s="44"/>
      <c r="T459" s="44"/>
      <c r="U459" s="44"/>
      <c r="V459" s="5"/>
      <c r="W459" s="5"/>
      <c r="Y459" s="44"/>
    </row>
    <row r="460" spans="3:25" ht="15.75" customHeight="1">
      <c r="C460" s="5"/>
      <c r="D460" s="5"/>
      <c r="E460" s="5"/>
      <c r="F460" s="5"/>
      <c r="G460" s="44"/>
      <c r="H460" s="5"/>
      <c r="I460" s="44"/>
      <c r="J460" s="44"/>
      <c r="K460" s="44"/>
      <c r="L460" s="5"/>
      <c r="M460" s="5"/>
      <c r="N460" s="5"/>
      <c r="O460" s="5"/>
      <c r="P460" s="44"/>
      <c r="Q460" s="44"/>
      <c r="R460" s="44"/>
      <c r="S460" s="44"/>
      <c r="T460" s="44"/>
      <c r="U460" s="44"/>
      <c r="V460" s="5"/>
      <c r="W460" s="5"/>
      <c r="Y460" s="44"/>
    </row>
    <row r="461" spans="3:25" ht="15.75" customHeight="1">
      <c r="C461" s="5"/>
      <c r="D461" s="5"/>
      <c r="E461" s="5"/>
      <c r="F461" s="5"/>
      <c r="G461" s="44"/>
      <c r="H461" s="5"/>
      <c r="I461" s="44"/>
      <c r="J461" s="44"/>
      <c r="K461" s="44"/>
      <c r="L461" s="5"/>
      <c r="M461" s="5"/>
      <c r="N461" s="5"/>
      <c r="O461" s="5"/>
      <c r="P461" s="44"/>
      <c r="Q461" s="44"/>
      <c r="R461" s="44"/>
      <c r="S461" s="44"/>
      <c r="T461" s="44"/>
      <c r="U461" s="44"/>
      <c r="V461" s="5"/>
      <c r="W461" s="5"/>
      <c r="Y461" s="44"/>
    </row>
    <row r="462" spans="3:25" ht="15.75" customHeight="1">
      <c r="C462" s="5"/>
      <c r="D462" s="5"/>
      <c r="E462" s="5"/>
      <c r="F462" s="5"/>
      <c r="G462" s="44"/>
      <c r="H462" s="5"/>
      <c r="I462" s="44"/>
      <c r="J462" s="44"/>
      <c r="K462" s="44"/>
      <c r="L462" s="5"/>
      <c r="M462" s="5"/>
      <c r="N462" s="5"/>
      <c r="O462" s="5"/>
      <c r="P462" s="44"/>
      <c r="Q462" s="44"/>
      <c r="R462" s="44"/>
      <c r="S462" s="44"/>
      <c r="T462" s="44"/>
      <c r="U462" s="44"/>
      <c r="V462" s="5"/>
      <c r="W462" s="5"/>
      <c r="Y462" s="44"/>
    </row>
    <row r="463" spans="3:25" ht="15.75" customHeight="1">
      <c r="C463" s="5"/>
      <c r="D463" s="5"/>
      <c r="E463" s="5"/>
      <c r="F463" s="5"/>
      <c r="G463" s="44"/>
      <c r="H463" s="5"/>
      <c r="I463" s="44"/>
      <c r="J463" s="44"/>
      <c r="K463" s="44"/>
      <c r="L463" s="5"/>
      <c r="M463" s="5"/>
      <c r="N463" s="5"/>
      <c r="O463" s="5"/>
      <c r="P463" s="44"/>
      <c r="Q463" s="44"/>
      <c r="R463" s="44"/>
      <c r="S463" s="44"/>
      <c r="T463" s="44"/>
      <c r="U463" s="44"/>
      <c r="V463" s="5"/>
      <c r="W463" s="5"/>
      <c r="Y463" s="44"/>
    </row>
    <row r="464" spans="3:25" ht="15.75" customHeight="1">
      <c r="C464" s="5"/>
      <c r="D464" s="5"/>
      <c r="E464" s="5"/>
      <c r="F464" s="5"/>
      <c r="G464" s="44"/>
      <c r="H464" s="5"/>
      <c r="I464" s="44"/>
      <c r="J464" s="44"/>
      <c r="K464" s="44"/>
      <c r="L464" s="5"/>
      <c r="M464" s="5"/>
      <c r="N464" s="5"/>
      <c r="O464" s="5"/>
      <c r="P464" s="44"/>
      <c r="Q464" s="44"/>
      <c r="R464" s="44"/>
      <c r="S464" s="44"/>
      <c r="T464" s="44"/>
      <c r="U464" s="44"/>
      <c r="V464" s="5"/>
      <c r="W464" s="5"/>
      <c r="Y464" s="44"/>
    </row>
    <row r="465" spans="3:25" ht="15.75" customHeight="1">
      <c r="C465" s="5"/>
      <c r="D465" s="5"/>
      <c r="E465" s="5"/>
      <c r="F465" s="5"/>
      <c r="G465" s="44"/>
      <c r="H465" s="5"/>
      <c r="I465" s="44"/>
      <c r="J465" s="44"/>
      <c r="K465" s="44"/>
      <c r="L465" s="5"/>
      <c r="M465" s="5"/>
      <c r="N465" s="5"/>
      <c r="O465" s="5"/>
      <c r="P465" s="44"/>
      <c r="Q465" s="44"/>
      <c r="R465" s="44"/>
      <c r="S465" s="44"/>
      <c r="T465" s="44"/>
      <c r="U465" s="44"/>
      <c r="V465" s="5"/>
      <c r="W465" s="5"/>
      <c r="Y465" s="44"/>
    </row>
    <row r="466" spans="3:25" ht="15.75" customHeight="1">
      <c r="C466" s="5"/>
      <c r="D466" s="5"/>
      <c r="E466" s="5"/>
      <c r="F466" s="5"/>
      <c r="G466" s="44"/>
      <c r="H466" s="5"/>
      <c r="I466" s="44"/>
      <c r="J466" s="44"/>
      <c r="K466" s="44"/>
      <c r="L466" s="5"/>
      <c r="M466" s="5"/>
      <c r="N466" s="5"/>
      <c r="O466" s="5"/>
      <c r="P466" s="44"/>
      <c r="Q466" s="44"/>
      <c r="R466" s="44"/>
      <c r="S466" s="44"/>
      <c r="T466" s="44"/>
      <c r="U466" s="44"/>
      <c r="V466" s="5"/>
      <c r="W466" s="5"/>
      <c r="Y466" s="44"/>
    </row>
    <row r="467" spans="3:25" ht="15.75" customHeight="1">
      <c r="C467" s="5"/>
      <c r="D467" s="5"/>
      <c r="E467" s="5"/>
      <c r="F467" s="5"/>
      <c r="G467" s="44"/>
      <c r="H467" s="5"/>
      <c r="I467" s="44"/>
      <c r="J467" s="44"/>
      <c r="K467" s="44"/>
      <c r="L467" s="5"/>
      <c r="M467" s="5"/>
      <c r="N467" s="5"/>
      <c r="O467" s="5"/>
      <c r="P467" s="44"/>
      <c r="Q467" s="44"/>
      <c r="R467" s="44"/>
      <c r="S467" s="44"/>
      <c r="T467" s="44"/>
      <c r="U467" s="44"/>
      <c r="V467" s="5"/>
      <c r="W467" s="5"/>
      <c r="Y467" s="44"/>
    </row>
    <row r="468" spans="3:25" ht="15.75" customHeight="1">
      <c r="C468" s="5"/>
      <c r="D468" s="5"/>
      <c r="E468" s="5"/>
      <c r="F468" s="5"/>
      <c r="G468" s="44"/>
      <c r="H468" s="5"/>
      <c r="I468" s="44"/>
      <c r="J468" s="44"/>
      <c r="K468" s="44"/>
      <c r="L468" s="5"/>
      <c r="M468" s="5"/>
      <c r="N468" s="5"/>
      <c r="O468" s="5"/>
      <c r="P468" s="44"/>
      <c r="Q468" s="44"/>
      <c r="R468" s="44"/>
      <c r="S468" s="44"/>
      <c r="T468" s="44"/>
      <c r="U468" s="44"/>
      <c r="V468" s="5"/>
      <c r="W468" s="5"/>
      <c r="Y468" s="44"/>
    </row>
    <row r="469" spans="3:25" ht="15.75" customHeight="1">
      <c r="C469" s="5"/>
      <c r="D469" s="5"/>
      <c r="E469" s="5"/>
      <c r="F469" s="5"/>
      <c r="G469" s="44"/>
      <c r="H469" s="5"/>
      <c r="I469" s="44"/>
      <c r="J469" s="44"/>
      <c r="K469" s="44"/>
      <c r="L469" s="5"/>
      <c r="M469" s="5"/>
      <c r="N469" s="5"/>
      <c r="O469" s="5"/>
      <c r="P469" s="44"/>
      <c r="Q469" s="44"/>
      <c r="R469" s="44"/>
      <c r="S469" s="44"/>
      <c r="T469" s="44"/>
      <c r="U469" s="44"/>
      <c r="V469" s="5"/>
      <c r="W469" s="5"/>
      <c r="Y469" s="44"/>
    </row>
    <row r="470" spans="3:25" ht="15.75" customHeight="1">
      <c r="C470" s="5"/>
      <c r="D470" s="5"/>
      <c r="E470" s="5"/>
      <c r="F470" s="5"/>
      <c r="G470" s="44"/>
      <c r="H470" s="5"/>
      <c r="I470" s="44"/>
      <c r="J470" s="44"/>
      <c r="K470" s="44"/>
      <c r="L470" s="5"/>
      <c r="M470" s="5"/>
      <c r="N470" s="5"/>
      <c r="O470" s="5"/>
      <c r="P470" s="44"/>
      <c r="Q470" s="44"/>
      <c r="R470" s="44"/>
      <c r="S470" s="44"/>
      <c r="T470" s="44"/>
      <c r="U470" s="44"/>
      <c r="V470" s="5"/>
      <c r="W470" s="5"/>
      <c r="Y470" s="44"/>
    </row>
    <row r="471" spans="3:25" ht="15.75" customHeight="1">
      <c r="C471" s="5"/>
      <c r="D471" s="5"/>
      <c r="E471" s="5"/>
      <c r="F471" s="5"/>
      <c r="G471" s="44"/>
      <c r="H471" s="5"/>
      <c r="I471" s="44"/>
      <c r="J471" s="44"/>
      <c r="K471" s="44"/>
      <c r="L471" s="5"/>
      <c r="M471" s="5"/>
      <c r="N471" s="5"/>
      <c r="O471" s="5"/>
      <c r="P471" s="44"/>
      <c r="Q471" s="44"/>
      <c r="R471" s="44"/>
      <c r="S471" s="44"/>
      <c r="T471" s="44"/>
      <c r="U471" s="44"/>
      <c r="V471" s="5"/>
      <c r="W471" s="5"/>
      <c r="Y471" s="44"/>
    </row>
    <row r="472" spans="3:25" ht="15.75" customHeight="1">
      <c r="C472" s="5"/>
      <c r="D472" s="5"/>
      <c r="E472" s="5"/>
      <c r="F472" s="5"/>
      <c r="G472" s="44"/>
      <c r="H472" s="5"/>
      <c r="I472" s="44"/>
      <c r="J472" s="44"/>
      <c r="K472" s="44"/>
      <c r="L472" s="5"/>
      <c r="M472" s="5"/>
      <c r="N472" s="5"/>
      <c r="O472" s="5"/>
      <c r="P472" s="44"/>
      <c r="Q472" s="44"/>
      <c r="R472" s="44"/>
      <c r="S472" s="44"/>
      <c r="T472" s="44"/>
      <c r="U472" s="44"/>
      <c r="V472" s="5"/>
      <c r="W472" s="5"/>
      <c r="Y472" s="44"/>
    </row>
    <row r="473" spans="3:25" ht="15.75" customHeight="1">
      <c r="C473" s="5"/>
      <c r="D473" s="5"/>
      <c r="E473" s="5"/>
      <c r="F473" s="5"/>
      <c r="G473" s="44"/>
      <c r="H473" s="5"/>
      <c r="I473" s="44"/>
      <c r="J473" s="44"/>
      <c r="K473" s="44"/>
      <c r="L473" s="5"/>
      <c r="M473" s="5"/>
      <c r="N473" s="5"/>
      <c r="O473" s="5"/>
      <c r="P473" s="44"/>
      <c r="Q473" s="44"/>
      <c r="R473" s="44"/>
      <c r="S473" s="44"/>
      <c r="T473" s="44"/>
      <c r="U473" s="44"/>
      <c r="V473" s="5"/>
      <c r="W473" s="5"/>
      <c r="Y473" s="44"/>
    </row>
    <row r="474" spans="3:25" ht="15.75" customHeight="1">
      <c r="C474" s="5"/>
      <c r="D474" s="5"/>
      <c r="E474" s="5"/>
      <c r="F474" s="5"/>
      <c r="G474" s="44"/>
      <c r="H474" s="5"/>
      <c r="I474" s="44"/>
      <c r="J474" s="44"/>
      <c r="K474" s="44"/>
      <c r="L474" s="5"/>
      <c r="M474" s="5"/>
      <c r="N474" s="5"/>
      <c r="O474" s="5"/>
      <c r="P474" s="44"/>
      <c r="Q474" s="44"/>
      <c r="R474" s="44"/>
      <c r="S474" s="44"/>
      <c r="T474" s="44"/>
      <c r="U474" s="44"/>
      <c r="V474" s="5"/>
      <c r="W474" s="5"/>
      <c r="Y474" s="44"/>
    </row>
    <row r="475" spans="3:25" ht="15.75" customHeight="1">
      <c r="C475" s="5"/>
      <c r="D475" s="5"/>
      <c r="E475" s="5"/>
      <c r="F475" s="5"/>
      <c r="G475" s="44"/>
      <c r="H475" s="5"/>
      <c r="I475" s="44"/>
      <c r="J475" s="44"/>
      <c r="K475" s="44"/>
      <c r="L475" s="5"/>
      <c r="M475" s="5"/>
      <c r="N475" s="5"/>
      <c r="O475" s="5"/>
      <c r="P475" s="44"/>
      <c r="Q475" s="44"/>
      <c r="R475" s="44"/>
      <c r="S475" s="44"/>
      <c r="T475" s="44"/>
      <c r="U475" s="44"/>
      <c r="V475" s="5"/>
      <c r="W475" s="5"/>
      <c r="Y475" s="44"/>
    </row>
    <row r="476" spans="3:25" ht="15.75" customHeight="1">
      <c r="C476" s="5"/>
      <c r="D476" s="5"/>
      <c r="E476" s="5"/>
      <c r="F476" s="5"/>
      <c r="G476" s="44"/>
      <c r="H476" s="5"/>
      <c r="I476" s="44"/>
      <c r="J476" s="44"/>
      <c r="K476" s="44"/>
      <c r="L476" s="5"/>
      <c r="M476" s="5"/>
      <c r="N476" s="5"/>
      <c r="O476" s="5"/>
      <c r="P476" s="44"/>
      <c r="Q476" s="44"/>
      <c r="R476" s="44"/>
      <c r="S476" s="44"/>
      <c r="T476" s="44"/>
      <c r="U476" s="44"/>
      <c r="V476" s="5"/>
      <c r="W476" s="5"/>
      <c r="Y476" s="44"/>
    </row>
    <row r="477" spans="3:25" ht="15.75" customHeight="1">
      <c r="C477" s="5"/>
      <c r="D477" s="5"/>
      <c r="E477" s="5"/>
      <c r="F477" s="5"/>
      <c r="G477" s="44"/>
      <c r="H477" s="5"/>
      <c r="I477" s="44"/>
      <c r="J477" s="44"/>
      <c r="K477" s="44"/>
      <c r="L477" s="5"/>
      <c r="M477" s="5"/>
      <c r="N477" s="5"/>
      <c r="O477" s="5"/>
      <c r="P477" s="44"/>
      <c r="Q477" s="44"/>
      <c r="R477" s="44"/>
      <c r="S477" s="44"/>
      <c r="T477" s="44"/>
      <c r="U477" s="44"/>
      <c r="V477" s="5"/>
      <c r="W477" s="5"/>
      <c r="Y477" s="44"/>
    </row>
    <row r="478" spans="3:25" ht="15.75" customHeight="1">
      <c r="C478" s="5"/>
      <c r="D478" s="5"/>
      <c r="E478" s="5"/>
      <c r="F478" s="5"/>
      <c r="G478" s="44"/>
      <c r="H478" s="5"/>
      <c r="I478" s="44"/>
      <c r="J478" s="44"/>
      <c r="K478" s="44"/>
      <c r="L478" s="5"/>
      <c r="M478" s="5"/>
      <c r="N478" s="5"/>
      <c r="O478" s="5"/>
      <c r="P478" s="44"/>
      <c r="Q478" s="44"/>
      <c r="R478" s="44"/>
      <c r="S478" s="44"/>
      <c r="T478" s="44"/>
      <c r="U478" s="44"/>
      <c r="V478" s="5"/>
      <c r="W478" s="5"/>
      <c r="Y478" s="44"/>
    </row>
    <row r="479" spans="3:25" ht="15.75" customHeight="1">
      <c r="C479" s="5"/>
      <c r="D479" s="5"/>
      <c r="E479" s="5"/>
      <c r="F479" s="5"/>
      <c r="G479" s="44"/>
      <c r="H479" s="5"/>
      <c r="I479" s="44"/>
      <c r="J479" s="44"/>
      <c r="K479" s="44"/>
      <c r="L479" s="5"/>
      <c r="M479" s="5"/>
      <c r="N479" s="5"/>
      <c r="O479" s="5"/>
      <c r="P479" s="44"/>
      <c r="Q479" s="44"/>
      <c r="R479" s="44"/>
      <c r="S479" s="44"/>
      <c r="T479" s="44"/>
      <c r="U479" s="44"/>
      <c r="V479" s="5"/>
      <c r="W479" s="5"/>
      <c r="Y479" s="44"/>
    </row>
    <row r="480" spans="3:25" ht="15.75" customHeight="1">
      <c r="C480" s="5"/>
      <c r="D480" s="5"/>
      <c r="E480" s="5"/>
      <c r="F480" s="5"/>
      <c r="G480" s="44"/>
      <c r="H480" s="5"/>
      <c r="I480" s="44"/>
      <c r="J480" s="44"/>
      <c r="K480" s="44"/>
      <c r="L480" s="5"/>
      <c r="M480" s="5"/>
      <c r="N480" s="5"/>
      <c r="O480" s="5"/>
      <c r="P480" s="44"/>
      <c r="Q480" s="44"/>
      <c r="R480" s="44"/>
      <c r="S480" s="44"/>
      <c r="T480" s="44"/>
      <c r="U480" s="44"/>
      <c r="V480" s="5"/>
      <c r="W480" s="5"/>
      <c r="Y480" s="44"/>
    </row>
    <row r="481" spans="3:25" ht="15.75" customHeight="1">
      <c r="C481" s="5"/>
      <c r="D481" s="5"/>
      <c r="E481" s="5"/>
      <c r="F481" s="5"/>
      <c r="G481" s="44"/>
      <c r="H481" s="5"/>
      <c r="I481" s="44"/>
      <c r="J481" s="44"/>
      <c r="K481" s="44"/>
      <c r="L481" s="5"/>
      <c r="M481" s="5"/>
      <c r="N481" s="5"/>
      <c r="O481" s="5"/>
      <c r="P481" s="44"/>
      <c r="Q481" s="44"/>
      <c r="R481" s="44"/>
      <c r="S481" s="44"/>
      <c r="T481" s="44"/>
      <c r="U481" s="44"/>
      <c r="V481" s="5"/>
      <c r="W481" s="5"/>
      <c r="Y481" s="44"/>
    </row>
    <row r="482" spans="3:25" ht="15.75" customHeight="1">
      <c r="C482" s="5"/>
      <c r="D482" s="5"/>
      <c r="E482" s="5"/>
      <c r="F482" s="5"/>
      <c r="G482" s="44"/>
      <c r="H482" s="5"/>
      <c r="I482" s="44"/>
      <c r="J482" s="44"/>
      <c r="K482" s="44"/>
      <c r="L482" s="5"/>
      <c r="M482" s="5"/>
      <c r="N482" s="5"/>
      <c r="O482" s="5"/>
      <c r="P482" s="44"/>
      <c r="Q482" s="44"/>
      <c r="R482" s="44"/>
      <c r="S482" s="44"/>
      <c r="T482" s="44"/>
      <c r="U482" s="44"/>
      <c r="V482" s="5"/>
      <c r="W482" s="5"/>
      <c r="Y482" s="44"/>
    </row>
    <row r="483" spans="3:25" ht="15.75" customHeight="1">
      <c r="C483" s="5"/>
      <c r="D483" s="5"/>
      <c r="E483" s="5"/>
      <c r="F483" s="5"/>
      <c r="G483" s="44"/>
      <c r="H483" s="5"/>
      <c r="I483" s="44"/>
      <c r="J483" s="44"/>
      <c r="K483" s="44"/>
      <c r="L483" s="5"/>
      <c r="M483" s="5"/>
      <c r="N483" s="5"/>
      <c r="O483" s="5"/>
      <c r="P483" s="44"/>
      <c r="Q483" s="44"/>
      <c r="R483" s="44"/>
      <c r="S483" s="44"/>
      <c r="T483" s="44"/>
      <c r="U483" s="44"/>
      <c r="V483" s="5"/>
      <c r="W483" s="5"/>
      <c r="Y483" s="44"/>
    </row>
    <row r="484" spans="3:25" ht="15.75" customHeight="1">
      <c r="C484" s="5"/>
      <c r="D484" s="5"/>
      <c r="E484" s="5"/>
      <c r="F484" s="5"/>
      <c r="G484" s="44"/>
      <c r="H484" s="5"/>
      <c r="I484" s="44"/>
      <c r="J484" s="44"/>
      <c r="K484" s="44"/>
      <c r="L484" s="5"/>
      <c r="M484" s="5"/>
      <c r="N484" s="5"/>
      <c r="O484" s="5"/>
      <c r="P484" s="44"/>
      <c r="Q484" s="44"/>
      <c r="R484" s="44"/>
      <c r="S484" s="44"/>
      <c r="T484" s="44"/>
      <c r="U484" s="44"/>
      <c r="V484" s="5"/>
      <c r="W484" s="5"/>
      <c r="Y484" s="44"/>
    </row>
    <row r="485" spans="3:25" ht="15.75" customHeight="1">
      <c r="C485" s="5"/>
      <c r="D485" s="5"/>
      <c r="E485" s="5"/>
      <c r="F485" s="5"/>
      <c r="G485" s="44"/>
      <c r="H485" s="5"/>
      <c r="I485" s="44"/>
      <c r="J485" s="44"/>
      <c r="K485" s="44"/>
      <c r="L485" s="5"/>
      <c r="M485" s="5"/>
      <c r="N485" s="5"/>
      <c r="O485" s="5"/>
      <c r="P485" s="44"/>
      <c r="Q485" s="44"/>
      <c r="R485" s="44"/>
      <c r="S485" s="44"/>
      <c r="T485" s="44"/>
      <c r="U485" s="44"/>
      <c r="V485" s="5"/>
      <c r="W485" s="5"/>
      <c r="Y485" s="44"/>
    </row>
    <row r="486" spans="3:25" ht="15.75" customHeight="1">
      <c r="C486" s="5"/>
      <c r="D486" s="5"/>
      <c r="E486" s="5"/>
      <c r="F486" s="5"/>
      <c r="G486" s="44"/>
      <c r="H486" s="5"/>
      <c r="I486" s="44"/>
      <c r="J486" s="44"/>
      <c r="K486" s="44"/>
      <c r="L486" s="5"/>
      <c r="M486" s="5"/>
      <c r="N486" s="5"/>
      <c r="O486" s="5"/>
      <c r="P486" s="44"/>
      <c r="Q486" s="44"/>
      <c r="R486" s="44"/>
      <c r="S486" s="44"/>
      <c r="T486" s="44"/>
      <c r="U486" s="44"/>
      <c r="V486" s="5"/>
      <c r="W486" s="5"/>
      <c r="Y486" s="44"/>
    </row>
    <row r="487" spans="3:25" ht="15.75" customHeight="1">
      <c r="C487" s="5"/>
      <c r="D487" s="5"/>
      <c r="E487" s="5"/>
      <c r="F487" s="5"/>
      <c r="G487" s="44"/>
      <c r="H487" s="5"/>
      <c r="I487" s="44"/>
      <c r="J487" s="44"/>
      <c r="K487" s="44"/>
      <c r="L487" s="5"/>
      <c r="M487" s="5"/>
      <c r="N487" s="5"/>
      <c r="O487" s="5"/>
      <c r="P487" s="44"/>
      <c r="Q487" s="44"/>
      <c r="R487" s="44"/>
      <c r="S487" s="44"/>
      <c r="T487" s="44"/>
      <c r="U487" s="44"/>
      <c r="V487" s="5"/>
      <c r="W487" s="5"/>
      <c r="Y487" s="44"/>
    </row>
    <row r="488" spans="3:25" ht="15.75" customHeight="1">
      <c r="C488" s="5"/>
      <c r="D488" s="5"/>
      <c r="E488" s="5"/>
      <c r="F488" s="5"/>
      <c r="G488" s="44"/>
      <c r="H488" s="5"/>
      <c r="I488" s="44"/>
      <c r="J488" s="44"/>
      <c r="K488" s="44"/>
      <c r="L488" s="5"/>
      <c r="M488" s="5"/>
      <c r="N488" s="5"/>
      <c r="O488" s="5"/>
      <c r="P488" s="44"/>
      <c r="Q488" s="44"/>
      <c r="R488" s="44"/>
      <c r="S488" s="44"/>
      <c r="T488" s="44"/>
      <c r="U488" s="44"/>
      <c r="V488" s="5"/>
      <c r="W488" s="5"/>
      <c r="Y488" s="44"/>
    </row>
    <row r="489" spans="3:25" ht="15.75" customHeight="1">
      <c r="C489" s="5"/>
      <c r="D489" s="5"/>
      <c r="E489" s="5"/>
      <c r="F489" s="5"/>
      <c r="G489" s="44"/>
      <c r="H489" s="5"/>
      <c r="I489" s="44"/>
      <c r="J489" s="44"/>
      <c r="K489" s="44"/>
      <c r="L489" s="5"/>
      <c r="M489" s="5"/>
      <c r="N489" s="5"/>
      <c r="O489" s="5"/>
      <c r="P489" s="44"/>
      <c r="Q489" s="44"/>
      <c r="R489" s="44"/>
      <c r="S489" s="44"/>
      <c r="T489" s="44"/>
      <c r="U489" s="44"/>
      <c r="V489" s="5"/>
      <c r="W489" s="5"/>
      <c r="Y489" s="44"/>
    </row>
    <row r="490" spans="3:25" ht="15.75" customHeight="1">
      <c r="C490" s="5"/>
      <c r="D490" s="5"/>
      <c r="E490" s="5"/>
      <c r="F490" s="5"/>
      <c r="G490" s="44"/>
      <c r="H490" s="5"/>
      <c r="I490" s="44"/>
      <c r="J490" s="44"/>
      <c r="K490" s="44"/>
      <c r="L490" s="5"/>
      <c r="M490" s="5"/>
      <c r="N490" s="5"/>
      <c r="O490" s="5"/>
      <c r="P490" s="44"/>
      <c r="Q490" s="44"/>
      <c r="R490" s="44"/>
      <c r="S490" s="44"/>
      <c r="T490" s="44"/>
      <c r="U490" s="44"/>
      <c r="V490" s="5"/>
      <c r="W490" s="5"/>
      <c r="Y490" s="44"/>
    </row>
    <row r="491" spans="3:25" ht="15.75" customHeight="1">
      <c r="C491" s="5"/>
      <c r="D491" s="5"/>
      <c r="E491" s="5"/>
      <c r="F491" s="5"/>
      <c r="G491" s="44"/>
      <c r="H491" s="5"/>
      <c r="I491" s="44"/>
      <c r="J491" s="44"/>
      <c r="K491" s="44"/>
      <c r="L491" s="5"/>
      <c r="M491" s="5"/>
      <c r="N491" s="5"/>
      <c r="O491" s="5"/>
      <c r="P491" s="44"/>
      <c r="Q491" s="44"/>
      <c r="R491" s="44"/>
      <c r="S491" s="44"/>
      <c r="T491" s="44"/>
      <c r="U491" s="44"/>
      <c r="V491" s="5"/>
      <c r="W491" s="5"/>
      <c r="Y491" s="44"/>
    </row>
    <row r="492" spans="3:25" ht="15.75" customHeight="1">
      <c r="C492" s="5"/>
      <c r="D492" s="5"/>
      <c r="E492" s="5"/>
      <c r="F492" s="5"/>
      <c r="G492" s="44"/>
      <c r="H492" s="5"/>
      <c r="I492" s="44"/>
      <c r="J492" s="44"/>
      <c r="K492" s="44"/>
      <c r="L492" s="5"/>
      <c r="M492" s="5"/>
      <c r="N492" s="5"/>
      <c r="O492" s="5"/>
      <c r="P492" s="44"/>
      <c r="Q492" s="44"/>
      <c r="R492" s="44"/>
      <c r="S492" s="44"/>
      <c r="T492" s="44"/>
      <c r="U492" s="44"/>
      <c r="V492" s="5"/>
      <c r="W492" s="5"/>
      <c r="Y492" s="44"/>
    </row>
    <row r="493" spans="3:25" ht="15.75" customHeight="1">
      <c r="C493" s="5"/>
      <c r="D493" s="5"/>
      <c r="E493" s="5"/>
      <c r="F493" s="5"/>
      <c r="G493" s="44"/>
      <c r="H493" s="5"/>
      <c r="I493" s="44"/>
      <c r="J493" s="44"/>
      <c r="K493" s="44"/>
      <c r="L493" s="5"/>
      <c r="M493" s="5"/>
      <c r="N493" s="5"/>
      <c r="O493" s="5"/>
      <c r="P493" s="44"/>
      <c r="Q493" s="44"/>
      <c r="R493" s="44"/>
      <c r="S493" s="44"/>
      <c r="T493" s="44"/>
      <c r="U493" s="44"/>
      <c r="V493" s="5"/>
      <c r="W493" s="5"/>
      <c r="Y493" s="44"/>
    </row>
    <row r="494" spans="3:25" ht="15.75" customHeight="1">
      <c r="C494" s="5"/>
      <c r="D494" s="5"/>
      <c r="E494" s="5"/>
      <c r="F494" s="5"/>
      <c r="G494" s="44"/>
      <c r="H494" s="5"/>
      <c r="I494" s="44"/>
      <c r="J494" s="44"/>
      <c r="K494" s="44"/>
      <c r="L494" s="5"/>
      <c r="M494" s="5"/>
      <c r="N494" s="5"/>
      <c r="O494" s="5"/>
      <c r="P494" s="44"/>
      <c r="Q494" s="44"/>
      <c r="R494" s="44"/>
      <c r="S494" s="44"/>
      <c r="T494" s="44"/>
      <c r="U494" s="44"/>
      <c r="V494" s="5"/>
      <c r="W494" s="5"/>
      <c r="Y494" s="44"/>
    </row>
    <row r="495" spans="3:25" ht="15.75" customHeight="1">
      <c r="C495" s="5"/>
      <c r="D495" s="5"/>
      <c r="E495" s="5"/>
      <c r="F495" s="5"/>
      <c r="G495" s="44"/>
      <c r="H495" s="5"/>
      <c r="I495" s="44"/>
      <c r="J495" s="44"/>
      <c r="K495" s="44"/>
      <c r="L495" s="5"/>
      <c r="M495" s="5"/>
      <c r="N495" s="5"/>
      <c r="O495" s="5"/>
      <c r="P495" s="44"/>
      <c r="Q495" s="44"/>
      <c r="R495" s="44"/>
      <c r="S495" s="44"/>
      <c r="T495" s="44"/>
      <c r="U495" s="44"/>
      <c r="V495" s="5"/>
      <c r="W495" s="5"/>
      <c r="Y495" s="44"/>
    </row>
    <row r="496" spans="3:25" ht="15.75" customHeight="1">
      <c r="C496" s="5"/>
      <c r="D496" s="5"/>
      <c r="E496" s="5"/>
      <c r="F496" s="5"/>
      <c r="G496" s="44"/>
      <c r="H496" s="5"/>
      <c r="I496" s="44"/>
      <c r="J496" s="44"/>
      <c r="K496" s="44"/>
      <c r="L496" s="5"/>
      <c r="M496" s="5"/>
      <c r="N496" s="5"/>
      <c r="O496" s="5"/>
      <c r="P496" s="44"/>
      <c r="Q496" s="44"/>
      <c r="R496" s="44"/>
      <c r="S496" s="44"/>
      <c r="T496" s="44"/>
      <c r="U496" s="44"/>
      <c r="V496" s="5"/>
      <c r="W496" s="5"/>
      <c r="Y496" s="44"/>
    </row>
    <row r="497" spans="3:25" ht="15.75" customHeight="1">
      <c r="C497" s="5"/>
      <c r="D497" s="5"/>
      <c r="E497" s="5"/>
      <c r="F497" s="5"/>
      <c r="G497" s="44"/>
      <c r="H497" s="5"/>
      <c r="I497" s="44"/>
      <c r="J497" s="44"/>
      <c r="K497" s="44"/>
      <c r="L497" s="5"/>
      <c r="M497" s="5"/>
      <c r="N497" s="5"/>
      <c r="O497" s="5"/>
      <c r="P497" s="44"/>
      <c r="Q497" s="44"/>
      <c r="R497" s="44"/>
      <c r="S497" s="44"/>
      <c r="T497" s="44"/>
      <c r="U497" s="44"/>
      <c r="V497" s="5"/>
      <c r="W497" s="5"/>
      <c r="Y497" s="44"/>
    </row>
    <row r="498" spans="3:25" ht="15.75" customHeight="1">
      <c r="C498" s="5"/>
      <c r="D498" s="5"/>
      <c r="E498" s="5"/>
      <c r="F498" s="5"/>
      <c r="G498" s="44"/>
      <c r="H498" s="5"/>
      <c r="I498" s="44"/>
      <c r="J498" s="44"/>
      <c r="K498" s="44"/>
      <c r="L498" s="5"/>
      <c r="M498" s="5"/>
      <c r="N498" s="5"/>
      <c r="O498" s="5"/>
      <c r="P498" s="44"/>
      <c r="Q498" s="44"/>
      <c r="R498" s="44"/>
      <c r="S498" s="44"/>
      <c r="T498" s="44"/>
      <c r="U498" s="44"/>
      <c r="V498" s="5"/>
      <c r="W498" s="5"/>
      <c r="Y498" s="44"/>
    </row>
    <row r="499" spans="3:25" ht="15.75" customHeight="1">
      <c r="C499" s="5"/>
      <c r="D499" s="5"/>
      <c r="E499" s="5"/>
      <c r="F499" s="5"/>
      <c r="G499" s="44"/>
      <c r="H499" s="5"/>
      <c r="I499" s="44"/>
      <c r="J499" s="44"/>
      <c r="K499" s="44"/>
      <c r="L499" s="5"/>
      <c r="M499" s="5"/>
      <c r="N499" s="5"/>
      <c r="O499" s="5"/>
      <c r="P499" s="44"/>
      <c r="Q499" s="44"/>
      <c r="R499" s="44"/>
      <c r="S499" s="44"/>
      <c r="T499" s="44"/>
      <c r="U499" s="44"/>
      <c r="V499" s="5"/>
      <c r="W499" s="5"/>
      <c r="Y499" s="44"/>
    </row>
    <row r="500" spans="3:25" ht="15.75" customHeight="1">
      <c r="C500" s="5"/>
      <c r="D500" s="5"/>
      <c r="E500" s="5"/>
      <c r="F500" s="5"/>
      <c r="G500" s="44"/>
      <c r="H500" s="5"/>
      <c r="I500" s="44"/>
      <c r="J500" s="44"/>
      <c r="K500" s="44"/>
      <c r="L500" s="5"/>
      <c r="M500" s="5"/>
      <c r="N500" s="5"/>
      <c r="O500" s="5"/>
      <c r="P500" s="44"/>
      <c r="Q500" s="44"/>
      <c r="R500" s="44"/>
      <c r="S500" s="44"/>
      <c r="T500" s="44"/>
      <c r="U500" s="44"/>
      <c r="V500" s="5"/>
      <c r="W500" s="5"/>
      <c r="Y500" s="44"/>
    </row>
    <row r="501" spans="3:25" ht="15.75" customHeight="1">
      <c r="C501" s="5"/>
      <c r="D501" s="5"/>
      <c r="E501" s="5"/>
      <c r="F501" s="5"/>
      <c r="G501" s="44"/>
      <c r="H501" s="5"/>
      <c r="I501" s="44"/>
      <c r="J501" s="44"/>
      <c r="K501" s="44"/>
      <c r="L501" s="5"/>
      <c r="M501" s="5"/>
      <c r="N501" s="5"/>
      <c r="O501" s="5"/>
      <c r="P501" s="44"/>
      <c r="Q501" s="44"/>
      <c r="R501" s="44"/>
      <c r="S501" s="44"/>
      <c r="T501" s="44"/>
      <c r="U501" s="44"/>
      <c r="V501" s="5"/>
      <c r="W501" s="5"/>
      <c r="Y501" s="44"/>
    </row>
    <row r="502" spans="3:25" ht="15.75" customHeight="1">
      <c r="C502" s="5"/>
      <c r="D502" s="5"/>
      <c r="E502" s="5"/>
      <c r="F502" s="5"/>
      <c r="G502" s="44"/>
      <c r="H502" s="5"/>
      <c r="I502" s="44"/>
      <c r="J502" s="44"/>
      <c r="K502" s="44"/>
      <c r="L502" s="5"/>
      <c r="M502" s="5"/>
      <c r="N502" s="5"/>
      <c r="O502" s="5"/>
      <c r="P502" s="44"/>
      <c r="Q502" s="44"/>
      <c r="R502" s="44"/>
      <c r="S502" s="44"/>
      <c r="T502" s="44"/>
      <c r="U502" s="44"/>
      <c r="V502" s="5"/>
      <c r="W502" s="5"/>
      <c r="Y502" s="44"/>
    </row>
    <row r="503" spans="3:25" ht="15.75" customHeight="1">
      <c r="C503" s="5"/>
      <c r="D503" s="5"/>
      <c r="E503" s="5"/>
      <c r="F503" s="5"/>
      <c r="G503" s="44"/>
      <c r="H503" s="5"/>
      <c r="I503" s="44"/>
      <c r="J503" s="44"/>
      <c r="K503" s="44"/>
      <c r="L503" s="5"/>
      <c r="M503" s="5"/>
      <c r="N503" s="5"/>
      <c r="O503" s="5"/>
      <c r="P503" s="44"/>
      <c r="Q503" s="44"/>
      <c r="R503" s="44"/>
      <c r="S503" s="44"/>
      <c r="T503" s="44"/>
      <c r="U503" s="44"/>
      <c r="V503" s="5"/>
      <c r="W503" s="5"/>
      <c r="Y503" s="44"/>
    </row>
    <row r="504" spans="3:25" ht="15.75" customHeight="1">
      <c r="C504" s="5"/>
      <c r="D504" s="5"/>
      <c r="E504" s="5"/>
      <c r="F504" s="5"/>
      <c r="G504" s="44"/>
      <c r="H504" s="5"/>
      <c r="I504" s="44"/>
      <c r="J504" s="44"/>
      <c r="K504" s="44"/>
      <c r="L504" s="5"/>
      <c r="M504" s="5"/>
      <c r="N504" s="5"/>
      <c r="O504" s="5"/>
      <c r="P504" s="44"/>
      <c r="Q504" s="44"/>
      <c r="R504" s="44"/>
      <c r="S504" s="44"/>
      <c r="T504" s="44"/>
      <c r="U504" s="44"/>
      <c r="V504" s="5"/>
      <c r="W504" s="5"/>
      <c r="Y504" s="44"/>
    </row>
    <row r="505" spans="3:25" ht="15.75" customHeight="1">
      <c r="C505" s="5"/>
      <c r="D505" s="5"/>
      <c r="E505" s="5"/>
      <c r="F505" s="5"/>
      <c r="G505" s="44"/>
      <c r="H505" s="5"/>
      <c r="I505" s="44"/>
      <c r="J505" s="44"/>
      <c r="K505" s="44"/>
      <c r="L505" s="5"/>
      <c r="M505" s="5"/>
      <c r="N505" s="5"/>
      <c r="O505" s="5"/>
      <c r="P505" s="44"/>
      <c r="Q505" s="44"/>
      <c r="R505" s="44"/>
      <c r="S505" s="44"/>
      <c r="T505" s="44"/>
      <c r="U505" s="44"/>
      <c r="V505" s="5"/>
      <c r="W505" s="5"/>
      <c r="Y505" s="44"/>
    </row>
    <row r="506" spans="3:25" ht="15.75" customHeight="1">
      <c r="C506" s="5"/>
      <c r="D506" s="5"/>
      <c r="E506" s="5"/>
      <c r="F506" s="5"/>
      <c r="G506" s="44"/>
      <c r="H506" s="5"/>
      <c r="I506" s="44"/>
      <c r="J506" s="44"/>
      <c r="K506" s="44"/>
      <c r="L506" s="5"/>
      <c r="M506" s="5"/>
      <c r="N506" s="5"/>
      <c r="O506" s="5"/>
      <c r="P506" s="44"/>
      <c r="Q506" s="44"/>
      <c r="R506" s="44"/>
      <c r="S506" s="44"/>
      <c r="T506" s="44"/>
      <c r="U506" s="44"/>
      <c r="V506" s="5"/>
      <c r="W506" s="5"/>
      <c r="Y506" s="44"/>
    </row>
    <row r="507" spans="3:25" ht="15.75" customHeight="1">
      <c r="C507" s="5"/>
      <c r="D507" s="5"/>
      <c r="E507" s="5"/>
      <c r="F507" s="5"/>
      <c r="G507" s="44"/>
      <c r="H507" s="5"/>
      <c r="I507" s="44"/>
      <c r="J507" s="44"/>
      <c r="K507" s="44"/>
      <c r="L507" s="5"/>
      <c r="M507" s="5"/>
      <c r="N507" s="5"/>
      <c r="O507" s="5"/>
      <c r="P507" s="44"/>
      <c r="Q507" s="44"/>
      <c r="R507" s="44"/>
      <c r="S507" s="44"/>
      <c r="T507" s="44"/>
      <c r="U507" s="44"/>
      <c r="V507" s="5"/>
      <c r="W507" s="5"/>
      <c r="Y507" s="44"/>
    </row>
    <row r="508" spans="3:25" ht="15.75" customHeight="1">
      <c r="C508" s="5"/>
      <c r="D508" s="5"/>
      <c r="E508" s="5"/>
      <c r="F508" s="5"/>
      <c r="G508" s="44"/>
      <c r="H508" s="5"/>
      <c r="I508" s="44"/>
      <c r="J508" s="44"/>
      <c r="K508" s="44"/>
      <c r="L508" s="5"/>
      <c r="M508" s="5"/>
      <c r="N508" s="5"/>
      <c r="O508" s="5"/>
      <c r="P508" s="44"/>
      <c r="Q508" s="44"/>
      <c r="R508" s="44"/>
      <c r="S508" s="44"/>
      <c r="T508" s="44"/>
      <c r="U508" s="44"/>
      <c r="V508" s="5"/>
      <c r="W508" s="5"/>
      <c r="Y508" s="44"/>
    </row>
    <row r="509" spans="3:25" ht="15.75" customHeight="1">
      <c r="C509" s="5"/>
      <c r="D509" s="5"/>
      <c r="E509" s="5"/>
      <c r="F509" s="5"/>
      <c r="G509" s="44"/>
      <c r="H509" s="5"/>
      <c r="I509" s="44"/>
      <c r="J509" s="44"/>
      <c r="K509" s="44"/>
      <c r="L509" s="5"/>
      <c r="M509" s="5"/>
      <c r="N509" s="5"/>
      <c r="O509" s="5"/>
      <c r="P509" s="44"/>
      <c r="Q509" s="44"/>
      <c r="R509" s="44"/>
      <c r="S509" s="44"/>
      <c r="T509" s="44"/>
      <c r="U509" s="44"/>
      <c r="V509" s="5"/>
      <c r="W509" s="5"/>
      <c r="Y509" s="44"/>
    </row>
    <row r="510" spans="3:25" ht="15.75" customHeight="1">
      <c r="C510" s="5"/>
      <c r="D510" s="5"/>
      <c r="E510" s="5"/>
      <c r="F510" s="5"/>
      <c r="G510" s="44"/>
      <c r="H510" s="5"/>
      <c r="I510" s="44"/>
      <c r="J510" s="44"/>
      <c r="K510" s="44"/>
      <c r="L510" s="5"/>
      <c r="M510" s="5"/>
      <c r="N510" s="5"/>
      <c r="O510" s="5"/>
      <c r="P510" s="44"/>
      <c r="Q510" s="44"/>
      <c r="R510" s="44"/>
      <c r="S510" s="44"/>
      <c r="T510" s="44"/>
      <c r="U510" s="44"/>
      <c r="V510" s="5"/>
      <c r="W510" s="5"/>
      <c r="Y510" s="44"/>
    </row>
    <row r="511" spans="3:25" ht="15.75" customHeight="1">
      <c r="C511" s="5"/>
      <c r="D511" s="5"/>
      <c r="E511" s="5"/>
      <c r="F511" s="5"/>
      <c r="G511" s="44"/>
      <c r="H511" s="5"/>
      <c r="I511" s="44"/>
      <c r="J511" s="44"/>
      <c r="K511" s="44"/>
      <c r="L511" s="5"/>
      <c r="M511" s="5"/>
      <c r="N511" s="5"/>
      <c r="O511" s="5"/>
      <c r="P511" s="44"/>
      <c r="Q511" s="44"/>
      <c r="R511" s="44"/>
      <c r="S511" s="44"/>
      <c r="T511" s="44"/>
      <c r="U511" s="44"/>
      <c r="V511" s="5"/>
      <c r="W511" s="5"/>
      <c r="Y511" s="44"/>
    </row>
    <row r="512" spans="3:25" ht="15.75" customHeight="1">
      <c r="C512" s="5"/>
      <c r="D512" s="5"/>
      <c r="E512" s="5"/>
      <c r="F512" s="5"/>
      <c r="G512" s="44"/>
      <c r="H512" s="5"/>
      <c r="I512" s="44"/>
      <c r="J512" s="44"/>
      <c r="K512" s="44"/>
      <c r="L512" s="5"/>
      <c r="M512" s="5"/>
      <c r="N512" s="5"/>
      <c r="O512" s="5"/>
      <c r="P512" s="44"/>
      <c r="Q512" s="44"/>
      <c r="R512" s="44"/>
      <c r="S512" s="44"/>
      <c r="T512" s="44"/>
      <c r="U512" s="44"/>
      <c r="V512" s="5"/>
      <c r="W512" s="5"/>
      <c r="Y512" s="44"/>
    </row>
    <row r="513" spans="3:25" ht="15.75" customHeight="1">
      <c r="C513" s="5"/>
      <c r="D513" s="5"/>
      <c r="E513" s="5"/>
      <c r="F513" s="5"/>
      <c r="G513" s="44"/>
      <c r="H513" s="5"/>
      <c r="I513" s="44"/>
      <c r="J513" s="44"/>
      <c r="K513" s="44"/>
      <c r="L513" s="5"/>
      <c r="M513" s="5"/>
      <c r="N513" s="5"/>
      <c r="O513" s="5"/>
      <c r="P513" s="44"/>
      <c r="Q513" s="44"/>
      <c r="R513" s="44"/>
      <c r="S513" s="44"/>
      <c r="T513" s="44"/>
      <c r="U513" s="44"/>
      <c r="V513" s="5"/>
      <c r="W513" s="5"/>
      <c r="Y513" s="44"/>
    </row>
    <row r="514" spans="3:25" ht="15.75" customHeight="1">
      <c r="C514" s="5"/>
      <c r="D514" s="5"/>
      <c r="E514" s="5"/>
      <c r="F514" s="5"/>
      <c r="G514" s="44"/>
      <c r="H514" s="5"/>
      <c r="I514" s="44"/>
      <c r="J514" s="44"/>
      <c r="K514" s="44"/>
      <c r="L514" s="5"/>
      <c r="M514" s="5"/>
      <c r="N514" s="5"/>
      <c r="O514" s="5"/>
      <c r="P514" s="44"/>
      <c r="Q514" s="44"/>
      <c r="R514" s="44"/>
      <c r="S514" s="44"/>
      <c r="T514" s="44"/>
      <c r="U514" s="44"/>
      <c r="V514" s="5"/>
      <c r="W514" s="5"/>
      <c r="Y514" s="44"/>
    </row>
    <row r="515" spans="3:25" ht="15.75" customHeight="1">
      <c r="C515" s="5"/>
      <c r="D515" s="5"/>
      <c r="E515" s="5"/>
      <c r="F515" s="5"/>
      <c r="G515" s="44"/>
      <c r="H515" s="5"/>
      <c r="I515" s="44"/>
      <c r="J515" s="44"/>
      <c r="K515" s="44"/>
      <c r="L515" s="5"/>
      <c r="M515" s="5"/>
      <c r="N515" s="5"/>
      <c r="O515" s="5"/>
      <c r="P515" s="44"/>
      <c r="Q515" s="44"/>
      <c r="R515" s="44"/>
      <c r="S515" s="44"/>
      <c r="T515" s="44"/>
      <c r="U515" s="44"/>
      <c r="V515" s="5"/>
      <c r="W515" s="5"/>
      <c r="Y515" s="44"/>
    </row>
    <row r="516" spans="3:25" ht="15.75" customHeight="1">
      <c r="C516" s="5"/>
      <c r="D516" s="5"/>
      <c r="E516" s="5"/>
      <c r="F516" s="5"/>
      <c r="G516" s="44"/>
      <c r="H516" s="5"/>
      <c r="I516" s="44"/>
      <c r="J516" s="44"/>
      <c r="K516" s="44"/>
      <c r="L516" s="5"/>
      <c r="M516" s="5"/>
      <c r="N516" s="5"/>
      <c r="O516" s="5"/>
      <c r="P516" s="44"/>
      <c r="Q516" s="44"/>
      <c r="R516" s="44"/>
      <c r="S516" s="44"/>
      <c r="T516" s="44"/>
      <c r="U516" s="44"/>
      <c r="V516" s="5"/>
      <c r="W516" s="5"/>
      <c r="Y516" s="44"/>
    </row>
    <row r="517" spans="3:25" ht="15.75" customHeight="1">
      <c r="C517" s="5"/>
      <c r="D517" s="5"/>
      <c r="E517" s="5"/>
      <c r="F517" s="5"/>
      <c r="G517" s="44"/>
      <c r="H517" s="5"/>
      <c r="I517" s="44"/>
      <c r="J517" s="44"/>
      <c r="K517" s="44"/>
      <c r="L517" s="5"/>
      <c r="M517" s="5"/>
      <c r="N517" s="5"/>
      <c r="O517" s="5"/>
      <c r="P517" s="44"/>
      <c r="Q517" s="44"/>
      <c r="R517" s="44"/>
      <c r="S517" s="44"/>
      <c r="T517" s="44"/>
      <c r="U517" s="44"/>
      <c r="V517" s="5"/>
      <c r="W517" s="5"/>
      <c r="Y517" s="44"/>
    </row>
    <row r="518" spans="3:25" ht="15.75" customHeight="1">
      <c r="C518" s="5"/>
      <c r="D518" s="5"/>
      <c r="E518" s="5"/>
      <c r="F518" s="5"/>
      <c r="G518" s="44"/>
      <c r="H518" s="5"/>
      <c r="I518" s="44"/>
      <c r="J518" s="44"/>
      <c r="K518" s="44"/>
      <c r="L518" s="5"/>
      <c r="M518" s="5"/>
      <c r="N518" s="5"/>
      <c r="O518" s="5"/>
      <c r="P518" s="44"/>
      <c r="Q518" s="44"/>
      <c r="R518" s="44"/>
      <c r="S518" s="44"/>
      <c r="T518" s="44"/>
      <c r="U518" s="44"/>
      <c r="V518" s="5"/>
      <c r="W518" s="5"/>
      <c r="Y518" s="44"/>
    </row>
    <row r="519" spans="3:25" ht="15.75" customHeight="1">
      <c r="C519" s="5"/>
      <c r="D519" s="5"/>
      <c r="E519" s="5"/>
      <c r="F519" s="5"/>
      <c r="G519" s="44"/>
      <c r="H519" s="5"/>
      <c r="I519" s="44"/>
      <c r="J519" s="44"/>
      <c r="K519" s="44"/>
      <c r="L519" s="5"/>
      <c r="M519" s="5"/>
      <c r="N519" s="5"/>
      <c r="O519" s="5"/>
      <c r="P519" s="44"/>
      <c r="Q519" s="44"/>
      <c r="R519" s="44"/>
      <c r="S519" s="44"/>
      <c r="T519" s="44"/>
      <c r="U519" s="44"/>
      <c r="V519" s="5"/>
      <c r="W519" s="5"/>
      <c r="Y519" s="44"/>
    </row>
    <row r="520" spans="3:25" ht="15.75" customHeight="1">
      <c r="C520" s="5"/>
      <c r="D520" s="5"/>
      <c r="E520" s="5"/>
      <c r="F520" s="5"/>
      <c r="G520" s="44"/>
      <c r="H520" s="5"/>
      <c r="I520" s="44"/>
      <c r="J520" s="44"/>
      <c r="K520" s="44"/>
      <c r="L520" s="5"/>
      <c r="M520" s="5"/>
      <c r="N520" s="5"/>
      <c r="O520" s="5"/>
      <c r="P520" s="44"/>
      <c r="Q520" s="44"/>
      <c r="R520" s="44"/>
      <c r="S520" s="44"/>
      <c r="T520" s="44"/>
      <c r="U520" s="44"/>
      <c r="V520" s="5"/>
      <c r="W520" s="5"/>
      <c r="Y520" s="44"/>
    </row>
    <row r="521" spans="3:25" ht="15.75" customHeight="1">
      <c r="C521" s="5"/>
      <c r="D521" s="5"/>
      <c r="E521" s="5"/>
      <c r="F521" s="5"/>
      <c r="G521" s="44"/>
      <c r="H521" s="5"/>
      <c r="I521" s="44"/>
      <c r="J521" s="44"/>
      <c r="K521" s="44"/>
      <c r="L521" s="5"/>
      <c r="M521" s="5"/>
      <c r="N521" s="5"/>
      <c r="O521" s="5"/>
      <c r="P521" s="44"/>
      <c r="Q521" s="44"/>
      <c r="R521" s="44"/>
      <c r="S521" s="44"/>
      <c r="T521" s="44"/>
      <c r="U521" s="44"/>
      <c r="V521" s="5"/>
      <c r="W521" s="5"/>
      <c r="Y521" s="44"/>
    </row>
    <row r="522" spans="3:25" ht="15.75" customHeight="1">
      <c r="C522" s="5"/>
      <c r="D522" s="5"/>
      <c r="E522" s="5"/>
      <c r="F522" s="5"/>
      <c r="G522" s="44"/>
      <c r="H522" s="5"/>
      <c r="I522" s="44"/>
      <c r="J522" s="44"/>
      <c r="K522" s="44"/>
      <c r="L522" s="5"/>
      <c r="M522" s="5"/>
      <c r="N522" s="5"/>
      <c r="O522" s="5"/>
      <c r="P522" s="44"/>
      <c r="Q522" s="44"/>
      <c r="R522" s="44"/>
      <c r="S522" s="44"/>
      <c r="T522" s="44"/>
      <c r="U522" s="44"/>
      <c r="V522" s="5"/>
      <c r="W522" s="5"/>
      <c r="Y522" s="44"/>
    </row>
    <row r="523" spans="3:25" ht="15.75" customHeight="1">
      <c r="C523" s="5"/>
      <c r="D523" s="5"/>
      <c r="E523" s="5"/>
      <c r="F523" s="5"/>
      <c r="G523" s="44"/>
      <c r="H523" s="5"/>
      <c r="I523" s="44"/>
      <c r="J523" s="44"/>
      <c r="K523" s="44"/>
      <c r="L523" s="5"/>
      <c r="M523" s="5"/>
      <c r="N523" s="5"/>
      <c r="O523" s="5"/>
      <c r="P523" s="44"/>
      <c r="Q523" s="44"/>
      <c r="R523" s="44"/>
      <c r="S523" s="44"/>
      <c r="T523" s="44"/>
      <c r="U523" s="44"/>
      <c r="V523" s="5"/>
      <c r="W523" s="5"/>
      <c r="Y523" s="44"/>
    </row>
    <row r="524" spans="3:25" ht="15.75" customHeight="1">
      <c r="C524" s="5"/>
      <c r="D524" s="5"/>
      <c r="E524" s="5"/>
      <c r="F524" s="5"/>
      <c r="G524" s="44"/>
      <c r="H524" s="5"/>
      <c r="I524" s="44"/>
      <c r="J524" s="44"/>
      <c r="K524" s="44"/>
      <c r="L524" s="5"/>
      <c r="M524" s="5"/>
      <c r="N524" s="5"/>
      <c r="O524" s="5"/>
      <c r="P524" s="44"/>
      <c r="Q524" s="44"/>
      <c r="R524" s="44"/>
      <c r="S524" s="44"/>
      <c r="T524" s="44"/>
      <c r="U524" s="44"/>
      <c r="V524" s="5"/>
      <c r="W524" s="5"/>
      <c r="Y524" s="44"/>
    </row>
    <row r="525" spans="3:25" ht="15.75" customHeight="1">
      <c r="C525" s="5"/>
      <c r="D525" s="5"/>
      <c r="E525" s="5"/>
      <c r="F525" s="5"/>
      <c r="G525" s="44"/>
      <c r="H525" s="5"/>
      <c r="I525" s="44"/>
      <c r="J525" s="44"/>
      <c r="K525" s="44"/>
      <c r="L525" s="5"/>
      <c r="M525" s="5"/>
      <c r="N525" s="5"/>
      <c r="O525" s="5"/>
      <c r="P525" s="44"/>
      <c r="Q525" s="44"/>
      <c r="R525" s="44"/>
      <c r="S525" s="44"/>
      <c r="T525" s="44"/>
      <c r="U525" s="44"/>
      <c r="V525" s="5"/>
      <c r="W525" s="5"/>
      <c r="Y525" s="44"/>
    </row>
    <row r="526" spans="3:25" ht="15.75" customHeight="1">
      <c r="C526" s="5"/>
      <c r="D526" s="5"/>
      <c r="E526" s="5"/>
      <c r="F526" s="5"/>
      <c r="G526" s="44"/>
      <c r="H526" s="5"/>
      <c r="I526" s="44"/>
      <c r="J526" s="44"/>
      <c r="K526" s="44"/>
      <c r="L526" s="5"/>
      <c r="M526" s="5"/>
      <c r="N526" s="5"/>
      <c r="O526" s="5"/>
      <c r="P526" s="44"/>
      <c r="Q526" s="44"/>
      <c r="R526" s="44"/>
      <c r="S526" s="44"/>
      <c r="T526" s="44"/>
      <c r="U526" s="44"/>
      <c r="V526" s="5"/>
      <c r="W526" s="5"/>
      <c r="Y526" s="44"/>
    </row>
    <row r="527" spans="3:25" ht="15.75" customHeight="1">
      <c r="C527" s="5"/>
      <c r="D527" s="5"/>
      <c r="E527" s="5"/>
      <c r="F527" s="5"/>
      <c r="G527" s="44"/>
      <c r="H527" s="5"/>
      <c r="I527" s="44"/>
      <c r="J527" s="44"/>
      <c r="K527" s="44"/>
      <c r="L527" s="5"/>
      <c r="M527" s="5"/>
      <c r="N527" s="5"/>
      <c r="O527" s="5"/>
      <c r="P527" s="44"/>
      <c r="Q527" s="44"/>
      <c r="R527" s="44"/>
      <c r="S527" s="44"/>
      <c r="T527" s="44"/>
      <c r="U527" s="44"/>
      <c r="V527" s="5"/>
      <c r="W527" s="5"/>
      <c r="Y527" s="44"/>
    </row>
    <row r="528" spans="3:25" ht="15.75" customHeight="1">
      <c r="C528" s="5"/>
      <c r="D528" s="5"/>
      <c r="E528" s="5"/>
      <c r="F528" s="5"/>
      <c r="G528" s="44"/>
      <c r="H528" s="5"/>
      <c r="I528" s="44"/>
      <c r="J528" s="44"/>
      <c r="K528" s="44"/>
      <c r="L528" s="5"/>
      <c r="M528" s="5"/>
      <c r="N528" s="5"/>
      <c r="O528" s="5"/>
      <c r="P528" s="44"/>
      <c r="Q528" s="44"/>
      <c r="R528" s="44"/>
      <c r="S528" s="44"/>
      <c r="T528" s="44"/>
      <c r="U528" s="44"/>
      <c r="V528" s="5"/>
      <c r="W528" s="5"/>
      <c r="Y528" s="44"/>
    </row>
    <row r="529" spans="3:25" ht="15.75" customHeight="1">
      <c r="C529" s="5"/>
      <c r="D529" s="5"/>
      <c r="E529" s="5"/>
      <c r="F529" s="5"/>
      <c r="G529" s="44"/>
      <c r="H529" s="5"/>
      <c r="I529" s="44"/>
      <c r="J529" s="44"/>
      <c r="K529" s="44"/>
      <c r="L529" s="5"/>
      <c r="M529" s="5"/>
      <c r="N529" s="5"/>
      <c r="O529" s="5"/>
      <c r="P529" s="44"/>
      <c r="Q529" s="44"/>
      <c r="R529" s="44"/>
      <c r="S529" s="44"/>
      <c r="T529" s="44"/>
      <c r="U529" s="44"/>
      <c r="V529" s="5"/>
      <c r="W529" s="5"/>
      <c r="Y529" s="44"/>
    </row>
    <row r="530" spans="3:25" ht="15.75" customHeight="1">
      <c r="C530" s="5"/>
      <c r="D530" s="5"/>
      <c r="E530" s="5"/>
      <c r="F530" s="5"/>
      <c r="G530" s="44"/>
      <c r="H530" s="5"/>
      <c r="I530" s="44"/>
      <c r="J530" s="44"/>
      <c r="K530" s="44"/>
      <c r="L530" s="5"/>
      <c r="M530" s="5"/>
      <c r="N530" s="5"/>
      <c r="O530" s="5"/>
      <c r="P530" s="44"/>
      <c r="Q530" s="44"/>
      <c r="R530" s="44"/>
      <c r="S530" s="44"/>
      <c r="T530" s="44"/>
      <c r="U530" s="44"/>
      <c r="V530" s="5"/>
      <c r="W530" s="5"/>
      <c r="Y530" s="44"/>
    </row>
    <row r="531" spans="3:25" ht="15.75" customHeight="1">
      <c r="C531" s="5"/>
      <c r="D531" s="5"/>
      <c r="E531" s="5"/>
      <c r="F531" s="5"/>
      <c r="G531" s="44"/>
      <c r="H531" s="5"/>
      <c r="I531" s="44"/>
      <c r="J531" s="44"/>
      <c r="K531" s="44"/>
      <c r="L531" s="5"/>
      <c r="M531" s="5"/>
      <c r="N531" s="5"/>
      <c r="O531" s="5"/>
      <c r="P531" s="44"/>
      <c r="Q531" s="44"/>
      <c r="R531" s="44"/>
      <c r="S531" s="44"/>
      <c r="T531" s="44"/>
      <c r="U531" s="44"/>
      <c r="V531" s="5"/>
      <c r="W531" s="5"/>
      <c r="Y531" s="44"/>
    </row>
    <row r="532" spans="3:25" ht="15.75" customHeight="1">
      <c r="C532" s="5"/>
      <c r="D532" s="5"/>
      <c r="E532" s="5"/>
      <c r="F532" s="5"/>
      <c r="G532" s="44"/>
      <c r="H532" s="5"/>
      <c r="I532" s="44"/>
      <c r="J532" s="44"/>
      <c r="K532" s="44"/>
      <c r="L532" s="5"/>
      <c r="M532" s="5"/>
      <c r="N532" s="5"/>
      <c r="O532" s="5"/>
      <c r="P532" s="44"/>
      <c r="Q532" s="44"/>
      <c r="R532" s="44"/>
      <c r="S532" s="44"/>
      <c r="T532" s="44"/>
      <c r="U532" s="44"/>
      <c r="V532" s="5"/>
      <c r="W532" s="5"/>
      <c r="Y532" s="44"/>
    </row>
    <row r="533" spans="3:25" ht="15.75" customHeight="1">
      <c r="C533" s="5"/>
      <c r="D533" s="5"/>
      <c r="E533" s="5"/>
      <c r="F533" s="5"/>
      <c r="G533" s="44"/>
      <c r="H533" s="5"/>
      <c r="I533" s="44"/>
      <c r="J533" s="44"/>
      <c r="K533" s="44"/>
      <c r="L533" s="5"/>
      <c r="M533" s="5"/>
      <c r="N533" s="5"/>
      <c r="O533" s="5"/>
      <c r="P533" s="44"/>
      <c r="Q533" s="44"/>
      <c r="R533" s="44"/>
      <c r="S533" s="44"/>
      <c r="T533" s="44"/>
      <c r="U533" s="44"/>
      <c r="V533" s="5"/>
      <c r="W533" s="5"/>
      <c r="Y533" s="44"/>
    </row>
    <row r="534" spans="3:25" ht="15.75" customHeight="1">
      <c r="C534" s="5"/>
      <c r="D534" s="5"/>
      <c r="E534" s="5"/>
      <c r="F534" s="5"/>
      <c r="G534" s="44"/>
      <c r="H534" s="5"/>
      <c r="I534" s="44"/>
      <c r="J534" s="44"/>
      <c r="K534" s="44"/>
      <c r="L534" s="5"/>
      <c r="M534" s="5"/>
      <c r="N534" s="5"/>
      <c r="O534" s="5"/>
      <c r="P534" s="44"/>
      <c r="Q534" s="44"/>
      <c r="R534" s="44"/>
      <c r="S534" s="44"/>
      <c r="T534" s="44"/>
      <c r="U534" s="44"/>
      <c r="V534" s="5"/>
      <c r="W534" s="5"/>
      <c r="Y534" s="44"/>
    </row>
    <row r="535" spans="3:25" ht="15.75" customHeight="1">
      <c r="C535" s="5"/>
      <c r="D535" s="5"/>
      <c r="E535" s="5"/>
      <c r="F535" s="5"/>
      <c r="G535" s="44"/>
      <c r="H535" s="5"/>
      <c r="I535" s="44"/>
      <c r="J535" s="44"/>
      <c r="K535" s="44"/>
      <c r="L535" s="5"/>
      <c r="M535" s="5"/>
      <c r="N535" s="5"/>
      <c r="O535" s="5"/>
      <c r="P535" s="44"/>
      <c r="Q535" s="44"/>
      <c r="R535" s="44"/>
      <c r="S535" s="44"/>
      <c r="T535" s="44"/>
      <c r="U535" s="44"/>
      <c r="V535" s="5"/>
      <c r="W535" s="5"/>
      <c r="Y535" s="44"/>
    </row>
    <row r="536" spans="3:25" ht="15.75" customHeight="1">
      <c r="C536" s="5"/>
      <c r="D536" s="5"/>
      <c r="E536" s="5"/>
      <c r="F536" s="5"/>
      <c r="G536" s="44"/>
      <c r="H536" s="5"/>
      <c r="I536" s="44"/>
      <c r="J536" s="44"/>
      <c r="K536" s="44"/>
      <c r="L536" s="5"/>
      <c r="M536" s="5"/>
      <c r="N536" s="5"/>
      <c r="O536" s="5"/>
      <c r="P536" s="44"/>
      <c r="Q536" s="44"/>
      <c r="R536" s="44"/>
      <c r="S536" s="44"/>
      <c r="T536" s="44"/>
      <c r="U536" s="44"/>
      <c r="V536" s="5"/>
      <c r="W536" s="5"/>
      <c r="Y536" s="44"/>
    </row>
    <row r="537" spans="3:25" ht="15.75" customHeight="1">
      <c r="C537" s="5"/>
      <c r="D537" s="5"/>
      <c r="E537" s="5"/>
      <c r="F537" s="5"/>
      <c r="G537" s="44"/>
      <c r="H537" s="5"/>
      <c r="I537" s="44"/>
      <c r="J537" s="44"/>
      <c r="K537" s="44"/>
      <c r="L537" s="5"/>
      <c r="M537" s="5"/>
      <c r="N537" s="5"/>
      <c r="O537" s="5"/>
      <c r="P537" s="44"/>
      <c r="Q537" s="44"/>
      <c r="R537" s="44"/>
      <c r="S537" s="44"/>
      <c r="T537" s="44"/>
      <c r="U537" s="44"/>
      <c r="V537" s="5"/>
      <c r="W537" s="5"/>
      <c r="Y537" s="44"/>
    </row>
    <row r="538" spans="3:25" ht="15.75" customHeight="1">
      <c r="C538" s="5"/>
      <c r="D538" s="5"/>
      <c r="E538" s="5"/>
      <c r="F538" s="5"/>
      <c r="G538" s="44"/>
      <c r="H538" s="5"/>
      <c r="I538" s="44"/>
      <c r="J538" s="44"/>
      <c r="K538" s="44"/>
      <c r="L538" s="5"/>
      <c r="M538" s="5"/>
      <c r="N538" s="5"/>
      <c r="O538" s="5"/>
      <c r="P538" s="44"/>
      <c r="Q538" s="44"/>
      <c r="R538" s="44"/>
      <c r="S538" s="44"/>
      <c r="T538" s="44"/>
      <c r="U538" s="44"/>
      <c r="V538" s="5"/>
      <c r="W538" s="5"/>
      <c r="Y538" s="44"/>
    </row>
    <row r="539" spans="3:25" ht="15.75" customHeight="1">
      <c r="C539" s="5"/>
      <c r="D539" s="5"/>
      <c r="E539" s="5"/>
      <c r="F539" s="5"/>
      <c r="G539" s="44"/>
      <c r="H539" s="5"/>
      <c r="I539" s="44"/>
      <c r="J539" s="44"/>
      <c r="K539" s="44"/>
      <c r="L539" s="5"/>
      <c r="M539" s="5"/>
      <c r="N539" s="5"/>
      <c r="O539" s="5"/>
      <c r="P539" s="44"/>
      <c r="Q539" s="44"/>
      <c r="R539" s="44"/>
      <c r="S539" s="44"/>
      <c r="T539" s="44"/>
      <c r="U539" s="44"/>
      <c r="V539" s="5"/>
      <c r="W539" s="5"/>
      <c r="Y539" s="44"/>
    </row>
    <row r="540" spans="3:25" ht="15.75" customHeight="1">
      <c r="C540" s="5"/>
      <c r="D540" s="5"/>
      <c r="E540" s="5"/>
      <c r="F540" s="5"/>
      <c r="G540" s="44"/>
      <c r="H540" s="5"/>
      <c r="I540" s="44"/>
      <c r="J540" s="44"/>
      <c r="K540" s="44"/>
      <c r="L540" s="5"/>
      <c r="M540" s="5"/>
      <c r="N540" s="5"/>
      <c r="O540" s="5"/>
      <c r="P540" s="44"/>
      <c r="Q540" s="44"/>
      <c r="R540" s="44"/>
      <c r="S540" s="44"/>
      <c r="T540" s="44"/>
      <c r="U540" s="44"/>
      <c r="V540" s="5"/>
      <c r="W540" s="5"/>
      <c r="Y540" s="44"/>
    </row>
    <row r="541" spans="3:25" ht="15.75" customHeight="1">
      <c r="C541" s="5"/>
      <c r="D541" s="5"/>
      <c r="E541" s="5"/>
      <c r="F541" s="5"/>
      <c r="G541" s="44"/>
      <c r="H541" s="5"/>
      <c r="I541" s="44"/>
      <c r="J541" s="44"/>
      <c r="K541" s="44"/>
      <c r="L541" s="5"/>
      <c r="M541" s="5"/>
      <c r="N541" s="5"/>
      <c r="O541" s="5"/>
      <c r="P541" s="44"/>
      <c r="Q541" s="44"/>
      <c r="R541" s="44"/>
      <c r="S541" s="44"/>
      <c r="T541" s="44"/>
      <c r="U541" s="44"/>
      <c r="V541" s="5"/>
      <c r="W541" s="5"/>
      <c r="Y541" s="44"/>
    </row>
    <row r="542" spans="3:25" ht="15.75" customHeight="1">
      <c r="C542" s="5"/>
      <c r="D542" s="5"/>
      <c r="E542" s="5"/>
      <c r="F542" s="5"/>
      <c r="G542" s="44"/>
      <c r="H542" s="5"/>
      <c r="I542" s="44"/>
      <c r="J542" s="44"/>
      <c r="K542" s="44"/>
      <c r="L542" s="5"/>
      <c r="M542" s="5"/>
      <c r="N542" s="5"/>
      <c r="O542" s="5"/>
      <c r="P542" s="44"/>
      <c r="Q542" s="44"/>
      <c r="R542" s="44"/>
      <c r="S542" s="44"/>
      <c r="T542" s="44"/>
      <c r="U542" s="44"/>
      <c r="V542" s="5"/>
      <c r="W542" s="5"/>
      <c r="Y542" s="44"/>
    </row>
    <row r="543" spans="3:25" ht="15.75" customHeight="1">
      <c r="C543" s="5"/>
      <c r="D543" s="5"/>
      <c r="E543" s="5"/>
      <c r="F543" s="5"/>
      <c r="G543" s="44"/>
      <c r="H543" s="5"/>
      <c r="I543" s="44"/>
      <c r="J543" s="44"/>
      <c r="K543" s="44"/>
      <c r="L543" s="5"/>
      <c r="M543" s="5"/>
      <c r="N543" s="5"/>
      <c r="O543" s="5"/>
      <c r="P543" s="44"/>
      <c r="Q543" s="44"/>
      <c r="R543" s="44"/>
      <c r="S543" s="44"/>
      <c r="T543" s="44"/>
      <c r="U543" s="44"/>
      <c r="V543" s="5"/>
      <c r="W543" s="5"/>
      <c r="Y543" s="44"/>
    </row>
    <row r="544" spans="3:25" ht="15.75" customHeight="1">
      <c r="C544" s="5"/>
      <c r="D544" s="5"/>
      <c r="E544" s="5"/>
      <c r="F544" s="5"/>
      <c r="G544" s="44"/>
      <c r="H544" s="5"/>
      <c r="I544" s="44"/>
      <c r="J544" s="44"/>
      <c r="K544" s="44"/>
      <c r="L544" s="5"/>
      <c r="M544" s="5"/>
      <c r="N544" s="5"/>
      <c r="O544" s="5"/>
      <c r="P544" s="44"/>
      <c r="Q544" s="44"/>
      <c r="R544" s="44"/>
      <c r="S544" s="44"/>
      <c r="T544" s="44"/>
      <c r="U544" s="44"/>
      <c r="V544" s="5"/>
      <c r="W544" s="5"/>
      <c r="Y544" s="44"/>
    </row>
    <row r="545" spans="3:25" ht="15.75" customHeight="1">
      <c r="C545" s="5"/>
      <c r="D545" s="5"/>
      <c r="E545" s="5"/>
      <c r="F545" s="5"/>
      <c r="G545" s="44"/>
      <c r="H545" s="5"/>
      <c r="I545" s="44"/>
      <c r="J545" s="44"/>
      <c r="K545" s="44"/>
      <c r="L545" s="5"/>
      <c r="M545" s="5"/>
      <c r="N545" s="5"/>
      <c r="O545" s="5"/>
      <c r="P545" s="44"/>
      <c r="Q545" s="44"/>
      <c r="R545" s="44"/>
      <c r="S545" s="44"/>
      <c r="T545" s="44"/>
      <c r="U545" s="44"/>
      <c r="V545" s="5"/>
      <c r="W545" s="5"/>
      <c r="Y545" s="44"/>
    </row>
    <row r="546" spans="3:25" ht="15.75" customHeight="1">
      <c r="C546" s="5"/>
      <c r="D546" s="5"/>
      <c r="E546" s="5"/>
      <c r="F546" s="5"/>
      <c r="G546" s="44"/>
      <c r="H546" s="5"/>
      <c r="I546" s="44"/>
      <c r="J546" s="44"/>
      <c r="K546" s="44"/>
      <c r="L546" s="5"/>
      <c r="M546" s="5"/>
      <c r="N546" s="5"/>
      <c r="O546" s="5"/>
      <c r="P546" s="44"/>
      <c r="Q546" s="44"/>
      <c r="R546" s="44"/>
      <c r="S546" s="44"/>
      <c r="T546" s="44"/>
      <c r="U546" s="44"/>
      <c r="V546" s="5"/>
      <c r="W546" s="5"/>
      <c r="Y546" s="44"/>
    </row>
    <row r="547" spans="3:25" ht="15.75" customHeight="1">
      <c r="C547" s="5"/>
      <c r="D547" s="5"/>
      <c r="E547" s="5"/>
      <c r="F547" s="5"/>
      <c r="G547" s="44"/>
      <c r="H547" s="5"/>
      <c r="I547" s="44"/>
      <c r="J547" s="44"/>
      <c r="K547" s="44"/>
      <c r="L547" s="5"/>
      <c r="M547" s="5"/>
      <c r="N547" s="5"/>
      <c r="O547" s="5"/>
      <c r="P547" s="44"/>
      <c r="Q547" s="44"/>
      <c r="R547" s="44"/>
      <c r="S547" s="44"/>
      <c r="T547" s="44"/>
      <c r="U547" s="44"/>
      <c r="V547" s="5"/>
      <c r="W547" s="5"/>
      <c r="Y547" s="44"/>
    </row>
    <row r="548" spans="3:25" ht="15.75" customHeight="1">
      <c r="C548" s="5"/>
      <c r="D548" s="5"/>
      <c r="E548" s="5"/>
      <c r="F548" s="5"/>
      <c r="G548" s="44"/>
      <c r="H548" s="5"/>
      <c r="I548" s="44"/>
      <c r="J548" s="44"/>
      <c r="K548" s="44"/>
      <c r="L548" s="5"/>
      <c r="M548" s="5"/>
      <c r="N548" s="5"/>
      <c r="O548" s="5"/>
      <c r="P548" s="44"/>
      <c r="Q548" s="44"/>
      <c r="R548" s="44"/>
      <c r="S548" s="44"/>
      <c r="T548" s="44"/>
      <c r="U548" s="44"/>
      <c r="V548" s="5"/>
      <c r="W548" s="5"/>
      <c r="Y548" s="44"/>
    </row>
    <row r="549" spans="3:25" ht="15.75" customHeight="1">
      <c r="C549" s="5"/>
      <c r="D549" s="5"/>
      <c r="E549" s="5"/>
      <c r="F549" s="5"/>
      <c r="G549" s="44"/>
      <c r="H549" s="5"/>
      <c r="I549" s="44"/>
      <c r="J549" s="44"/>
      <c r="K549" s="44"/>
      <c r="L549" s="5"/>
      <c r="M549" s="5"/>
      <c r="N549" s="5"/>
      <c r="O549" s="5"/>
      <c r="P549" s="44"/>
      <c r="Q549" s="44"/>
      <c r="R549" s="44"/>
      <c r="S549" s="44"/>
      <c r="T549" s="44"/>
      <c r="U549" s="44"/>
      <c r="V549" s="5"/>
      <c r="W549" s="5"/>
      <c r="Y549" s="44"/>
    </row>
    <row r="550" spans="3:25" ht="15.75" customHeight="1">
      <c r="C550" s="5"/>
      <c r="D550" s="5"/>
      <c r="E550" s="5"/>
      <c r="F550" s="5"/>
      <c r="G550" s="44"/>
      <c r="H550" s="5"/>
      <c r="I550" s="44"/>
      <c r="J550" s="44"/>
      <c r="K550" s="44"/>
      <c r="L550" s="5"/>
      <c r="M550" s="5"/>
      <c r="N550" s="5"/>
      <c r="O550" s="5"/>
      <c r="P550" s="44"/>
      <c r="Q550" s="44"/>
      <c r="R550" s="44"/>
      <c r="S550" s="44"/>
      <c r="T550" s="44"/>
      <c r="U550" s="44"/>
      <c r="V550" s="5"/>
      <c r="W550" s="5"/>
      <c r="Y550" s="44"/>
    </row>
    <row r="551" spans="3:25" ht="15.75" customHeight="1">
      <c r="C551" s="5"/>
      <c r="D551" s="5"/>
      <c r="E551" s="5"/>
      <c r="F551" s="5"/>
      <c r="G551" s="44"/>
      <c r="H551" s="5"/>
      <c r="I551" s="44"/>
      <c r="J551" s="44"/>
      <c r="K551" s="44"/>
      <c r="L551" s="5"/>
      <c r="M551" s="5"/>
      <c r="N551" s="5"/>
      <c r="O551" s="5"/>
      <c r="P551" s="44"/>
      <c r="Q551" s="44"/>
      <c r="R551" s="44"/>
      <c r="S551" s="44"/>
      <c r="T551" s="44"/>
      <c r="U551" s="44"/>
      <c r="V551" s="5"/>
      <c r="W551" s="5"/>
      <c r="Y551" s="44"/>
    </row>
    <row r="552" spans="3:25" ht="15.75" customHeight="1">
      <c r="C552" s="5"/>
      <c r="D552" s="5"/>
      <c r="E552" s="5"/>
      <c r="F552" s="5"/>
      <c r="G552" s="44"/>
      <c r="H552" s="5"/>
      <c r="I552" s="44"/>
      <c r="J552" s="44"/>
      <c r="K552" s="44"/>
      <c r="L552" s="5"/>
      <c r="M552" s="5"/>
      <c r="N552" s="5"/>
      <c r="O552" s="5"/>
      <c r="P552" s="44"/>
      <c r="Q552" s="44"/>
      <c r="R552" s="44"/>
      <c r="S552" s="44"/>
      <c r="T552" s="44"/>
      <c r="U552" s="44"/>
      <c r="V552" s="5"/>
      <c r="W552" s="5"/>
      <c r="Y552" s="44"/>
    </row>
    <row r="553" spans="3:25" ht="15.75" customHeight="1">
      <c r="C553" s="5"/>
      <c r="D553" s="5"/>
      <c r="E553" s="5"/>
      <c r="F553" s="5"/>
      <c r="G553" s="44"/>
      <c r="H553" s="5"/>
      <c r="I553" s="44"/>
      <c r="J553" s="44"/>
      <c r="K553" s="44"/>
      <c r="L553" s="5"/>
      <c r="M553" s="5"/>
      <c r="N553" s="5"/>
      <c r="O553" s="5"/>
      <c r="P553" s="44"/>
      <c r="Q553" s="44"/>
      <c r="R553" s="44"/>
      <c r="S553" s="44"/>
      <c r="T553" s="44"/>
      <c r="U553" s="44"/>
      <c r="V553" s="5"/>
      <c r="W553" s="5"/>
      <c r="Y553" s="44"/>
    </row>
    <row r="554" spans="3:25" ht="15.75" customHeight="1">
      <c r="C554" s="5"/>
      <c r="D554" s="5"/>
      <c r="E554" s="5"/>
      <c r="F554" s="5"/>
      <c r="G554" s="44"/>
      <c r="H554" s="5"/>
      <c r="I554" s="44"/>
      <c r="J554" s="44"/>
      <c r="K554" s="44"/>
      <c r="L554" s="5"/>
      <c r="M554" s="5"/>
      <c r="N554" s="5"/>
      <c r="O554" s="5"/>
      <c r="P554" s="44"/>
      <c r="Q554" s="44"/>
      <c r="R554" s="44"/>
      <c r="S554" s="44"/>
      <c r="T554" s="44"/>
      <c r="U554" s="44"/>
      <c r="V554" s="5"/>
      <c r="W554" s="5"/>
      <c r="Y554" s="44"/>
    </row>
    <row r="555" spans="3:25" ht="15.75" customHeight="1">
      <c r="C555" s="5"/>
      <c r="D555" s="5"/>
      <c r="E555" s="5"/>
      <c r="F555" s="5"/>
      <c r="G555" s="44"/>
      <c r="H555" s="5"/>
      <c r="I555" s="44"/>
      <c r="J555" s="44"/>
      <c r="K555" s="44"/>
      <c r="L555" s="5"/>
      <c r="M555" s="5"/>
      <c r="N555" s="5"/>
      <c r="O555" s="5"/>
      <c r="P555" s="44"/>
      <c r="Q555" s="44"/>
      <c r="R555" s="44"/>
      <c r="S555" s="44"/>
      <c r="T555" s="44"/>
      <c r="U555" s="44"/>
      <c r="V555" s="5"/>
      <c r="W555" s="5"/>
      <c r="Y555" s="44"/>
    </row>
    <row r="556" spans="3:25" ht="15.75" customHeight="1">
      <c r="C556" s="5"/>
      <c r="D556" s="5"/>
      <c r="E556" s="5"/>
      <c r="F556" s="5"/>
      <c r="G556" s="44"/>
      <c r="H556" s="5"/>
      <c r="I556" s="44"/>
      <c r="J556" s="44"/>
      <c r="K556" s="44"/>
      <c r="L556" s="5"/>
      <c r="M556" s="5"/>
      <c r="N556" s="5"/>
      <c r="O556" s="5"/>
      <c r="P556" s="44"/>
      <c r="Q556" s="44"/>
      <c r="R556" s="44"/>
      <c r="S556" s="44"/>
      <c r="T556" s="44"/>
      <c r="U556" s="44"/>
      <c r="V556" s="5"/>
      <c r="W556" s="5"/>
      <c r="Y556" s="44"/>
    </row>
    <row r="557" spans="3:25" ht="15.75" customHeight="1">
      <c r="C557" s="5"/>
      <c r="D557" s="5"/>
      <c r="E557" s="5"/>
      <c r="F557" s="5"/>
      <c r="G557" s="44"/>
      <c r="H557" s="5"/>
      <c r="I557" s="44"/>
      <c r="J557" s="44"/>
      <c r="K557" s="44"/>
      <c r="L557" s="5"/>
      <c r="M557" s="5"/>
      <c r="N557" s="5"/>
      <c r="O557" s="5"/>
      <c r="P557" s="44"/>
      <c r="Q557" s="44"/>
      <c r="R557" s="44"/>
      <c r="S557" s="44"/>
      <c r="T557" s="44"/>
      <c r="U557" s="44"/>
      <c r="V557" s="5"/>
      <c r="W557" s="5"/>
      <c r="Y557" s="44"/>
    </row>
    <row r="558" spans="3:25" ht="15.75" customHeight="1">
      <c r="C558" s="5"/>
      <c r="D558" s="5"/>
      <c r="E558" s="5"/>
      <c r="F558" s="5"/>
      <c r="G558" s="44"/>
      <c r="H558" s="5"/>
      <c r="I558" s="44"/>
      <c r="J558" s="44"/>
      <c r="K558" s="44"/>
      <c r="L558" s="5"/>
      <c r="M558" s="5"/>
      <c r="N558" s="5"/>
      <c r="O558" s="5"/>
      <c r="P558" s="44"/>
      <c r="Q558" s="44"/>
      <c r="R558" s="44"/>
      <c r="S558" s="44"/>
      <c r="T558" s="44"/>
      <c r="U558" s="44"/>
      <c r="V558" s="5"/>
      <c r="W558" s="5"/>
      <c r="Y558" s="44"/>
    </row>
    <row r="559" spans="3:25" ht="15.75" customHeight="1">
      <c r="C559" s="5"/>
      <c r="D559" s="5"/>
      <c r="E559" s="5"/>
      <c r="F559" s="5"/>
      <c r="G559" s="44"/>
      <c r="H559" s="5"/>
      <c r="I559" s="44"/>
      <c r="J559" s="44"/>
      <c r="K559" s="44"/>
      <c r="L559" s="5"/>
      <c r="M559" s="5"/>
      <c r="N559" s="5"/>
      <c r="O559" s="5"/>
      <c r="P559" s="44"/>
      <c r="Q559" s="44"/>
      <c r="R559" s="44"/>
      <c r="S559" s="44"/>
      <c r="T559" s="44"/>
      <c r="U559" s="44"/>
      <c r="V559" s="5"/>
      <c r="W559" s="5"/>
      <c r="Y559" s="44"/>
    </row>
    <row r="560" spans="3:25" ht="15.75" customHeight="1">
      <c r="C560" s="5"/>
      <c r="D560" s="5"/>
      <c r="E560" s="5"/>
      <c r="F560" s="5"/>
      <c r="G560" s="44"/>
      <c r="H560" s="5"/>
      <c r="I560" s="44"/>
      <c r="J560" s="44"/>
      <c r="K560" s="44"/>
      <c r="L560" s="5"/>
      <c r="M560" s="5"/>
      <c r="N560" s="5"/>
      <c r="O560" s="5"/>
      <c r="P560" s="44"/>
      <c r="Q560" s="44"/>
      <c r="R560" s="44"/>
      <c r="S560" s="44"/>
      <c r="T560" s="44"/>
      <c r="U560" s="44"/>
      <c r="V560" s="5"/>
      <c r="W560" s="5"/>
      <c r="Y560" s="44"/>
    </row>
    <row r="561" spans="3:25" ht="15.75" customHeight="1">
      <c r="C561" s="5"/>
      <c r="D561" s="5"/>
      <c r="E561" s="5"/>
      <c r="F561" s="5"/>
      <c r="G561" s="44"/>
      <c r="H561" s="5"/>
      <c r="I561" s="44"/>
      <c r="J561" s="44"/>
      <c r="K561" s="44"/>
      <c r="L561" s="5"/>
      <c r="M561" s="5"/>
      <c r="N561" s="5"/>
      <c r="O561" s="5"/>
      <c r="P561" s="44"/>
      <c r="Q561" s="44"/>
      <c r="R561" s="44"/>
      <c r="S561" s="44"/>
      <c r="T561" s="44"/>
      <c r="U561" s="44"/>
      <c r="V561" s="5"/>
      <c r="W561" s="5"/>
      <c r="Y561" s="44"/>
    </row>
    <row r="562" spans="3:25" ht="15.75" customHeight="1">
      <c r="C562" s="5"/>
      <c r="D562" s="5"/>
      <c r="E562" s="5"/>
      <c r="F562" s="5"/>
      <c r="G562" s="44"/>
      <c r="H562" s="5"/>
      <c r="I562" s="44"/>
      <c r="J562" s="44"/>
      <c r="K562" s="44"/>
      <c r="L562" s="5"/>
      <c r="M562" s="5"/>
      <c r="N562" s="5"/>
      <c r="O562" s="5"/>
      <c r="P562" s="44"/>
      <c r="Q562" s="44"/>
      <c r="R562" s="44"/>
      <c r="S562" s="44"/>
      <c r="T562" s="44"/>
      <c r="U562" s="44"/>
      <c r="V562" s="5"/>
      <c r="W562" s="5"/>
      <c r="Y562" s="44"/>
    </row>
    <row r="563" spans="3:25" ht="15.75" customHeight="1">
      <c r="C563" s="5"/>
      <c r="D563" s="5"/>
      <c r="E563" s="5"/>
      <c r="F563" s="5"/>
      <c r="G563" s="44"/>
      <c r="H563" s="5"/>
      <c r="I563" s="44"/>
      <c r="J563" s="44"/>
      <c r="K563" s="44"/>
      <c r="L563" s="5"/>
      <c r="M563" s="5"/>
      <c r="N563" s="5"/>
      <c r="O563" s="5"/>
      <c r="P563" s="44"/>
      <c r="Q563" s="44"/>
      <c r="R563" s="44"/>
      <c r="S563" s="44"/>
      <c r="T563" s="44"/>
      <c r="U563" s="44"/>
      <c r="V563" s="5"/>
      <c r="W563" s="5"/>
      <c r="Y563" s="44"/>
    </row>
    <row r="564" spans="3:25" ht="15.75" customHeight="1">
      <c r="C564" s="5"/>
      <c r="D564" s="5"/>
      <c r="E564" s="5"/>
      <c r="F564" s="5"/>
      <c r="G564" s="44"/>
      <c r="H564" s="5"/>
      <c r="I564" s="44"/>
      <c r="J564" s="44"/>
      <c r="K564" s="44"/>
      <c r="L564" s="5"/>
      <c r="M564" s="5"/>
      <c r="N564" s="5"/>
      <c r="O564" s="5"/>
      <c r="P564" s="44"/>
      <c r="Q564" s="44"/>
      <c r="R564" s="44"/>
      <c r="S564" s="44"/>
      <c r="T564" s="44"/>
      <c r="U564" s="44"/>
      <c r="V564" s="5"/>
      <c r="W564" s="5"/>
      <c r="Y564" s="44"/>
    </row>
    <row r="565" spans="3:25" ht="15.75" customHeight="1">
      <c r="C565" s="5"/>
      <c r="D565" s="5"/>
      <c r="E565" s="5"/>
      <c r="F565" s="5"/>
      <c r="G565" s="44"/>
      <c r="H565" s="5"/>
      <c r="I565" s="44"/>
      <c r="J565" s="44"/>
      <c r="K565" s="44"/>
      <c r="L565" s="5"/>
      <c r="M565" s="5"/>
      <c r="N565" s="5"/>
      <c r="O565" s="5"/>
      <c r="P565" s="44"/>
      <c r="Q565" s="44"/>
      <c r="R565" s="44"/>
      <c r="S565" s="44"/>
      <c r="T565" s="44"/>
      <c r="U565" s="44"/>
      <c r="V565" s="5"/>
      <c r="W565" s="5"/>
      <c r="Y565" s="44"/>
    </row>
    <row r="566" spans="3:25" ht="15.75" customHeight="1">
      <c r="C566" s="5"/>
      <c r="D566" s="5"/>
      <c r="E566" s="5"/>
      <c r="F566" s="5"/>
      <c r="G566" s="44"/>
      <c r="H566" s="5"/>
      <c r="I566" s="44"/>
      <c r="J566" s="44"/>
      <c r="K566" s="44"/>
      <c r="L566" s="5"/>
      <c r="M566" s="5"/>
      <c r="N566" s="5"/>
      <c r="O566" s="5"/>
      <c r="P566" s="44"/>
      <c r="Q566" s="44"/>
      <c r="R566" s="44"/>
      <c r="S566" s="44"/>
      <c r="T566" s="44"/>
      <c r="U566" s="44"/>
      <c r="V566" s="5"/>
      <c r="W566" s="5"/>
      <c r="Y566" s="44"/>
    </row>
    <row r="567" spans="3:25" ht="15.75" customHeight="1">
      <c r="C567" s="5"/>
      <c r="D567" s="5"/>
      <c r="E567" s="5"/>
      <c r="F567" s="5"/>
      <c r="G567" s="44"/>
      <c r="H567" s="5"/>
      <c r="I567" s="44"/>
      <c r="J567" s="44"/>
      <c r="K567" s="44"/>
      <c r="L567" s="5"/>
      <c r="M567" s="5"/>
      <c r="N567" s="5"/>
      <c r="O567" s="5"/>
      <c r="P567" s="44"/>
      <c r="Q567" s="44"/>
      <c r="R567" s="44"/>
      <c r="S567" s="44"/>
      <c r="T567" s="44"/>
      <c r="U567" s="44"/>
      <c r="V567" s="5"/>
      <c r="W567" s="5"/>
      <c r="Y567" s="44"/>
    </row>
    <row r="568" spans="3:25" ht="15.75" customHeight="1">
      <c r="C568" s="5"/>
      <c r="D568" s="5"/>
      <c r="E568" s="5"/>
      <c r="F568" s="5"/>
      <c r="G568" s="44"/>
      <c r="H568" s="5"/>
      <c r="I568" s="44"/>
      <c r="J568" s="44"/>
      <c r="K568" s="44"/>
      <c r="L568" s="5"/>
      <c r="M568" s="5"/>
      <c r="N568" s="5"/>
      <c r="O568" s="5"/>
      <c r="P568" s="44"/>
      <c r="Q568" s="44"/>
      <c r="R568" s="44"/>
      <c r="S568" s="44"/>
      <c r="T568" s="44"/>
      <c r="U568" s="44"/>
      <c r="V568" s="5"/>
      <c r="W568" s="5"/>
      <c r="Y568" s="44"/>
    </row>
    <row r="569" spans="3:25" ht="15.75" customHeight="1">
      <c r="C569" s="5"/>
      <c r="D569" s="5"/>
      <c r="E569" s="5"/>
      <c r="F569" s="5"/>
      <c r="G569" s="44"/>
      <c r="H569" s="5"/>
      <c r="I569" s="44"/>
      <c r="J569" s="44"/>
      <c r="K569" s="44"/>
      <c r="L569" s="5"/>
      <c r="M569" s="5"/>
      <c r="N569" s="5"/>
      <c r="O569" s="5"/>
      <c r="P569" s="44"/>
      <c r="Q569" s="44"/>
      <c r="R569" s="44"/>
      <c r="S569" s="44"/>
      <c r="T569" s="44"/>
      <c r="U569" s="44"/>
      <c r="V569" s="5"/>
      <c r="W569" s="5"/>
      <c r="Y569" s="44"/>
    </row>
    <row r="570" spans="3:25" ht="15.75" customHeight="1">
      <c r="C570" s="5"/>
      <c r="D570" s="5"/>
      <c r="E570" s="5"/>
      <c r="F570" s="5"/>
      <c r="G570" s="44"/>
      <c r="H570" s="5"/>
      <c r="I570" s="44"/>
      <c r="J570" s="44"/>
      <c r="K570" s="44"/>
      <c r="L570" s="5"/>
      <c r="M570" s="5"/>
      <c r="N570" s="5"/>
      <c r="O570" s="5"/>
      <c r="P570" s="44"/>
      <c r="Q570" s="44"/>
      <c r="R570" s="44"/>
      <c r="S570" s="44"/>
      <c r="T570" s="44"/>
      <c r="U570" s="44"/>
      <c r="V570" s="5"/>
      <c r="W570" s="5"/>
      <c r="Y570" s="44"/>
    </row>
    <row r="571" spans="3:25" ht="15.75" customHeight="1">
      <c r="C571" s="5"/>
      <c r="D571" s="5"/>
      <c r="E571" s="5"/>
      <c r="F571" s="5"/>
      <c r="G571" s="44"/>
      <c r="H571" s="5"/>
      <c r="I571" s="44"/>
      <c r="J571" s="44"/>
      <c r="K571" s="44"/>
      <c r="L571" s="5"/>
      <c r="M571" s="5"/>
      <c r="N571" s="5"/>
      <c r="O571" s="5"/>
      <c r="P571" s="44"/>
      <c r="Q571" s="44"/>
      <c r="R571" s="44"/>
      <c r="S571" s="44"/>
      <c r="T571" s="44"/>
      <c r="U571" s="44"/>
      <c r="V571" s="5"/>
      <c r="W571" s="5"/>
      <c r="Y571" s="44"/>
    </row>
    <row r="572" spans="3:25" ht="15.75" customHeight="1">
      <c r="C572" s="5"/>
      <c r="D572" s="5"/>
      <c r="E572" s="5"/>
      <c r="F572" s="5"/>
      <c r="G572" s="44"/>
      <c r="H572" s="5"/>
      <c r="I572" s="44"/>
      <c r="J572" s="44"/>
      <c r="K572" s="44"/>
      <c r="L572" s="5"/>
      <c r="M572" s="5"/>
      <c r="N572" s="5"/>
      <c r="O572" s="5"/>
      <c r="P572" s="44"/>
      <c r="Q572" s="44"/>
      <c r="R572" s="44"/>
      <c r="S572" s="44"/>
      <c r="T572" s="44"/>
      <c r="U572" s="44"/>
      <c r="V572" s="5"/>
      <c r="W572" s="5"/>
      <c r="Y572" s="44"/>
    </row>
    <row r="573" spans="3:25" ht="15.75" customHeight="1">
      <c r="C573" s="5"/>
      <c r="D573" s="5"/>
      <c r="E573" s="5"/>
      <c r="F573" s="5"/>
      <c r="G573" s="44"/>
      <c r="H573" s="5"/>
      <c r="I573" s="44"/>
      <c r="J573" s="44"/>
      <c r="K573" s="44"/>
      <c r="L573" s="5"/>
      <c r="M573" s="5"/>
      <c r="N573" s="5"/>
      <c r="O573" s="5"/>
      <c r="P573" s="44"/>
      <c r="Q573" s="44"/>
      <c r="R573" s="44"/>
      <c r="S573" s="44"/>
      <c r="T573" s="44"/>
      <c r="U573" s="44"/>
      <c r="V573" s="5"/>
      <c r="W573" s="5"/>
      <c r="Y573" s="44"/>
    </row>
    <row r="574" spans="3:25" ht="15.75" customHeight="1">
      <c r="C574" s="5"/>
      <c r="D574" s="5"/>
      <c r="E574" s="5"/>
      <c r="F574" s="5"/>
      <c r="G574" s="44"/>
      <c r="H574" s="5"/>
      <c r="I574" s="44"/>
      <c r="J574" s="44"/>
      <c r="K574" s="44"/>
      <c r="L574" s="5"/>
      <c r="M574" s="5"/>
      <c r="N574" s="5"/>
      <c r="O574" s="5"/>
      <c r="P574" s="44"/>
      <c r="Q574" s="44"/>
      <c r="R574" s="44"/>
      <c r="S574" s="44"/>
      <c r="T574" s="44"/>
      <c r="U574" s="44"/>
      <c r="V574" s="5"/>
      <c r="W574" s="5"/>
      <c r="Y574" s="44"/>
    </row>
    <row r="575" spans="3:25" ht="15.75" customHeight="1">
      <c r="C575" s="5"/>
      <c r="D575" s="5"/>
      <c r="E575" s="5"/>
      <c r="F575" s="5"/>
      <c r="G575" s="44"/>
      <c r="H575" s="5"/>
      <c r="I575" s="44"/>
      <c r="J575" s="44"/>
      <c r="K575" s="44"/>
      <c r="L575" s="5"/>
      <c r="M575" s="5"/>
      <c r="N575" s="5"/>
      <c r="O575" s="5"/>
      <c r="P575" s="44"/>
      <c r="Q575" s="44"/>
      <c r="R575" s="44"/>
      <c r="S575" s="44"/>
      <c r="T575" s="44"/>
      <c r="U575" s="44"/>
      <c r="V575" s="5"/>
      <c r="W575" s="5"/>
      <c r="Y575" s="44"/>
    </row>
    <row r="576" spans="3:25" ht="15.75" customHeight="1">
      <c r="C576" s="5"/>
      <c r="D576" s="5"/>
      <c r="E576" s="5"/>
      <c r="F576" s="5"/>
      <c r="G576" s="44"/>
      <c r="H576" s="5"/>
      <c r="I576" s="44"/>
      <c r="J576" s="44"/>
      <c r="K576" s="44"/>
      <c r="L576" s="5"/>
      <c r="M576" s="5"/>
      <c r="N576" s="5"/>
      <c r="O576" s="5"/>
      <c r="P576" s="44"/>
      <c r="Q576" s="44"/>
      <c r="R576" s="44"/>
      <c r="S576" s="44"/>
      <c r="T576" s="44"/>
      <c r="U576" s="44"/>
      <c r="V576" s="5"/>
      <c r="W576" s="5"/>
      <c r="Y576" s="44"/>
    </row>
    <row r="577" spans="3:25" ht="15.75" customHeight="1">
      <c r="C577" s="5"/>
      <c r="D577" s="5"/>
      <c r="E577" s="5"/>
      <c r="F577" s="5"/>
      <c r="G577" s="44"/>
      <c r="H577" s="5"/>
      <c r="I577" s="44"/>
      <c r="J577" s="44"/>
      <c r="K577" s="44"/>
      <c r="L577" s="5"/>
      <c r="M577" s="5"/>
      <c r="N577" s="5"/>
      <c r="O577" s="5"/>
      <c r="P577" s="44"/>
      <c r="Q577" s="44"/>
      <c r="R577" s="44"/>
      <c r="S577" s="44"/>
      <c r="T577" s="44"/>
      <c r="U577" s="44"/>
      <c r="V577" s="5"/>
      <c r="W577" s="5"/>
      <c r="Y577" s="44"/>
    </row>
    <row r="578" spans="3:25" ht="15.75" customHeight="1">
      <c r="C578" s="5"/>
      <c r="D578" s="5"/>
      <c r="E578" s="5"/>
      <c r="F578" s="5"/>
      <c r="G578" s="44"/>
      <c r="H578" s="5"/>
      <c r="I578" s="44"/>
      <c r="J578" s="44"/>
      <c r="K578" s="44"/>
      <c r="L578" s="5"/>
      <c r="M578" s="5"/>
      <c r="N578" s="5"/>
      <c r="O578" s="5"/>
      <c r="P578" s="44"/>
      <c r="Q578" s="44"/>
      <c r="R578" s="44"/>
      <c r="S578" s="44"/>
      <c r="T578" s="44"/>
      <c r="U578" s="44"/>
      <c r="V578" s="5"/>
      <c r="W578" s="5"/>
      <c r="Y578" s="44"/>
    </row>
    <row r="579" spans="3:25" ht="15.75" customHeight="1">
      <c r="C579" s="5"/>
      <c r="D579" s="5"/>
      <c r="E579" s="5"/>
      <c r="F579" s="5"/>
      <c r="G579" s="44"/>
      <c r="H579" s="5"/>
      <c r="I579" s="44"/>
      <c r="J579" s="44"/>
      <c r="K579" s="44"/>
      <c r="L579" s="5"/>
      <c r="M579" s="5"/>
      <c r="N579" s="5"/>
      <c r="O579" s="5"/>
      <c r="P579" s="44"/>
      <c r="Q579" s="44"/>
      <c r="R579" s="44"/>
      <c r="S579" s="44"/>
      <c r="T579" s="44"/>
      <c r="U579" s="44"/>
      <c r="V579" s="5"/>
      <c r="W579" s="5"/>
      <c r="Y579" s="44"/>
    </row>
    <row r="580" spans="3:25" ht="15.75" customHeight="1">
      <c r="C580" s="5"/>
      <c r="D580" s="5"/>
      <c r="E580" s="5"/>
      <c r="F580" s="5"/>
      <c r="G580" s="44"/>
      <c r="H580" s="5"/>
      <c r="I580" s="44"/>
      <c r="J580" s="44"/>
      <c r="K580" s="44"/>
      <c r="L580" s="5"/>
      <c r="M580" s="5"/>
      <c r="N580" s="5"/>
      <c r="O580" s="5"/>
      <c r="P580" s="44"/>
      <c r="Q580" s="44"/>
      <c r="R580" s="44"/>
      <c r="S580" s="44"/>
      <c r="T580" s="44"/>
      <c r="U580" s="44"/>
      <c r="V580" s="5"/>
      <c r="W580" s="5"/>
      <c r="Y580" s="44"/>
    </row>
    <row r="581" spans="3:25" ht="15.75" customHeight="1">
      <c r="C581" s="5"/>
      <c r="D581" s="5"/>
      <c r="E581" s="5"/>
      <c r="F581" s="5"/>
      <c r="G581" s="44"/>
      <c r="H581" s="5"/>
      <c r="I581" s="44"/>
      <c r="J581" s="44"/>
      <c r="K581" s="44"/>
      <c r="L581" s="5"/>
      <c r="M581" s="5"/>
      <c r="N581" s="5"/>
      <c r="O581" s="5"/>
      <c r="P581" s="44"/>
      <c r="Q581" s="44"/>
      <c r="R581" s="44"/>
      <c r="S581" s="44"/>
      <c r="T581" s="44"/>
      <c r="U581" s="44"/>
      <c r="V581" s="5"/>
      <c r="W581" s="5"/>
      <c r="Y581" s="44"/>
    </row>
    <row r="582" spans="3:25" ht="15.75" customHeight="1">
      <c r="C582" s="5"/>
      <c r="D582" s="5"/>
      <c r="E582" s="5"/>
      <c r="F582" s="5"/>
      <c r="G582" s="44"/>
      <c r="H582" s="5"/>
      <c r="I582" s="44"/>
      <c r="J582" s="44"/>
      <c r="K582" s="44"/>
      <c r="L582" s="5"/>
      <c r="M582" s="5"/>
      <c r="N582" s="5"/>
      <c r="O582" s="5"/>
      <c r="P582" s="44"/>
      <c r="Q582" s="44"/>
      <c r="R582" s="44"/>
      <c r="S582" s="44"/>
      <c r="T582" s="44"/>
      <c r="U582" s="44"/>
      <c r="V582" s="5"/>
      <c r="W582" s="5"/>
      <c r="Y582" s="44"/>
    </row>
    <row r="583" spans="3:25" ht="15.75" customHeight="1">
      <c r="C583" s="5"/>
      <c r="D583" s="5"/>
      <c r="E583" s="5"/>
      <c r="F583" s="5"/>
      <c r="G583" s="44"/>
      <c r="H583" s="5"/>
      <c r="I583" s="44"/>
      <c r="J583" s="44"/>
      <c r="K583" s="44"/>
      <c r="L583" s="5"/>
      <c r="M583" s="5"/>
      <c r="N583" s="5"/>
      <c r="O583" s="5"/>
      <c r="P583" s="44"/>
      <c r="Q583" s="44"/>
      <c r="R583" s="44"/>
      <c r="S583" s="44"/>
      <c r="T583" s="44"/>
      <c r="U583" s="44"/>
      <c r="V583" s="5"/>
      <c r="W583" s="5"/>
      <c r="Y583" s="44"/>
    </row>
    <row r="584" spans="3:25" ht="15.75" customHeight="1">
      <c r="C584" s="5"/>
      <c r="D584" s="5"/>
      <c r="E584" s="5"/>
      <c r="F584" s="5"/>
      <c r="G584" s="44"/>
      <c r="H584" s="5"/>
      <c r="I584" s="44"/>
      <c r="J584" s="44"/>
      <c r="K584" s="44"/>
      <c r="L584" s="5"/>
      <c r="M584" s="5"/>
      <c r="N584" s="5"/>
      <c r="O584" s="5"/>
      <c r="P584" s="44"/>
      <c r="Q584" s="44"/>
      <c r="R584" s="44"/>
      <c r="S584" s="44"/>
      <c r="T584" s="44"/>
      <c r="U584" s="44"/>
      <c r="V584" s="5"/>
      <c r="W584" s="5"/>
      <c r="Y584" s="44"/>
    </row>
    <row r="585" spans="3:25" ht="15.75" customHeight="1">
      <c r="C585" s="5"/>
      <c r="D585" s="5"/>
      <c r="E585" s="5"/>
      <c r="F585" s="5"/>
      <c r="G585" s="44"/>
      <c r="H585" s="5"/>
      <c r="I585" s="44"/>
      <c r="J585" s="44"/>
      <c r="K585" s="44"/>
      <c r="L585" s="5"/>
      <c r="M585" s="5"/>
      <c r="N585" s="5"/>
      <c r="O585" s="5"/>
      <c r="P585" s="44"/>
      <c r="Q585" s="44"/>
      <c r="R585" s="44"/>
      <c r="S585" s="44"/>
      <c r="T585" s="44"/>
      <c r="U585" s="44"/>
      <c r="V585" s="5"/>
      <c r="W585" s="5"/>
      <c r="Y585" s="44"/>
    </row>
    <row r="586" spans="3:25" ht="15.75" customHeight="1">
      <c r="C586" s="5"/>
      <c r="D586" s="5"/>
      <c r="E586" s="5"/>
      <c r="F586" s="5"/>
      <c r="G586" s="44"/>
      <c r="H586" s="5"/>
      <c r="I586" s="44"/>
      <c r="J586" s="44"/>
      <c r="K586" s="44"/>
      <c r="L586" s="5"/>
      <c r="M586" s="5"/>
      <c r="N586" s="5"/>
      <c r="O586" s="5"/>
      <c r="P586" s="44"/>
      <c r="Q586" s="44"/>
      <c r="R586" s="44"/>
      <c r="S586" s="44"/>
      <c r="T586" s="44"/>
      <c r="U586" s="44"/>
      <c r="V586" s="5"/>
      <c r="W586" s="5"/>
      <c r="Y586" s="44"/>
    </row>
    <row r="587" spans="3:25" ht="15.75" customHeight="1">
      <c r="C587" s="5"/>
      <c r="D587" s="5"/>
      <c r="E587" s="5"/>
      <c r="F587" s="5"/>
      <c r="G587" s="44"/>
      <c r="H587" s="5"/>
      <c r="I587" s="44"/>
      <c r="J587" s="44"/>
      <c r="K587" s="44"/>
      <c r="L587" s="5"/>
      <c r="M587" s="5"/>
      <c r="N587" s="5"/>
      <c r="O587" s="5"/>
      <c r="P587" s="44"/>
      <c r="Q587" s="44"/>
      <c r="R587" s="44"/>
      <c r="S587" s="44"/>
      <c r="T587" s="44"/>
      <c r="U587" s="44"/>
      <c r="V587" s="5"/>
      <c r="W587" s="5"/>
      <c r="Y587" s="44"/>
    </row>
    <row r="588" spans="3:25" ht="15.75" customHeight="1">
      <c r="C588" s="5"/>
      <c r="D588" s="5"/>
      <c r="E588" s="5"/>
      <c r="F588" s="5"/>
      <c r="G588" s="44"/>
      <c r="H588" s="5"/>
      <c r="I588" s="44"/>
      <c r="J588" s="44"/>
      <c r="K588" s="44"/>
      <c r="L588" s="5"/>
      <c r="M588" s="5"/>
      <c r="N588" s="5"/>
      <c r="O588" s="5"/>
      <c r="P588" s="44"/>
      <c r="Q588" s="44"/>
      <c r="R588" s="44"/>
      <c r="S588" s="44"/>
      <c r="T588" s="44"/>
      <c r="U588" s="44"/>
      <c r="V588" s="5"/>
      <c r="W588" s="5"/>
      <c r="Y588" s="44"/>
    </row>
    <row r="589" spans="3:25" ht="15.75" customHeight="1">
      <c r="C589" s="5"/>
      <c r="D589" s="5"/>
      <c r="E589" s="5"/>
      <c r="F589" s="5"/>
      <c r="G589" s="44"/>
      <c r="H589" s="5"/>
      <c r="I589" s="44"/>
      <c r="J589" s="44"/>
      <c r="K589" s="44"/>
      <c r="L589" s="5"/>
      <c r="M589" s="5"/>
      <c r="N589" s="5"/>
      <c r="O589" s="5"/>
      <c r="P589" s="44"/>
      <c r="Q589" s="44"/>
      <c r="R589" s="44"/>
      <c r="S589" s="44"/>
      <c r="T589" s="44"/>
      <c r="U589" s="44"/>
      <c r="V589" s="5"/>
      <c r="W589" s="5"/>
      <c r="Y589" s="44"/>
    </row>
    <row r="590" spans="3:25" ht="15.75" customHeight="1">
      <c r="C590" s="5"/>
      <c r="D590" s="5"/>
      <c r="E590" s="5"/>
      <c r="F590" s="5"/>
      <c r="G590" s="44"/>
      <c r="H590" s="5"/>
      <c r="I590" s="44"/>
      <c r="J590" s="44"/>
      <c r="K590" s="44"/>
      <c r="L590" s="5"/>
      <c r="M590" s="5"/>
      <c r="N590" s="5"/>
      <c r="O590" s="5"/>
      <c r="P590" s="44"/>
      <c r="Q590" s="44"/>
      <c r="R590" s="44"/>
      <c r="S590" s="44"/>
      <c r="T590" s="44"/>
      <c r="U590" s="44"/>
      <c r="V590" s="5"/>
      <c r="W590" s="5"/>
      <c r="Y590" s="44"/>
    </row>
    <row r="591" spans="3:25" ht="15.75" customHeight="1">
      <c r="C591" s="5"/>
      <c r="D591" s="5"/>
      <c r="E591" s="5"/>
      <c r="F591" s="5"/>
      <c r="G591" s="44"/>
      <c r="H591" s="5"/>
      <c r="I591" s="44"/>
      <c r="J591" s="44"/>
      <c r="K591" s="44"/>
      <c r="L591" s="5"/>
      <c r="M591" s="5"/>
      <c r="N591" s="5"/>
      <c r="O591" s="5"/>
      <c r="P591" s="44"/>
      <c r="Q591" s="44"/>
      <c r="R591" s="44"/>
      <c r="S591" s="44"/>
      <c r="T591" s="44"/>
      <c r="U591" s="44"/>
      <c r="V591" s="5"/>
      <c r="W591" s="5"/>
      <c r="Y591" s="44"/>
    </row>
    <row r="592" spans="3:25" ht="15.75" customHeight="1">
      <c r="C592" s="5"/>
      <c r="D592" s="5"/>
      <c r="E592" s="5"/>
      <c r="F592" s="5"/>
      <c r="G592" s="44"/>
      <c r="H592" s="5"/>
      <c r="I592" s="44"/>
      <c r="J592" s="44"/>
      <c r="K592" s="44"/>
      <c r="L592" s="5"/>
      <c r="M592" s="5"/>
      <c r="N592" s="5"/>
      <c r="O592" s="5"/>
      <c r="P592" s="44"/>
      <c r="Q592" s="44"/>
      <c r="R592" s="44"/>
      <c r="S592" s="44"/>
      <c r="T592" s="44"/>
      <c r="U592" s="44"/>
      <c r="V592" s="5"/>
      <c r="W592" s="5"/>
      <c r="Y592" s="44"/>
    </row>
    <row r="593" spans="3:25" ht="15.75" customHeight="1">
      <c r="C593" s="5"/>
      <c r="D593" s="5"/>
      <c r="E593" s="5"/>
      <c r="F593" s="5"/>
      <c r="G593" s="44"/>
      <c r="H593" s="5"/>
      <c r="I593" s="44"/>
      <c r="J593" s="44"/>
      <c r="K593" s="44"/>
      <c r="L593" s="5"/>
      <c r="M593" s="5"/>
      <c r="N593" s="5"/>
      <c r="O593" s="5"/>
      <c r="P593" s="44"/>
      <c r="Q593" s="44"/>
      <c r="R593" s="44"/>
      <c r="S593" s="44"/>
      <c r="T593" s="44"/>
      <c r="U593" s="44"/>
      <c r="V593" s="5"/>
      <c r="W593" s="5"/>
      <c r="Y593" s="44"/>
    </row>
    <row r="594" spans="3:25" ht="15.75" customHeight="1">
      <c r="C594" s="5"/>
      <c r="D594" s="5"/>
      <c r="E594" s="5"/>
      <c r="F594" s="5"/>
      <c r="G594" s="44"/>
      <c r="H594" s="5"/>
      <c r="I594" s="44"/>
      <c r="J594" s="44"/>
      <c r="K594" s="44"/>
      <c r="L594" s="5"/>
      <c r="M594" s="5"/>
      <c r="N594" s="5"/>
      <c r="O594" s="5"/>
      <c r="P594" s="44"/>
      <c r="Q594" s="44"/>
      <c r="R594" s="44"/>
      <c r="S594" s="44"/>
      <c r="T594" s="44"/>
      <c r="U594" s="44"/>
      <c r="V594" s="5"/>
      <c r="W594" s="5"/>
      <c r="Y594" s="44"/>
    </row>
    <row r="595" spans="3:25" ht="15.75" customHeight="1">
      <c r="C595" s="5"/>
      <c r="D595" s="5"/>
      <c r="E595" s="5"/>
      <c r="F595" s="5"/>
      <c r="G595" s="44"/>
      <c r="H595" s="5"/>
      <c r="I595" s="44"/>
      <c r="J595" s="44"/>
      <c r="K595" s="44"/>
      <c r="L595" s="5"/>
      <c r="M595" s="5"/>
      <c r="N595" s="5"/>
      <c r="O595" s="5"/>
      <c r="P595" s="44"/>
      <c r="Q595" s="44"/>
      <c r="R595" s="44"/>
      <c r="S595" s="44"/>
      <c r="T595" s="44"/>
      <c r="U595" s="44"/>
      <c r="V595" s="5"/>
      <c r="W595" s="5"/>
      <c r="Y595" s="44"/>
    </row>
    <row r="596" spans="3:25" ht="15.75" customHeight="1">
      <c r="C596" s="5"/>
      <c r="D596" s="5"/>
      <c r="E596" s="5"/>
      <c r="F596" s="5"/>
      <c r="G596" s="44"/>
      <c r="H596" s="5"/>
      <c r="I596" s="44"/>
      <c r="J596" s="44"/>
      <c r="K596" s="44"/>
      <c r="L596" s="5"/>
      <c r="M596" s="5"/>
      <c r="N596" s="5"/>
      <c r="O596" s="5"/>
      <c r="P596" s="44"/>
      <c r="Q596" s="44"/>
      <c r="R596" s="44"/>
      <c r="S596" s="44"/>
      <c r="T596" s="44"/>
      <c r="U596" s="44"/>
      <c r="V596" s="5"/>
      <c r="W596" s="5"/>
      <c r="Y596" s="44"/>
    </row>
    <row r="597" spans="3:25" ht="15.75" customHeight="1">
      <c r="C597" s="5"/>
      <c r="D597" s="5"/>
      <c r="E597" s="5"/>
      <c r="F597" s="5"/>
      <c r="G597" s="44"/>
      <c r="H597" s="5"/>
      <c r="I597" s="44"/>
      <c r="J597" s="44"/>
      <c r="K597" s="44"/>
      <c r="L597" s="5"/>
      <c r="M597" s="5"/>
      <c r="N597" s="5"/>
      <c r="O597" s="5"/>
      <c r="P597" s="44"/>
      <c r="Q597" s="44"/>
      <c r="R597" s="44"/>
      <c r="S597" s="44"/>
      <c r="T597" s="44"/>
      <c r="U597" s="44"/>
      <c r="V597" s="5"/>
      <c r="W597" s="5"/>
      <c r="Y597" s="44"/>
    </row>
    <row r="598" spans="3:25" ht="15.75" customHeight="1">
      <c r="C598" s="5"/>
      <c r="D598" s="5"/>
      <c r="E598" s="5"/>
      <c r="F598" s="5"/>
      <c r="G598" s="44"/>
      <c r="H598" s="5"/>
      <c r="I598" s="44"/>
      <c r="J598" s="44"/>
      <c r="K598" s="44"/>
      <c r="L598" s="5"/>
      <c r="M598" s="5"/>
      <c r="N598" s="5"/>
      <c r="O598" s="5"/>
      <c r="P598" s="44"/>
      <c r="Q598" s="44"/>
      <c r="R598" s="44"/>
      <c r="S598" s="44"/>
      <c r="T598" s="44"/>
      <c r="U598" s="44"/>
      <c r="V598" s="5"/>
      <c r="W598" s="5"/>
      <c r="Y598" s="44"/>
    </row>
    <row r="599" spans="3:25" ht="15.75" customHeight="1">
      <c r="C599" s="5"/>
      <c r="D599" s="5"/>
      <c r="E599" s="5"/>
      <c r="F599" s="5"/>
      <c r="G599" s="44"/>
      <c r="H599" s="5"/>
      <c r="I599" s="44"/>
      <c r="J599" s="44"/>
      <c r="K599" s="44"/>
      <c r="L599" s="5"/>
      <c r="M599" s="5"/>
      <c r="N599" s="5"/>
      <c r="O599" s="5"/>
      <c r="P599" s="44"/>
      <c r="Q599" s="44"/>
      <c r="R599" s="44"/>
      <c r="S599" s="44"/>
      <c r="T599" s="44"/>
      <c r="U599" s="44"/>
      <c r="V599" s="5"/>
      <c r="W599" s="5"/>
      <c r="Y599" s="44"/>
    </row>
    <row r="600" spans="3:25" ht="15.75" customHeight="1">
      <c r="C600" s="5"/>
      <c r="D600" s="5"/>
      <c r="E600" s="5"/>
      <c r="F600" s="5"/>
      <c r="G600" s="44"/>
      <c r="H600" s="5"/>
      <c r="I600" s="44"/>
      <c r="J600" s="44"/>
      <c r="K600" s="44"/>
      <c r="L600" s="5"/>
      <c r="M600" s="5"/>
      <c r="N600" s="5"/>
      <c r="O600" s="5"/>
      <c r="P600" s="44"/>
      <c r="Q600" s="44"/>
      <c r="R600" s="44"/>
      <c r="S600" s="44"/>
      <c r="T600" s="44"/>
      <c r="U600" s="44"/>
      <c r="V600" s="5"/>
      <c r="W600" s="5"/>
      <c r="Y600" s="44"/>
    </row>
    <row r="601" spans="3:25" ht="15.75" customHeight="1">
      <c r="C601" s="5"/>
      <c r="D601" s="5"/>
      <c r="E601" s="5"/>
      <c r="F601" s="5"/>
      <c r="G601" s="44"/>
      <c r="H601" s="5"/>
      <c r="I601" s="44"/>
      <c r="J601" s="44"/>
      <c r="K601" s="44"/>
      <c r="L601" s="5"/>
      <c r="M601" s="5"/>
      <c r="N601" s="5"/>
      <c r="O601" s="5"/>
      <c r="P601" s="44"/>
      <c r="Q601" s="44"/>
      <c r="R601" s="44"/>
      <c r="S601" s="44"/>
      <c r="T601" s="44"/>
      <c r="U601" s="44"/>
      <c r="V601" s="5"/>
      <c r="W601" s="5"/>
      <c r="Y601" s="44"/>
    </row>
    <row r="602" spans="3:25" ht="15.75" customHeight="1">
      <c r="C602" s="5"/>
      <c r="D602" s="5"/>
      <c r="E602" s="5"/>
      <c r="F602" s="5"/>
      <c r="G602" s="44"/>
      <c r="H602" s="5"/>
      <c r="I602" s="44"/>
      <c r="J602" s="44"/>
      <c r="K602" s="44"/>
      <c r="L602" s="5"/>
      <c r="M602" s="5"/>
      <c r="N602" s="5"/>
      <c r="O602" s="5"/>
      <c r="P602" s="44"/>
      <c r="Q602" s="44"/>
      <c r="R602" s="44"/>
      <c r="S602" s="44"/>
      <c r="T602" s="44"/>
      <c r="U602" s="44"/>
      <c r="V602" s="5"/>
      <c r="W602" s="5"/>
      <c r="Y602" s="44"/>
    </row>
    <row r="603" spans="3:25" ht="15.75" customHeight="1">
      <c r="C603" s="5"/>
      <c r="D603" s="5"/>
      <c r="E603" s="5"/>
      <c r="F603" s="5"/>
      <c r="G603" s="44"/>
      <c r="H603" s="5"/>
      <c r="I603" s="44"/>
      <c r="J603" s="44"/>
      <c r="K603" s="44"/>
      <c r="L603" s="5"/>
      <c r="M603" s="5"/>
      <c r="N603" s="5"/>
      <c r="O603" s="5"/>
      <c r="P603" s="44"/>
      <c r="Q603" s="44"/>
      <c r="R603" s="44"/>
      <c r="S603" s="44"/>
      <c r="T603" s="44"/>
      <c r="U603" s="44"/>
      <c r="V603" s="5"/>
      <c r="W603" s="5"/>
      <c r="Y603" s="44"/>
    </row>
    <row r="604" spans="3:25" ht="15.75" customHeight="1">
      <c r="C604" s="5"/>
      <c r="D604" s="5"/>
      <c r="E604" s="5"/>
      <c r="F604" s="5"/>
      <c r="G604" s="44"/>
      <c r="H604" s="5"/>
      <c r="I604" s="44"/>
      <c r="J604" s="44"/>
      <c r="K604" s="44"/>
      <c r="L604" s="5"/>
      <c r="M604" s="5"/>
      <c r="N604" s="5"/>
      <c r="O604" s="5"/>
      <c r="P604" s="44"/>
      <c r="Q604" s="44"/>
      <c r="R604" s="44"/>
      <c r="S604" s="44"/>
      <c r="T604" s="44"/>
      <c r="U604" s="44"/>
      <c r="V604" s="5"/>
      <c r="W604" s="5"/>
      <c r="Y604" s="44"/>
    </row>
    <row r="605" spans="3:25" ht="15.75" customHeight="1">
      <c r="C605" s="5"/>
      <c r="D605" s="5"/>
      <c r="E605" s="5"/>
      <c r="F605" s="5"/>
      <c r="G605" s="44"/>
      <c r="H605" s="5"/>
      <c r="I605" s="44"/>
      <c r="J605" s="44"/>
      <c r="K605" s="44"/>
      <c r="L605" s="5"/>
      <c r="M605" s="5"/>
      <c r="N605" s="5"/>
      <c r="O605" s="5"/>
      <c r="P605" s="44"/>
      <c r="Q605" s="44"/>
      <c r="R605" s="44"/>
      <c r="S605" s="44"/>
      <c r="T605" s="44"/>
      <c r="U605" s="44"/>
      <c r="V605" s="5"/>
      <c r="W605" s="5"/>
      <c r="Y605" s="44"/>
    </row>
    <row r="606" spans="3:25" ht="15.75" customHeight="1">
      <c r="C606" s="5"/>
      <c r="D606" s="5"/>
      <c r="E606" s="5"/>
      <c r="F606" s="5"/>
      <c r="G606" s="44"/>
      <c r="H606" s="5"/>
      <c r="I606" s="44"/>
      <c r="J606" s="44"/>
      <c r="K606" s="44"/>
      <c r="L606" s="5"/>
      <c r="M606" s="5"/>
      <c r="N606" s="5"/>
      <c r="O606" s="5"/>
      <c r="P606" s="44"/>
      <c r="Q606" s="44"/>
      <c r="R606" s="44"/>
      <c r="S606" s="44"/>
      <c r="T606" s="44"/>
      <c r="U606" s="44"/>
      <c r="V606" s="5"/>
      <c r="W606" s="5"/>
      <c r="Y606" s="44"/>
    </row>
    <row r="607" spans="3:25" ht="15.75" customHeight="1">
      <c r="C607" s="5"/>
      <c r="D607" s="5"/>
      <c r="E607" s="5"/>
      <c r="F607" s="5"/>
      <c r="G607" s="44"/>
      <c r="H607" s="5"/>
      <c r="I607" s="44"/>
      <c r="J607" s="44"/>
      <c r="K607" s="44"/>
      <c r="L607" s="5"/>
      <c r="M607" s="5"/>
      <c r="N607" s="5"/>
      <c r="O607" s="5"/>
      <c r="P607" s="44"/>
      <c r="Q607" s="44"/>
      <c r="R607" s="44"/>
      <c r="S607" s="44"/>
      <c r="T607" s="44"/>
      <c r="U607" s="44"/>
      <c r="V607" s="5"/>
      <c r="W607" s="5"/>
      <c r="Y607" s="44"/>
    </row>
    <row r="608" spans="3:25" ht="15.75" customHeight="1">
      <c r="C608" s="5"/>
      <c r="D608" s="5"/>
      <c r="E608" s="5"/>
      <c r="F608" s="5"/>
      <c r="G608" s="44"/>
      <c r="H608" s="5"/>
      <c r="I608" s="44"/>
      <c r="J608" s="44"/>
      <c r="K608" s="44"/>
      <c r="L608" s="5"/>
      <c r="M608" s="5"/>
      <c r="N608" s="5"/>
      <c r="O608" s="5"/>
      <c r="P608" s="44"/>
      <c r="Q608" s="44"/>
      <c r="R608" s="44"/>
      <c r="S608" s="44"/>
      <c r="T608" s="44"/>
      <c r="U608" s="44"/>
      <c r="V608" s="5"/>
      <c r="W608" s="5"/>
      <c r="Y608" s="44"/>
    </row>
    <row r="609" spans="3:25" ht="15.75" customHeight="1">
      <c r="C609" s="5"/>
      <c r="D609" s="5"/>
      <c r="E609" s="5"/>
      <c r="F609" s="5"/>
      <c r="G609" s="44"/>
      <c r="H609" s="5"/>
      <c r="I609" s="44"/>
      <c r="J609" s="44"/>
      <c r="K609" s="44"/>
      <c r="L609" s="5"/>
      <c r="M609" s="5"/>
      <c r="N609" s="5"/>
      <c r="O609" s="5"/>
      <c r="P609" s="44"/>
      <c r="Q609" s="44"/>
      <c r="R609" s="44"/>
      <c r="S609" s="44"/>
      <c r="T609" s="44"/>
      <c r="U609" s="44"/>
      <c r="V609" s="5"/>
      <c r="W609" s="5"/>
      <c r="Y609" s="44"/>
    </row>
    <row r="610" spans="3:25" ht="15.75" customHeight="1">
      <c r="C610" s="5"/>
      <c r="D610" s="5"/>
      <c r="E610" s="5"/>
      <c r="F610" s="5"/>
      <c r="G610" s="44"/>
      <c r="H610" s="5"/>
      <c r="I610" s="44"/>
      <c r="J610" s="44"/>
      <c r="K610" s="44"/>
      <c r="L610" s="5"/>
      <c r="M610" s="5"/>
      <c r="N610" s="5"/>
      <c r="O610" s="5"/>
      <c r="P610" s="44"/>
      <c r="Q610" s="44"/>
      <c r="R610" s="44"/>
      <c r="S610" s="44"/>
      <c r="T610" s="44"/>
      <c r="U610" s="44"/>
      <c r="V610" s="5"/>
      <c r="W610" s="5"/>
      <c r="Y610" s="44"/>
    </row>
    <row r="611" spans="3:25" ht="15.75" customHeight="1">
      <c r="C611" s="5"/>
      <c r="D611" s="5"/>
      <c r="E611" s="5"/>
      <c r="F611" s="5"/>
      <c r="G611" s="44"/>
      <c r="H611" s="5"/>
      <c r="I611" s="44"/>
      <c r="J611" s="44"/>
      <c r="K611" s="44"/>
      <c r="L611" s="5"/>
      <c r="M611" s="5"/>
      <c r="N611" s="5"/>
      <c r="O611" s="5"/>
      <c r="P611" s="44"/>
      <c r="Q611" s="44"/>
      <c r="R611" s="44"/>
      <c r="S611" s="44"/>
      <c r="T611" s="44"/>
      <c r="U611" s="44"/>
      <c r="V611" s="5"/>
      <c r="W611" s="5"/>
      <c r="Y611" s="44"/>
    </row>
    <row r="612" spans="3:25" ht="15.75" customHeight="1">
      <c r="C612" s="5"/>
      <c r="D612" s="5"/>
      <c r="E612" s="5"/>
      <c r="F612" s="5"/>
      <c r="G612" s="44"/>
      <c r="H612" s="5"/>
      <c r="I612" s="44"/>
      <c r="J612" s="44"/>
      <c r="K612" s="44"/>
      <c r="L612" s="5"/>
      <c r="M612" s="5"/>
      <c r="N612" s="5"/>
      <c r="O612" s="5"/>
      <c r="P612" s="44"/>
      <c r="Q612" s="44"/>
      <c r="R612" s="44"/>
      <c r="S612" s="44"/>
      <c r="T612" s="44"/>
      <c r="U612" s="44"/>
      <c r="V612" s="5"/>
      <c r="W612" s="5"/>
      <c r="Y612" s="44"/>
    </row>
    <row r="613" spans="3:25" ht="15.75" customHeight="1">
      <c r="C613" s="5"/>
      <c r="D613" s="5"/>
      <c r="E613" s="5"/>
      <c r="F613" s="5"/>
      <c r="G613" s="44"/>
      <c r="H613" s="5"/>
      <c r="I613" s="44"/>
      <c r="J613" s="44"/>
      <c r="K613" s="44"/>
      <c r="L613" s="5"/>
      <c r="M613" s="5"/>
      <c r="N613" s="5"/>
      <c r="O613" s="5"/>
      <c r="P613" s="44"/>
      <c r="Q613" s="44"/>
      <c r="R613" s="44"/>
      <c r="S613" s="44"/>
      <c r="T613" s="44"/>
      <c r="U613" s="44"/>
      <c r="V613" s="5"/>
      <c r="W613" s="5"/>
      <c r="Y613" s="44"/>
    </row>
    <row r="614" spans="3:25" ht="15.75" customHeight="1">
      <c r="C614" s="5"/>
      <c r="D614" s="5"/>
      <c r="E614" s="5"/>
      <c r="F614" s="5"/>
      <c r="G614" s="44"/>
      <c r="H614" s="5"/>
      <c r="I614" s="44"/>
      <c r="J614" s="44"/>
      <c r="K614" s="44"/>
      <c r="L614" s="5"/>
      <c r="M614" s="5"/>
      <c r="N614" s="5"/>
      <c r="O614" s="5"/>
      <c r="P614" s="44"/>
      <c r="Q614" s="44"/>
      <c r="R614" s="44"/>
      <c r="S614" s="44"/>
      <c r="T614" s="44"/>
      <c r="U614" s="44"/>
      <c r="V614" s="5"/>
      <c r="W614" s="5"/>
      <c r="Y614" s="44"/>
    </row>
    <row r="615" spans="3:25" ht="15.75" customHeight="1">
      <c r="C615" s="5"/>
      <c r="D615" s="5"/>
      <c r="E615" s="5"/>
      <c r="F615" s="5"/>
      <c r="G615" s="44"/>
      <c r="H615" s="5"/>
      <c r="I615" s="44"/>
      <c r="J615" s="44"/>
      <c r="K615" s="44"/>
      <c r="L615" s="5"/>
      <c r="M615" s="5"/>
      <c r="N615" s="5"/>
      <c r="O615" s="5"/>
      <c r="P615" s="44"/>
      <c r="Q615" s="44"/>
      <c r="R615" s="44"/>
      <c r="S615" s="44"/>
      <c r="T615" s="44"/>
      <c r="U615" s="44"/>
      <c r="V615" s="5"/>
      <c r="W615" s="5"/>
      <c r="Y615" s="44"/>
    </row>
    <row r="616" spans="3:25" ht="15.75" customHeight="1">
      <c r="C616" s="5"/>
      <c r="D616" s="5"/>
      <c r="E616" s="5"/>
      <c r="F616" s="5"/>
      <c r="G616" s="44"/>
      <c r="H616" s="5"/>
      <c r="I616" s="44"/>
      <c r="J616" s="44"/>
      <c r="K616" s="44"/>
      <c r="L616" s="5"/>
      <c r="M616" s="5"/>
      <c r="N616" s="5"/>
      <c r="O616" s="5"/>
      <c r="P616" s="44"/>
      <c r="Q616" s="44"/>
      <c r="R616" s="44"/>
      <c r="S616" s="44"/>
      <c r="T616" s="44"/>
      <c r="U616" s="44"/>
      <c r="V616" s="5"/>
      <c r="W616" s="5"/>
      <c r="Y616" s="44"/>
    </row>
    <row r="617" spans="3:25" ht="15.75" customHeight="1">
      <c r="C617" s="5"/>
      <c r="D617" s="5"/>
      <c r="E617" s="5"/>
      <c r="F617" s="5"/>
      <c r="G617" s="44"/>
      <c r="H617" s="5"/>
      <c r="I617" s="44"/>
      <c r="J617" s="44"/>
      <c r="K617" s="44"/>
      <c r="L617" s="5"/>
      <c r="M617" s="5"/>
      <c r="N617" s="5"/>
      <c r="O617" s="5"/>
      <c r="P617" s="44"/>
      <c r="Q617" s="44"/>
      <c r="R617" s="44"/>
      <c r="S617" s="44"/>
      <c r="T617" s="44"/>
      <c r="U617" s="44"/>
      <c r="V617" s="5"/>
      <c r="W617" s="5"/>
      <c r="Y617" s="44"/>
    </row>
    <row r="618" spans="3:25" ht="15.75" customHeight="1">
      <c r="C618" s="5"/>
      <c r="D618" s="5"/>
      <c r="E618" s="5"/>
      <c r="F618" s="5"/>
      <c r="G618" s="44"/>
      <c r="H618" s="5"/>
      <c r="I618" s="44"/>
      <c r="J618" s="44"/>
      <c r="K618" s="44"/>
      <c r="L618" s="5"/>
      <c r="M618" s="5"/>
      <c r="N618" s="5"/>
      <c r="O618" s="5"/>
      <c r="P618" s="44"/>
      <c r="Q618" s="44"/>
      <c r="R618" s="44"/>
      <c r="S618" s="44"/>
      <c r="T618" s="44"/>
      <c r="U618" s="44"/>
      <c r="V618" s="5"/>
      <c r="W618" s="5"/>
      <c r="Y618" s="44"/>
    </row>
    <row r="619" spans="3:25" ht="15.75" customHeight="1">
      <c r="C619" s="5"/>
      <c r="D619" s="5"/>
      <c r="E619" s="5"/>
      <c r="F619" s="5"/>
      <c r="G619" s="44"/>
      <c r="H619" s="5"/>
      <c r="I619" s="44"/>
      <c r="J619" s="44"/>
      <c r="K619" s="44"/>
      <c r="L619" s="5"/>
      <c r="M619" s="5"/>
      <c r="N619" s="5"/>
      <c r="O619" s="5"/>
      <c r="P619" s="44"/>
      <c r="Q619" s="44"/>
      <c r="R619" s="44"/>
      <c r="S619" s="44"/>
      <c r="T619" s="44"/>
      <c r="U619" s="44"/>
      <c r="V619" s="5"/>
      <c r="W619" s="5"/>
      <c r="Y619" s="44"/>
    </row>
    <row r="620" spans="3:25" ht="15.75" customHeight="1">
      <c r="C620" s="5"/>
      <c r="D620" s="5"/>
      <c r="E620" s="5"/>
      <c r="F620" s="5"/>
      <c r="G620" s="44"/>
      <c r="H620" s="5"/>
      <c r="I620" s="44"/>
      <c r="J620" s="44"/>
      <c r="K620" s="44"/>
      <c r="L620" s="5"/>
      <c r="M620" s="5"/>
      <c r="N620" s="5"/>
      <c r="O620" s="5"/>
      <c r="P620" s="44"/>
      <c r="Q620" s="44"/>
      <c r="R620" s="44"/>
      <c r="S620" s="44"/>
      <c r="T620" s="44"/>
      <c r="U620" s="44"/>
      <c r="V620" s="5"/>
      <c r="W620" s="5"/>
      <c r="Y620" s="44"/>
    </row>
    <row r="621" spans="3:25" ht="15.75" customHeight="1">
      <c r="C621" s="5"/>
      <c r="D621" s="5"/>
      <c r="E621" s="5"/>
      <c r="F621" s="5"/>
      <c r="G621" s="44"/>
      <c r="H621" s="5"/>
      <c r="I621" s="44"/>
      <c r="J621" s="44"/>
      <c r="K621" s="44"/>
      <c r="L621" s="5"/>
      <c r="M621" s="5"/>
      <c r="N621" s="5"/>
      <c r="O621" s="5"/>
      <c r="P621" s="44"/>
      <c r="Q621" s="44"/>
      <c r="R621" s="44"/>
      <c r="S621" s="44"/>
      <c r="T621" s="44"/>
      <c r="U621" s="44"/>
      <c r="V621" s="5"/>
      <c r="W621" s="5"/>
      <c r="Y621" s="44"/>
    </row>
    <row r="622" spans="3:25" ht="15.75" customHeight="1">
      <c r="C622" s="5"/>
      <c r="D622" s="5"/>
      <c r="E622" s="5"/>
      <c r="F622" s="5"/>
      <c r="G622" s="44"/>
      <c r="H622" s="5"/>
      <c r="I622" s="44"/>
      <c r="J622" s="44"/>
      <c r="K622" s="44"/>
      <c r="L622" s="5"/>
      <c r="M622" s="5"/>
      <c r="N622" s="5"/>
      <c r="O622" s="5"/>
      <c r="P622" s="44"/>
      <c r="Q622" s="44"/>
      <c r="R622" s="44"/>
      <c r="S622" s="44"/>
      <c r="T622" s="44"/>
      <c r="U622" s="44"/>
      <c r="V622" s="5"/>
      <c r="W622" s="5"/>
      <c r="Y622" s="44"/>
    </row>
    <row r="623" spans="3:25" ht="15.75" customHeight="1">
      <c r="C623" s="5"/>
      <c r="D623" s="5"/>
      <c r="E623" s="5"/>
      <c r="F623" s="5"/>
      <c r="G623" s="44"/>
      <c r="H623" s="5"/>
      <c r="I623" s="44"/>
      <c r="J623" s="44"/>
      <c r="K623" s="44"/>
      <c r="L623" s="5"/>
      <c r="M623" s="5"/>
      <c r="N623" s="5"/>
      <c r="O623" s="5"/>
      <c r="P623" s="44"/>
      <c r="Q623" s="44"/>
      <c r="R623" s="44"/>
      <c r="S623" s="44"/>
      <c r="T623" s="44"/>
      <c r="U623" s="44"/>
      <c r="V623" s="5"/>
      <c r="W623" s="5"/>
      <c r="Y623" s="44"/>
    </row>
    <row r="624" spans="3:25" ht="15.75" customHeight="1">
      <c r="C624" s="5"/>
      <c r="D624" s="5"/>
      <c r="E624" s="5"/>
      <c r="F624" s="5"/>
      <c r="G624" s="44"/>
      <c r="H624" s="5"/>
      <c r="I624" s="44"/>
      <c r="J624" s="44"/>
      <c r="K624" s="44"/>
      <c r="L624" s="5"/>
      <c r="M624" s="5"/>
      <c r="N624" s="5"/>
      <c r="O624" s="5"/>
      <c r="P624" s="44"/>
      <c r="Q624" s="44"/>
      <c r="R624" s="44"/>
      <c r="S624" s="44"/>
      <c r="T624" s="44"/>
      <c r="U624" s="44"/>
      <c r="V624" s="5"/>
      <c r="W624" s="5"/>
      <c r="Y624" s="44"/>
    </row>
    <row r="625" spans="3:25" ht="15.75" customHeight="1">
      <c r="C625" s="5"/>
      <c r="D625" s="5"/>
      <c r="E625" s="5"/>
      <c r="F625" s="5"/>
      <c r="G625" s="44"/>
      <c r="H625" s="5"/>
      <c r="I625" s="44"/>
      <c r="J625" s="44"/>
      <c r="K625" s="44"/>
      <c r="L625" s="5"/>
      <c r="M625" s="5"/>
      <c r="N625" s="5"/>
      <c r="O625" s="5"/>
      <c r="P625" s="44"/>
      <c r="Q625" s="44"/>
      <c r="R625" s="44"/>
      <c r="S625" s="44"/>
      <c r="T625" s="44"/>
      <c r="U625" s="44"/>
      <c r="V625" s="5"/>
      <c r="W625" s="5"/>
      <c r="Y625" s="44"/>
    </row>
    <row r="626" spans="3:25" ht="15.75" customHeight="1">
      <c r="C626" s="5"/>
      <c r="D626" s="5"/>
      <c r="E626" s="5"/>
      <c r="F626" s="5"/>
      <c r="G626" s="44"/>
      <c r="H626" s="5"/>
      <c r="I626" s="44"/>
      <c r="J626" s="44"/>
      <c r="K626" s="44"/>
      <c r="L626" s="5"/>
      <c r="M626" s="5"/>
      <c r="N626" s="5"/>
      <c r="O626" s="5"/>
      <c r="P626" s="44"/>
      <c r="Q626" s="44"/>
      <c r="R626" s="44"/>
      <c r="S626" s="44"/>
      <c r="T626" s="44"/>
      <c r="U626" s="44"/>
      <c r="V626" s="5"/>
      <c r="W626" s="5"/>
      <c r="Y626" s="44"/>
    </row>
    <row r="627" spans="3:25" ht="15.75" customHeight="1">
      <c r="C627" s="5"/>
      <c r="D627" s="5"/>
      <c r="E627" s="5"/>
      <c r="F627" s="5"/>
      <c r="G627" s="44"/>
      <c r="H627" s="5"/>
      <c r="I627" s="44"/>
      <c r="J627" s="44"/>
      <c r="K627" s="44"/>
      <c r="L627" s="5"/>
      <c r="M627" s="5"/>
      <c r="N627" s="5"/>
      <c r="O627" s="5"/>
      <c r="P627" s="44"/>
      <c r="Q627" s="44"/>
      <c r="R627" s="44"/>
      <c r="S627" s="44"/>
      <c r="T627" s="44"/>
      <c r="U627" s="44"/>
      <c r="V627" s="5"/>
      <c r="W627" s="5"/>
      <c r="Y627" s="44"/>
    </row>
    <row r="628" spans="3:25" ht="15.75" customHeight="1">
      <c r="C628" s="5"/>
      <c r="D628" s="5"/>
      <c r="E628" s="5"/>
      <c r="F628" s="5"/>
      <c r="G628" s="44"/>
      <c r="H628" s="5"/>
      <c r="I628" s="44"/>
      <c r="J628" s="44"/>
      <c r="K628" s="44"/>
      <c r="L628" s="5"/>
      <c r="M628" s="5"/>
      <c r="N628" s="5"/>
      <c r="O628" s="5"/>
      <c r="P628" s="44"/>
      <c r="Q628" s="44"/>
      <c r="R628" s="44"/>
      <c r="S628" s="44"/>
      <c r="T628" s="44"/>
      <c r="U628" s="44"/>
      <c r="V628" s="5"/>
      <c r="W628" s="5"/>
      <c r="Y628" s="44"/>
    </row>
    <row r="629" spans="3:25" ht="15.75" customHeight="1">
      <c r="C629" s="5"/>
      <c r="D629" s="5"/>
      <c r="E629" s="5"/>
      <c r="F629" s="5"/>
      <c r="G629" s="44"/>
      <c r="H629" s="5"/>
      <c r="I629" s="44"/>
      <c r="J629" s="44"/>
      <c r="K629" s="44"/>
      <c r="L629" s="5"/>
      <c r="M629" s="5"/>
      <c r="N629" s="5"/>
      <c r="O629" s="5"/>
      <c r="P629" s="44"/>
      <c r="Q629" s="44"/>
      <c r="R629" s="44"/>
      <c r="S629" s="44"/>
      <c r="T629" s="44"/>
      <c r="U629" s="44"/>
      <c r="V629" s="5"/>
      <c r="W629" s="5"/>
      <c r="Y629" s="44"/>
    </row>
    <row r="630" spans="3:25" ht="15.75" customHeight="1">
      <c r="C630" s="5"/>
      <c r="D630" s="5"/>
      <c r="E630" s="5"/>
      <c r="F630" s="5"/>
      <c r="G630" s="44"/>
      <c r="H630" s="5"/>
      <c r="I630" s="44"/>
      <c r="J630" s="44"/>
      <c r="K630" s="44"/>
      <c r="L630" s="5"/>
      <c r="M630" s="5"/>
      <c r="N630" s="5"/>
      <c r="O630" s="5"/>
      <c r="P630" s="44"/>
      <c r="Q630" s="44"/>
      <c r="R630" s="44"/>
      <c r="S630" s="44"/>
      <c r="T630" s="44"/>
      <c r="U630" s="44"/>
      <c r="V630" s="5"/>
      <c r="W630" s="5"/>
      <c r="Y630" s="44"/>
    </row>
    <row r="631" spans="3:25" ht="15.75" customHeight="1">
      <c r="C631" s="5"/>
      <c r="D631" s="5"/>
      <c r="E631" s="5"/>
      <c r="F631" s="5"/>
      <c r="G631" s="44"/>
      <c r="H631" s="5"/>
      <c r="I631" s="44"/>
      <c r="J631" s="44"/>
      <c r="K631" s="44"/>
      <c r="L631" s="5"/>
      <c r="M631" s="5"/>
      <c r="N631" s="5"/>
      <c r="O631" s="5"/>
      <c r="P631" s="44"/>
      <c r="Q631" s="44"/>
      <c r="R631" s="44"/>
      <c r="S631" s="44"/>
      <c r="T631" s="44"/>
      <c r="U631" s="44"/>
      <c r="V631" s="5"/>
      <c r="W631" s="5"/>
      <c r="Y631" s="44"/>
    </row>
    <row r="632" spans="3:25" ht="15.75" customHeight="1">
      <c r="C632" s="5"/>
      <c r="D632" s="5"/>
      <c r="E632" s="5"/>
      <c r="F632" s="5"/>
      <c r="G632" s="44"/>
      <c r="H632" s="5"/>
      <c r="I632" s="44"/>
      <c r="J632" s="44"/>
      <c r="K632" s="44"/>
      <c r="L632" s="5"/>
      <c r="M632" s="5"/>
      <c r="N632" s="5"/>
      <c r="O632" s="5"/>
      <c r="P632" s="44"/>
      <c r="Q632" s="44"/>
      <c r="R632" s="44"/>
      <c r="S632" s="44"/>
      <c r="T632" s="44"/>
      <c r="U632" s="44"/>
      <c r="V632" s="5"/>
      <c r="W632" s="5"/>
      <c r="Y632" s="44"/>
    </row>
    <row r="633" spans="3:25" ht="15.75" customHeight="1">
      <c r="C633" s="5"/>
      <c r="D633" s="5"/>
      <c r="E633" s="5"/>
      <c r="F633" s="5"/>
      <c r="G633" s="44"/>
      <c r="H633" s="5"/>
      <c r="I633" s="44"/>
      <c r="J633" s="44"/>
      <c r="K633" s="44"/>
      <c r="L633" s="5"/>
      <c r="M633" s="5"/>
      <c r="N633" s="5"/>
      <c r="O633" s="5"/>
      <c r="P633" s="44"/>
      <c r="Q633" s="44"/>
      <c r="R633" s="44"/>
      <c r="S633" s="44"/>
      <c r="T633" s="44"/>
      <c r="U633" s="44"/>
      <c r="V633" s="5"/>
      <c r="W633" s="5"/>
      <c r="Y633" s="44"/>
    </row>
    <row r="634" spans="3:25" ht="15.75" customHeight="1">
      <c r="C634" s="5"/>
      <c r="D634" s="5"/>
      <c r="E634" s="5"/>
      <c r="F634" s="5"/>
      <c r="G634" s="44"/>
      <c r="H634" s="5"/>
      <c r="I634" s="44"/>
      <c r="J634" s="44"/>
      <c r="K634" s="44"/>
      <c r="L634" s="5"/>
      <c r="M634" s="5"/>
      <c r="N634" s="5"/>
      <c r="O634" s="5"/>
      <c r="P634" s="44"/>
      <c r="Q634" s="44"/>
      <c r="R634" s="44"/>
      <c r="S634" s="44"/>
      <c r="T634" s="44"/>
      <c r="U634" s="44"/>
      <c r="V634" s="5"/>
      <c r="W634" s="5"/>
      <c r="Y634" s="44"/>
    </row>
    <row r="635" spans="3:25" ht="15.75" customHeight="1">
      <c r="C635" s="5"/>
      <c r="D635" s="5"/>
      <c r="E635" s="5"/>
      <c r="F635" s="5"/>
      <c r="G635" s="44"/>
      <c r="H635" s="5"/>
      <c r="I635" s="44"/>
      <c r="J635" s="44"/>
      <c r="K635" s="44"/>
      <c r="L635" s="5"/>
      <c r="M635" s="5"/>
      <c r="N635" s="5"/>
      <c r="O635" s="5"/>
      <c r="P635" s="44"/>
      <c r="Q635" s="44"/>
      <c r="R635" s="44"/>
      <c r="S635" s="44"/>
      <c r="T635" s="44"/>
      <c r="U635" s="44"/>
      <c r="V635" s="5"/>
      <c r="W635" s="5"/>
      <c r="Y635" s="44"/>
    </row>
    <row r="636" spans="3:25" ht="15.75" customHeight="1">
      <c r="C636" s="5"/>
      <c r="D636" s="5"/>
      <c r="E636" s="5"/>
      <c r="F636" s="5"/>
      <c r="G636" s="44"/>
      <c r="H636" s="5"/>
      <c r="I636" s="44"/>
      <c r="J636" s="44"/>
      <c r="K636" s="44"/>
      <c r="L636" s="5"/>
      <c r="M636" s="5"/>
      <c r="N636" s="5"/>
      <c r="O636" s="5"/>
      <c r="P636" s="44"/>
      <c r="Q636" s="44"/>
      <c r="R636" s="44"/>
      <c r="S636" s="44"/>
      <c r="T636" s="44"/>
      <c r="U636" s="44"/>
      <c r="V636" s="5"/>
      <c r="W636" s="5"/>
      <c r="Y636" s="44"/>
    </row>
    <row r="637" spans="3:25" ht="15.75" customHeight="1">
      <c r="C637" s="5"/>
      <c r="D637" s="5"/>
      <c r="E637" s="5"/>
      <c r="F637" s="5"/>
      <c r="G637" s="44"/>
      <c r="H637" s="5"/>
      <c r="I637" s="44"/>
      <c r="J637" s="44"/>
      <c r="K637" s="44"/>
      <c r="L637" s="5"/>
      <c r="M637" s="5"/>
      <c r="N637" s="5"/>
      <c r="O637" s="5"/>
      <c r="P637" s="44"/>
      <c r="Q637" s="44"/>
      <c r="R637" s="44"/>
      <c r="S637" s="44"/>
      <c r="T637" s="44"/>
      <c r="U637" s="44"/>
      <c r="V637" s="5"/>
      <c r="W637" s="5"/>
      <c r="Y637" s="44"/>
    </row>
    <row r="638" spans="3:25" ht="15.75" customHeight="1">
      <c r="C638" s="5"/>
      <c r="D638" s="5"/>
      <c r="E638" s="5"/>
      <c r="F638" s="5"/>
      <c r="G638" s="44"/>
      <c r="H638" s="5"/>
      <c r="I638" s="44"/>
      <c r="J638" s="44"/>
      <c r="K638" s="44"/>
      <c r="L638" s="5"/>
      <c r="M638" s="5"/>
      <c r="N638" s="5"/>
      <c r="O638" s="5"/>
      <c r="P638" s="44"/>
      <c r="Q638" s="44"/>
      <c r="R638" s="44"/>
      <c r="S638" s="44"/>
      <c r="T638" s="44"/>
      <c r="U638" s="44"/>
      <c r="V638" s="5"/>
      <c r="W638" s="5"/>
      <c r="Y638" s="44"/>
    </row>
    <row r="639" spans="3:25" ht="15.75" customHeight="1">
      <c r="C639" s="5"/>
      <c r="D639" s="5"/>
      <c r="E639" s="5"/>
      <c r="F639" s="5"/>
      <c r="G639" s="44"/>
      <c r="H639" s="5"/>
      <c r="I639" s="44"/>
      <c r="J639" s="44"/>
      <c r="K639" s="44"/>
      <c r="L639" s="5"/>
      <c r="M639" s="5"/>
      <c r="N639" s="5"/>
      <c r="O639" s="5"/>
      <c r="P639" s="44"/>
      <c r="Q639" s="44"/>
      <c r="R639" s="44"/>
      <c r="S639" s="44"/>
      <c r="T639" s="44"/>
      <c r="U639" s="44"/>
      <c r="V639" s="5"/>
      <c r="W639" s="5"/>
      <c r="Y639" s="44"/>
    </row>
    <row r="640" spans="3:25" ht="15.75" customHeight="1">
      <c r="C640" s="5"/>
      <c r="D640" s="5"/>
      <c r="E640" s="5"/>
      <c r="F640" s="5"/>
      <c r="G640" s="44"/>
      <c r="H640" s="5"/>
      <c r="I640" s="44"/>
      <c r="J640" s="44"/>
      <c r="K640" s="44"/>
      <c r="L640" s="5"/>
      <c r="M640" s="5"/>
      <c r="N640" s="5"/>
      <c r="O640" s="5"/>
      <c r="P640" s="44"/>
      <c r="Q640" s="44"/>
      <c r="R640" s="44"/>
      <c r="S640" s="44"/>
      <c r="T640" s="44"/>
      <c r="U640" s="44"/>
      <c r="V640" s="5"/>
      <c r="W640" s="5"/>
      <c r="Y640" s="44"/>
    </row>
    <row r="641" spans="3:25" ht="15.75" customHeight="1">
      <c r="C641" s="5"/>
      <c r="D641" s="5"/>
      <c r="E641" s="5"/>
      <c r="F641" s="5"/>
      <c r="G641" s="44"/>
      <c r="H641" s="5"/>
      <c r="I641" s="44"/>
      <c r="J641" s="44"/>
      <c r="K641" s="44"/>
      <c r="L641" s="5"/>
      <c r="M641" s="5"/>
      <c r="N641" s="5"/>
      <c r="O641" s="5"/>
      <c r="P641" s="44"/>
      <c r="Q641" s="44"/>
      <c r="R641" s="44"/>
      <c r="S641" s="44"/>
      <c r="T641" s="44"/>
      <c r="U641" s="44"/>
      <c r="V641" s="5"/>
      <c r="W641" s="5"/>
      <c r="Y641" s="44"/>
    </row>
    <row r="642" spans="3:25" ht="15.75" customHeight="1">
      <c r="C642" s="5"/>
      <c r="D642" s="5"/>
      <c r="E642" s="5"/>
      <c r="F642" s="5"/>
      <c r="G642" s="44"/>
      <c r="H642" s="5"/>
      <c r="I642" s="44"/>
      <c r="J642" s="44"/>
      <c r="K642" s="44"/>
      <c r="L642" s="5"/>
      <c r="M642" s="5"/>
      <c r="N642" s="5"/>
      <c r="O642" s="5"/>
      <c r="P642" s="44"/>
      <c r="Q642" s="44"/>
      <c r="R642" s="44"/>
      <c r="S642" s="44"/>
      <c r="T642" s="44"/>
      <c r="U642" s="44"/>
      <c r="V642" s="5"/>
      <c r="W642" s="5"/>
      <c r="Y642" s="44"/>
    </row>
    <row r="643" spans="3:25" ht="15.75" customHeight="1">
      <c r="C643" s="5"/>
      <c r="D643" s="5"/>
      <c r="E643" s="5"/>
      <c r="F643" s="5"/>
      <c r="G643" s="44"/>
      <c r="H643" s="5"/>
      <c r="I643" s="44"/>
      <c r="J643" s="44"/>
      <c r="K643" s="44"/>
      <c r="L643" s="5"/>
      <c r="M643" s="5"/>
      <c r="N643" s="5"/>
      <c r="O643" s="5"/>
      <c r="P643" s="44"/>
      <c r="Q643" s="44"/>
      <c r="R643" s="44"/>
      <c r="S643" s="44"/>
      <c r="T643" s="44"/>
      <c r="U643" s="44"/>
      <c r="V643" s="5"/>
      <c r="W643" s="5"/>
      <c r="Y643" s="44"/>
    </row>
    <row r="644" spans="3:25" ht="15.75" customHeight="1">
      <c r="C644" s="5"/>
      <c r="D644" s="5"/>
      <c r="E644" s="5"/>
      <c r="F644" s="5"/>
      <c r="G644" s="44"/>
      <c r="H644" s="5"/>
      <c r="I644" s="44"/>
      <c r="J644" s="44"/>
      <c r="K644" s="44"/>
      <c r="L644" s="5"/>
      <c r="M644" s="5"/>
      <c r="N644" s="5"/>
      <c r="O644" s="5"/>
      <c r="P644" s="44"/>
      <c r="Q644" s="44"/>
      <c r="R644" s="44"/>
      <c r="S644" s="44"/>
      <c r="T644" s="44"/>
      <c r="U644" s="44"/>
      <c r="V644" s="5"/>
      <c r="W644" s="5"/>
      <c r="Y644" s="44"/>
    </row>
    <row r="645" spans="3:25" ht="15.75" customHeight="1">
      <c r="C645" s="5"/>
      <c r="D645" s="5"/>
      <c r="E645" s="5"/>
      <c r="F645" s="5"/>
      <c r="G645" s="44"/>
      <c r="H645" s="5"/>
      <c r="I645" s="44"/>
      <c r="J645" s="44"/>
      <c r="K645" s="44"/>
      <c r="L645" s="5"/>
      <c r="M645" s="5"/>
      <c r="N645" s="5"/>
      <c r="O645" s="5"/>
      <c r="P645" s="44"/>
      <c r="Q645" s="44"/>
      <c r="R645" s="44"/>
      <c r="S645" s="44"/>
      <c r="T645" s="44"/>
      <c r="U645" s="44"/>
      <c r="V645" s="5"/>
      <c r="W645" s="5"/>
      <c r="Y645" s="44"/>
    </row>
    <row r="646" spans="3:25" ht="15.75" customHeight="1">
      <c r="C646" s="5"/>
      <c r="D646" s="5"/>
      <c r="E646" s="5"/>
      <c r="F646" s="5"/>
      <c r="G646" s="44"/>
      <c r="H646" s="5"/>
      <c r="I646" s="44"/>
      <c r="J646" s="44"/>
      <c r="K646" s="44"/>
      <c r="L646" s="5"/>
      <c r="M646" s="5"/>
      <c r="N646" s="5"/>
      <c r="O646" s="5"/>
      <c r="P646" s="44"/>
      <c r="Q646" s="44"/>
      <c r="R646" s="44"/>
      <c r="S646" s="44"/>
      <c r="T646" s="44"/>
      <c r="U646" s="44"/>
      <c r="V646" s="5"/>
      <c r="W646" s="5"/>
      <c r="Y646" s="44"/>
    </row>
    <row r="647" spans="3:25" ht="15.75" customHeight="1">
      <c r="C647" s="5"/>
      <c r="D647" s="5"/>
      <c r="E647" s="5"/>
      <c r="F647" s="5"/>
      <c r="G647" s="44"/>
      <c r="H647" s="5"/>
      <c r="I647" s="44"/>
      <c r="J647" s="44"/>
      <c r="K647" s="44"/>
      <c r="L647" s="5"/>
      <c r="M647" s="5"/>
      <c r="N647" s="5"/>
      <c r="O647" s="5"/>
      <c r="P647" s="44"/>
      <c r="Q647" s="44"/>
      <c r="R647" s="44"/>
      <c r="S647" s="44"/>
      <c r="T647" s="44"/>
      <c r="U647" s="44"/>
      <c r="V647" s="5"/>
      <c r="W647" s="5"/>
      <c r="Y647" s="44"/>
    </row>
    <row r="648" spans="3:25" ht="15.75" customHeight="1">
      <c r="C648" s="5"/>
      <c r="D648" s="5"/>
      <c r="E648" s="5"/>
      <c r="F648" s="5"/>
      <c r="G648" s="44"/>
      <c r="H648" s="5"/>
      <c r="I648" s="44"/>
      <c r="J648" s="44"/>
      <c r="K648" s="44"/>
      <c r="L648" s="5"/>
      <c r="M648" s="5"/>
      <c r="N648" s="5"/>
      <c r="O648" s="5"/>
      <c r="P648" s="44"/>
      <c r="Q648" s="44"/>
      <c r="R648" s="44"/>
      <c r="S648" s="44"/>
      <c r="T648" s="44"/>
      <c r="U648" s="44"/>
      <c r="V648" s="5"/>
      <c r="W648" s="5"/>
      <c r="Y648" s="44"/>
    </row>
    <row r="649" spans="3:25" ht="15.75" customHeight="1">
      <c r="C649" s="5"/>
      <c r="D649" s="5"/>
      <c r="E649" s="5"/>
      <c r="F649" s="5"/>
      <c r="G649" s="44"/>
      <c r="H649" s="5"/>
      <c r="I649" s="44"/>
      <c r="J649" s="44"/>
      <c r="K649" s="44"/>
      <c r="L649" s="5"/>
      <c r="M649" s="5"/>
      <c r="N649" s="5"/>
      <c r="O649" s="5"/>
      <c r="P649" s="44"/>
      <c r="Q649" s="44"/>
      <c r="R649" s="44"/>
      <c r="S649" s="44"/>
      <c r="T649" s="44"/>
      <c r="U649" s="44"/>
      <c r="V649" s="5"/>
      <c r="W649" s="5"/>
      <c r="Y649" s="44"/>
    </row>
    <row r="650" spans="3:25" ht="15.75" customHeight="1">
      <c r="C650" s="5"/>
      <c r="D650" s="5"/>
      <c r="E650" s="5"/>
      <c r="F650" s="5"/>
      <c r="G650" s="44"/>
      <c r="H650" s="5"/>
      <c r="I650" s="44"/>
      <c r="J650" s="44"/>
      <c r="K650" s="44"/>
      <c r="L650" s="5"/>
      <c r="M650" s="5"/>
      <c r="N650" s="5"/>
      <c r="O650" s="5"/>
      <c r="P650" s="44"/>
      <c r="Q650" s="44"/>
      <c r="R650" s="44"/>
      <c r="S650" s="44"/>
      <c r="T650" s="44"/>
      <c r="U650" s="44"/>
      <c r="V650" s="5"/>
      <c r="W650" s="5"/>
      <c r="Y650" s="44"/>
    </row>
    <row r="651" spans="3:25" ht="15.75" customHeight="1">
      <c r="C651" s="5"/>
      <c r="D651" s="5"/>
      <c r="E651" s="5"/>
      <c r="F651" s="5"/>
      <c r="G651" s="44"/>
      <c r="H651" s="5"/>
      <c r="I651" s="44"/>
      <c r="J651" s="44"/>
      <c r="K651" s="44"/>
      <c r="L651" s="5"/>
      <c r="M651" s="5"/>
      <c r="N651" s="5"/>
      <c r="O651" s="5"/>
      <c r="P651" s="44"/>
      <c r="Q651" s="44"/>
      <c r="R651" s="44"/>
      <c r="S651" s="44"/>
      <c r="T651" s="44"/>
      <c r="U651" s="44"/>
      <c r="V651" s="5"/>
      <c r="W651" s="5"/>
      <c r="Y651" s="44"/>
    </row>
    <row r="652" spans="3:25" ht="15.75" customHeight="1">
      <c r="C652" s="5"/>
      <c r="D652" s="5"/>
      <c r="E652" s="5"/>
      <c r="F652" s="5"/>
      <c r="G652" s="44"/>
      <c r="H652" s="5"/>
      <c r="I652" s="44"/>
      <c r="J652" s="44"/>
      <c r="K652" s="44"/>
      <c r="L652" s="5"/>
      <c r="M652" s="5"/>
      <c r="N652" s="5"/>
      <c r="O652" s="5"/>
      <c r="P652" s="44"/>
      <c r="Q652" s="44"/>
      <c r="R652" s="44"/>
      <c r="S652" s="44"/>
      <c r="T652" s="44"/>
      <c r="U652" s="44"/>
      <c r="V652" s="5"/>
      <c r="W652" s="5"/>
      <c r="Y652" s="44"/>
    </row>
    <row r="653" spans="3:25" ht="15.75" customHeight="1">
      <c r="C653" s="5"/>
      <c r="D653" s="5"/>
      <c r="E653" s="5"/>
      <c r="F653" s="5"/>
      <c r="G653" s="44"/>
      <c r="H653" s="5"/>
      <c r="I653" s="44"/>
      <c r="J653" s="44"/>
      <c r="K653" s="44"/>
      <c r="L653" s="5"/>
      <c r="M653" s="5"/>
      <c r="N653" s="5"/>
      <c r="O653" s="5"/>
      <c r="P653" s="44"/>
      <c r="Q653" s="44"/>
      <c r="R653" s="44"/>
      <c r="S653" s="44"/>
      <c r="T653" s="44"/>
      <c r="U653" s="44"/>
      <c r="V653" s="5"/>
      <c r="W653" s="5"/>
      <c r="Y653" s="44"/>
    </row>
    <row r="654" spans="3:25" ht="15.75" customHeight="1">
      <c r="C654" s="5"/>
      <c r="D654" s="5"/>
      <c r="E654" s="5"/>
      <c r="F654" s="5"/>
      <c r="G654" s="44"/>
      <c r="H654" s="5"/>
      <c r="I654" s="44"/>
      <c r="J654" s="44"/>
      <c r="K654" s="44"/>
      <c r="L654" s="5"/>
      <c r="M654" s="5"/>
      <c r="N654" s="5"/>
      <c r="O654" s="5"/>
      <c r="P654" s="44"/>
      <c r="Q654" s="44"/>
      <c r="R654" s="44"/>
      <c r="S654" s="44"/>
      <c r="T654" s="44"/>
      <c r="U654" s="44"/>
      <c r="V654" s="5"/>
      <c r="W654" s="5"/>
      <c r="Y654" s="44"/>
    </row>
    <row r="655" spans="3:25" ht="15.75" customHeight="1">
      <c r="C655" s="5"/>
      <c r="D655" s="5"/>
      <c r="E655" s="5"/>
      <c r="F655" s="5"/>
      <c r="G655" s="44"/>
      <c r="H655" s="5"/>
      <c r="I655" s="44"/>
      <c r="J655" s="44"/>
      <c r="K655" s="44"/>
      <c r="L655" s="5"/>
      <c r="M655" s="5"/>
      <c r="N655" s="5"/>
      <c r="O655" s="5"/>
      <c r="P655" s="44"/>
      <c r="Q655" s="44"/>
      <c r="R655" s="44"/>
      <c r="S655" s="44"/>
      <c r="T655" s="44"/>
      <c r="U655" s="44"/>
      <c r="V655" s="5"/>
      <c r="W655" s="5"/>
      <c r="Y655" s="44"/>
    </row>
    <row r="656" spans="3:25" ht="15.75" customHeight="1">
      <c r="C656" s="5"/>
      <c r="D656" s="5"/>
      <c r="E656" s="5"/>
      <c r="F656" s="5"/>
      <c r="G656" s="44"/>
      <c r="H656" s="5"/>
      <c r="I656" s="44"/>
      <c r="J656" s="44"/>
      <c r="K656" s="44"/>
      <c r="L656" s="5"/>
      <c r="M656" s="5"/>
      <c r="N656" s="5"/>
      <c r="O656" s="5"/>
      <c r="P656" s="44"/>
      <c r="Q656" s="44"/>
      <c r="R656" s="44"/>
      <c r="S656" s="44"/>
      <c r="T656" s="44"/>
      <c r="U656" s="44"/>
      <c r="V656" s="5"/>
      <c r="W656" s="5"/>
      <c r="Y656" s="44"/>
    </row>
    <row r="657" spans="3:25" ht="15.75" customHeight="1">
      <c r="C657" s="5"/>
      <c r="D657" s="5"/>
      <c r="E657" s="5"/>
      <c r="F657" s="5"/>
      <c r="G657" s="44"/>
      <c r="H657" s="5"/>
      <c r="I657" s="44"/>
      <c r="J657" s="44"/>
      <c r="K657" s="44"/>
      <c r="L657" s="5"/>
      <c r="M657" s="5"/>
      <c r="N657" s="5"/>
      <c r="O657" s="5"/>
      <c r="P657" s="44"/>
      <c r="Q657" s="44"/>
      <c r="R657" s="44"/>
      <c r="S657" s="44"/>
      <c r="T657" s="44"/>
      <c r="U657" s="44"/>
      <c r="V657" s="5"/>
      <c r="W657" s="5"/>
      <c r="Y657" s="44"/>
    </row>
    <row r="658" spans="3:25" ht="15.75" customHeight="1">
      <c r="C658" s="5"/>
      <c r="D658" s="5"/>
      <c r="E658" s="5"/>
      <c r="F658" s="5"/>
      <c r="G658" s="44"/>
      <c r="H658" s="5"/>
      <c r="I658" s="44"/>
      <c r="J658" s="44"/>
      <c r="K658" s="44"/>
      <c r="L658" s="5"/>
      <c r="M658" s="5"/>
      <c r="N658" s="5"/>
      <c r="O658" s="5"/>
      <c r="P658" s="44"/>
      <c r="Q658" s="44"/>
      <c r="R658" s="44"/>
      <c r="S658" s="44"/>
      <c r="T658" s="44"/>
      <c r="U658" s="44"/>
      <c r="V658" s="5"/>
      <c r="W658" s="5"/>
      <c r="Y658" s="44"/>
    </row>
    <row r="659" spans="3:25" ht="15.75" customHeight="1">
      <c r="C659" s="5"/>
      <c r="D659" s="5"/>
      <c r="E659" s="5"/>
      <c r="F659" s="5"/>
      <c r="G659" s="44"/>
      <c r="H659" s="5"/>
      <c r="I659" s="44"/>
      <c r="J659" s="44"/>
      <c r="K659" s="44"/>
      <c r="L659" s="5"/>
      <c r="M659" s="5"/>
      <c r="N659" s="5"/>
      <c r="O659" s="5"/>
      <c r="P659" s="44"/>
      <c r="Q659" s="44"/>
      <c r="R659" s="44"/>
      <c r="S659" s="44"/>
      <c r="T659" s="44"/>
      <c r="U659" s="44"/>
      <c r="V659" s="5"/>
      <c r="W659" s="5"/>
      <c r="Y659" s="44"/>
    </row>
    <row r="660" spans="3:25" ht="15.75" customHeight="1">
      <c r="C660" s="5"/>
      <c r="D660" s="5"/>
      <c r="E660" s="5"/>
      <c r="F660" s="5"/>
      <c r="G660" s="44"/>
      <c r="H660" s="5"/>
      <c r="I660" s="44"/>
      <c r="J660" s="44"/>
      <c r="K660" s="44"/>
      <c r="L660" s="5"/>
      <c r="M660" s="5"/>
      <c r="N660" s="5"/>
      <c r="O660" s="5"/>
      <c r="P660" s="44"/>
      <c r="Q660" s="44"/>
      <c r="R660" s="44"/>
      <c r="S660" s="44"/>
      <c r="T660" s="44"/>
      <c r="U660" s="44"/>
      <c r="V660" s="5"/>
      <c r="W660" s="5"/>
      <c r="Y660" s="44"/>
    </row>
    <row r="661" spans="3:25" ht="15.75" customHeight="1">
      <c r="C661" s="5"/>
      <c r="D661" s="5"/>
      <c r="E661" s="5"/>
      <c r="F661" s="5"/>
      <c r="G661" s="44"/>
      <c r="H661" s="5"/>
      <c r="I661" s="44"/>
      <c r="J661" s="44"/>
      <c r="K661" s="44"/>
      <c r="L661" s="5"/>
      <c r="M661" s="5"/>
      <c r="N661" s="5"/>
      <c r="O661" s="5"/>
      <c r="P661" s="44"/>
      <c r="Q661" s="44"/>
      <c r="R661" s="44"/>
      <c r="S661" s="44"/>
      <c r="T661" s="44"/>
      <c r="U661" s="44"/>
      <c r="V661" s="5"/>
      <c r="W661" s="5"/>
      <c r="Y661" s="44"/>
    </row>
    <row r="662" spans="3:25" ht="15.75" customHeight="1">
      <c r="C662" s="5"/>
      <c r="D662" s="5"/>
      <c r="E662" s="5"/>
      <c r="F662" s="5"/>
      <c r="G662" s="44"/>
      <c r="H662" s="5"/>
      <c r="I662" s="44"/>
      <c r="J662" s="44"/>
      <c r="K662" s="44"/>
      <c r="L662" s="5"/>
      <c r="M662" s="5"/>
      <c r="N662" s="5"/>
      <c r="O662" s="5"/>
      <c r="P662" s="44"/>
      <c r="Q662" s="44"/>
      <c r="R662" s="44"/>
      <c r="S662" s="44"/>
      <c r="T662" s="44"/>
      <c r="U662" s="44"/>
      <c r="V662" s="5"/>
      <c r="W662" s="5"/>
      <c r="Y662" s="44"/>
    </row>
    <row r="663" spans="3:25" ht="15.75" customHeight="1">
      <c r="C663" s="5"/>
      <c r="D663" s="5"/>
      <c r="E663" s="5"/>
      <c r="F663" s="5"/>
      <c r="G663" s="44"/>
      <c r="H663" s="5"/>
      <c r="I663" s="44"/>
      <c r="J663" s="44"/>
      <c r="K663" s="44"/>
      <c r="L663" s="5"/>
      <c r="M663" s="5"/>
      <c r="N663" s="5"/>
      <c r="O663" s="5"/>
      <c r="P663" s="44"/>
      <c r="Q663" s="44"/>
      <c r="R663" s="44"/>
      <c r="S663" s="44"/>
      <c r="T663" s="44"/>
      <c r="U663" s="44"/>
      <c r="V663" s="5"/>
      <c r="W663" s="5"/>
      <c r="Y663" s="44"/>
    </row>
    <row r="664" spans="3:25" ht="15.75" customHeight="1">
      <c r="C664" s="5"/>
      <c r="D664" s="5"/>
      <c r="E664" s="5"/>
      <c r="F664" s="5"/>
      <c r="G664" s="44"/>
      <c r="H664" s="5"/>
      <c r="I664" s="44"/>
      <c r="J664" s="44"/>
      <c r="K664" s="44"/>
      <c r="L664" s="5"/>
      <c r="M664" s="5"/>
      <c r="N664" s="5"/>
      <c r="O664" s="5"/>
      <c r="P664" s="44"/>
      <c r="Q664" s="44"/>
      <c r="R664" s="44"/>
      <c r="S664" s="44"/>
      <c r="T664" s="44"/>
      <c r="U664" s="44"/>
      <c r="V664" s="5"/>
      <c r="W664" s="5"/>
      <c r="Y664" s="44"/>
    </row>
    <row r="665" spans="3:25" ht="15.75" customHeight="1">
      <c r="C665" s="5"/>
      <c r="D665" s="5"/>
      <c r="E665" s="5"/>
      <c r="F665" s="5"/>
      <c r="G665" s="44"/>
      <c r="H665" s="5"/>
      <c r="I665" s="44"/>
      <c r="J665" s="44"/>
      <c r="K665" s="44"/>
      <c r="L665" s="5"/>
      <c r="M665" s="5"/>
      <c r="N665" s="5"/>
      <c r="O665" s="5"/>
      <c r="P665" s="44"/>
      <c r="Q665" s="44"/>
      <c r="R665" s="44"/>
      <c r="S665" s="44"/>
      <c r="T665" s="44"/>
      <c r="U665" s="44"/>
      <c r="V665" s="5"/>
      <c r="W665" s="5"/>
      <c r="Y665" s="44"/>
    </row>
    <row r="666" spans="3:25" ht="15.75" customHeight="1">
      <c r="C666" s="5"/>
      <c r="D666" s="5"/>
      <c r="E666" s="5"/>
      <c r="F666" s="5"/>
      <c r="G666" s="44"/>
      <c r="H666" s="5"/>
      <c r="I666" s="44"/>
      <c r="J666" s="44"/>
      <c r="K666" s="44"/>
      <c r="L666" s="5"/>
      <c r="M666" s="5"/>
      <c r="N666" s="5"/>
      <c r="O666" s="5"/>
      <c r="P666" s="44"/>
      <c r="Q666" s="44"/>
      <c r="R666" s="44"/>
      <c r="S666" s="44"/>
      <c r="T666" s="44"/>
      <c r="U666" s="44"/>
      <c r="V666" s="5"/>
      <c r="W666" s="5"/>
      <c r="Y666" s="44"/>
    </row>
    <row r="667" spans="3:25" ht="15.75" customHeight="1">
      <c r="C667" s="5"/>
      <c r="D667" s="5"/>
      <c r="E667" s="5"/>
      <c r="F667" s="5"/>
      <c r="G667" s="44"/>
      <c r="H667" s="5"/>
      <c r="I667" s="44"/>
      <c r="J667" s="44"/>
      <c r="K667" s="44"/>
      <c r="L667" s="5"/>
      <c r="M667" s="5"/>
      <c r="N667" s="5"/>
      <c r="O667" s="5"/>
      <c r="P667" s="44"/>
      <c r="Q667" s="44"/>
      <c r="R667" s="44"/>
      <c r="S667" s="44"/>
      <c r="T667" s="44"/>
      <c r="U667" s="44"/>
      <c r="V667" s="5"/>
      <c r="W667" s="5"/>
      <c r="Y667" s="44"/>
    </row>
    <row r="668" spans="3:25" ht="15.75" customHeight="1">
      <c r="C668" s="5"/>
      <c r="D668" s="5"/>
      <c r="E668" s="5"/>
      <c r="F668" s="5"/>
      <c r="G668" s="44"/>
      <c r="H668" s="5"/>
      <c r="I668" s="44"/>
      <c r="J668" s="44"/>
      <c r="K668" s="44"/>
      <c r="L668" s="5"/>
      <c r="M668" s="5"/>
      <c r="N668" s="5"/>
      <c r="O668" s="5"/>
      <c r="P668" s="44"/>
      <c r="Q668" s="44"/>
      <c r="R668" s="44"/>
      <c r="S668" s="44"/>
      <c r="T668" s="44"/>
      <c r="U668" s="44"/>
      <c r="V668" s="5"/>
      <c r="W668" s="5"/>
      <c r="Y668" s="44"/>
    </row>
    <row r="669" spans="3:25" ht="15.75" customHeight="1">
      <c r="C669" s="5"/>
      <c r="D669" s="5"/>
      <c r="E669" s="5"/>
      <c r="F669" s="5"/>
      <c r="G669" s="44"/>
      <c r="H669" s="5"/>
      <c r="I669" s="44"/>
      <c r="J669" s="44"/>
      <c r="K669" s="44"/>
      <c r="L669" s="5"/>
      <c r="M669" s="5"/>
      <c r="N669" s="5"/>
      <c r="O669" s="5"/>
      <c r="P669" s="44"/>
      <c r="Q669" s="44"/>
      <c r="R669" s="44"/>
      <c r="S669" s="44"/>
      <c r="T669" s="44"/>
      <c r="U669" s="44"/>
      <c r="V669" s="5"/>
      <c r="W669" s="5"/>
      <c r="Y669" s="44"/>
    </row>
    <row r="670" spans="3:25" ht="15.75" customHeight="1">
      <c r="C670" s="5"/>
      <c r="D670" s="5"/>
      <c r="E670" s="5"/>
      <c r="F670" s="5"/>
      <c r="G670" s="44"/>
      <c r="H670" s="5"/>
      <c r="I670" s="44"/>
      <c r="J670" s="44"/>
      <c r="K670" s="44"/>
      <c r="L670" s="5"/>
      <c r="M670" s="5"/>
      <c r="N670" s="5"/>
      <c r="O670" s="5"/>
      <c r="P670" s="44"/>
      <c r="Q670" s="44"/>
      <c r="R670" s="44"/>
      <c r="S670" s="44"/>
      <c r="T670" s="44"/>
      <c r="U670" s="44"/>
      <c r="V670" s="5"/>
      <c r="W670" s="5"/>
      <c r="Y670" s="44"/>
    </row>
    <row r="671" spans="3:25" ht="15.75" customHeight="1">
      <c r="C671" s="5"/>
      <c r="D671" s="5"/>
      <c r="E671" s="5"/>
      <c r="F671" s="5"/>
      <c r="G671" s="44"/>
      <c r="H671" s="5"/>
      <c r="I671" s="44"/>
      <c r="J671" s="44"/>
      <c r="K671" s="44"/>
      <c r="L671" s="5"/>
      <c r="M671" s="5"/>
      <c r="N671" s="5"/>
      <c r="O671" s="5"/>
      <c r="P671" s="44"/>
      <c r="Q671" s="44"/>
      <c r="R671" s="44"/>
      <c r="S671" s="44"/>
      <c r="T671" s="44"/>
      <c r="U671" s="44"/>
      <c r="V671" s="5"/>
      <c r="W671" s="5"/>
      <c r="Y671" s="44"/>
    </row>
    <row r="672" spans="3:25" ht="15.75" customHeight="1">
      <c r="C672" s="5"/>
      <c r="D672" s="5"/>
      <c r="E672" s="5"/>
      <c r="F672" s="5"/>
      <c r="G672" s="44"/>
      <c r="H672" s="5"/>
      <c r="I672" s="44"/>
      <c r="J672" s="44"/>
      <c r="K672" s="44"/>
      <c r="L672" s="5"/>
      <c r="M672" s="5"/>
      <c r="N672" s="5"/>
      <c r="O672" s="5"/>
      <c r="P672" s="44"/>
      <c r="Q672" s="44"/>
      <c r="R672" s="44"/>
      <c r="S672" s="44"/>
      <c r="T672" s="44"/>
      <c r="U672" s="44"/>
      <c r="V672" s="5"/>
      <c r="W672" s="5"/>
      <c r="Y672" s="44"/>
    </row>
    <row r="673" spans="3:25" ht="15.75" customHeight="1">
      <c r="C673" s="5"/>
      <c r="D673" s="5"/>
      <c r="E673" s="5"/>
      <c r="F673" s="5"/>
      <c r="G673" s="44"/>
      <c r="H673" s="5"/>
      <c r="I673" s="44"/>
      <c r="J673" s="44"/>
      <c r="K673" s="44"/>
      <c r="L673" s="5"/>
      <c r="M673" s="5"/>
      <c r="N673" s="5"/>
      <c r="O673" s="5"/>
      <c r="P673" s="44"/>
      <c r="Q673" s="44"/>
      <c r="R673" s="44"/>
      <c r="S673" s="44"/>
      <c r="T673" s="44"/>
      <c r="U673" s="44"/>
      <c r="V673" s="5"/>
      <c r="W673" s="5"/>
      <c r="Y673" s="44"/>
    </row>
    <row r="674" spans="3:25" ht="15.75" customHeight="1">
      <c r="C674" s="5"/>
      <c r="D674" s="5"/>
      <c r="E674" s="5"/>
      <c r="F674" s="5"/>
      <c r="G674" s="44"/>
      <c r="H674" s="5"/>
      <c r="I674" s="44"/>
      <c r="J674" s="44"/>
      <c r="K674" s="44"/>
      <c r="L674" s="5"/>
      <c r="M674" s="5"/>
      <c r="N674" s="5"/>
      <c r="O674" s="5"/>
      <c r="P674" s="44"/>
      <c r="Q674" s="44"/>
      <c r="R674" s="44"/>
      <c r="S674" s="44"/>
      <c r="T674" s="44"/>
      <c r="U674" s="44"/>
      <c r="V674" s="5"/>
      <c r="W674" s="5"/>
      <c r="Y674" s="44"/>
    </row>
    <row r="675" spans="3:25" ht="15.75" customHeight="1">
      <c r="C675" s="5"/>
      <c r="D675" s="5"/>
      <c r="E675" s="5"/>
      <c r="F675" s="5"/>
      <c r="G675" s="44"/>
      <c r="H675" s="5"/>
      <c r="I675" s="44"/>
      <c r="J675" s="44"/>
      <c r="K675" s="44"/>
      <c r="L675" s="5"/>
      <c r="M675" s="5"/>
      <c r="N675" s="5"/>
      <c r="O675" s="5"/>
      <c r="P675" s="44"/>
      <c r="Q675" s="44"/>
      <c r="R675" s="44"/>
      <c r="S675" s="44"/>
      <c r="T675" s="44"/>
      <c r="U675" s="44"/>
      <c r="V675" s="5"/>
      <c r="W675" s="5"/>
      <c r="Y675" s="44"/>
    </row>
    <row r="676" spans="3:25" ht="15.75" customHeight="1">
      <c r="C676" s="5"/>
      <c r="D676" s="5"/>
      <c r="E676" s="5"/>
      <c r="F676" s="5"/>
      <c r="G676" s="44"/>
      <c r="H676" s="5"/>
      <c r="I676" s="44"/>
      <c r="J676" s="44"/>
      <c r="K676" s="44"/>
      <c r="L676" s="5"/>
      <c r="M676" s="5"/>
      <c r="N676" s="5"/>
      <c r="O676" s="5"/>
      <c r="P676" s="44"/>
      <c r="Q676" s="44"/>
      <c r="R676" s="44"/>
      <c r="S676" s="44"/>
      <c r="T676" s="44"/>
      <c r="U676" s="44"/>
      <c r="V676" s="5"/>
      <c r="W676" s="5"/>
      <c r="Y676" s="44"/>
    </row>
    <row r="677" spans="3:25" ht="15.75" customHeight="1">
      <c r="C677" s="5"/>
      <c r="D677" s="5"/>
      <c r="E677" s="5"/>
      <c r="F677" s="5"/>
      <c r="G677" s="44"/>
      <c r="H677" s="5"/>
      <c r="I677" s="44"/>
      <c r="J677" s="44"/>
      <c r="K677" s="44"/>
      <c r="L677" s="5"/>
      <c r="M677" s="5"/>
      <c r="N677" s="5"/>
      <c r="O677" s="5"/>
      <c r="P677" s="44"/>
      <c r="Q677" s="44"/>
      <c r="R677" s="44"/>
      <c r="S677" s="44"/>
      <c r="T677" s="44"/>
      <c r="U677" s="44"/>
      <c r="V677" s="5"/>
      <c r="W677" s="5"/>
      <c r="Y677" s="44"/>
    </row>
    <row r="678" spans="3:25" ht="15.75" customHeight="1">
      <c r="C678" s="5"/>
      <c r="D678" s="5"/>
      <c r="E678" s="5"/>
      <c r="F678" s="5"/>
      <c r="G678" s="44"/>
      <c r="H678" s="5"/>
      <c r="I678" s="44"/>
      <c r="J678" s="44"/>
      <c r="K678" s="44"/>
      <c r="L678" s="5"/>
      <c r="M678" s="5"/>
      <c r="N678" s="5"/>
      <c r="O678" s="5"/>
      <c r="P678" s="44"/>
      <c r="Q678" s="44"/>
      <c r="R678" s="44"/>
      <c r="S678" s="44"/>
      <c r="T678" s="44"/>
      <c r="U678" s="44"/>
      <c r="V678" s="5"/>
      <c r="W678" s="5"/>
      <c r="Y678" s="44"/>
    </row>
    <row r="679" spans="3:25" ht="15.75" customHeight="1">
      <c r="C679" s="5"/>
      <c r="D679" s="5"/>
      <c r="E679" s="5"/>
      <c r="F679" s="5"/>
      <c r="G679" s="44"/>
      <c r="H679" s="5"/>
      <c r="I679" s="44"/>
      <c r="J679" s="44"/>
      <c r="K679" s="44"/>
      <c r="L679" s="5"/>
      <c r="M679" s="5"/>
      <c r="N679" s="5"/>
      <c r="O679" s="5"/>
      <c r="P679" s="44"/>
      <c r="Q679" s="44"/>
      <c r="R679" s="44"/>
      <c r="S679" s="44"/>
      <c r="T679" s="44"/>
      <c r="U679" s="44"/>
      <c r="V679" s="5"/>
      <c r="W679" s="5"/>
      <c r="Y679" s="44"/>
    </row>
    <row r="680" spans="3:25" ht="15.75" customHeight="1">
      <c r="C680" s="5"/>
      <c r="D680" s="5"/>
      <c r="E680" s="5"/>
      <c r="F680" s="5"/>
      <c r="G680" s="44"/>
      <c r="H680" s="5"/>
      <c r="I680" s="44"/>
      <c r="J680" s="44"/>
      <c r="K680" s="44"/>
      <c r="L680" s="5"/>
      <c r="M680" s="5"/>
      <c r="N680" s="5"/>
      <c r="O680" s="5"/>
      <c r="P680" s="44"/>
      <c r="Q680" s="44"/>
      <c r="R680" s="44"/>
      <c r="S680" s="44"/>
      <c r="T680" s="44"/>
      <c r="U680" s="44"/>
      <c r="V680" s="5"/>
      <c r="W680" s="5"/>
      <c r="Y680" s="44"/>
    </row>
    <row r="681" spans="3:25" ht="15.75" customHeight="1">
      <c r="C681" s="5"/>
      <c r="D681" s="5"/>
      <c r="E681" s="5"/>
      <c r="F681" s="5"/>
      <c r="G681" s="44"/>
      <c r="H681" s="5"/>
      <c r="I681" s="44"/>
      <c r="J681" s="44"/>
      <c r="K681" s="44"/>
      <c r="L681" s="5"/>
      <c r="M681" s="5"/>
      <c r="N681" s="5"/>
      <c r="O681" s="5"/>
      <c r="P681" s="44"/>
      <c r="Q681" s="44"/>
      <c r="R681" s="44"/>
      <c r="S681" s="44"/>
      <c r="T681" s="44"/>
      <c r="U681" s="44"/>
      <c r="V681" s="5"/>
      <c r="W681" s="5"/>
      <c r="Y681" s="44"/>
    </row>
    <row r="682" spans="3:25" ht="15.75" customHeight="1">
      <c r="C682" s="5"/>
      <c r="D682" s="5"/>
      <c r="E682" s="5"/>
      <c r="F682" s="5"/>
      <c r="G682" s="44"/>
      <c r="H682" s="5"/>
      <c r="I682" s="44"/>
      <c r="J682" s="44"/>
      <c r="K682" s="44"/>
      <c r="L682" s="5"/>
      <c r="M682" s="5"/>
      <c r="N682" s="5"/>
      <c r="O682" s="5"/>
      <c r="P682" s="44"/>
      <c r="Q682" s="44"/>
      <c r="R682" s="44"/>
      <c r="S682" s="44"/>
      <c r="T682" s="44"/>
      <c r="U682" s="44"/>
      <c r="V682" s="5"/>
      <c r="W682" s="5"/>
      <c r="Y682" s="44"/>
    </row>
    <row r="683" spans="3:25" ht="15.75" customHeight="1">
      <c r="C683" s="5"/>
      <c r="D683" s="5"/>
      <c r="E683" s="5"/>
      <c r="F683" s="5"/>
      <c r="G683" s="44"/>
      <c r="H683" s="5"/>
      <c r="I683" s="44"/>
      <c r="J683" s="44"/>
      <c r="K683" s="44"/>
      <c r="L683" s="5"/>
      <c r="M683" s="5"/>
      <c r="N683" s="5"/>
      <c r="O683" s="5"/>
      <c r="P683" s="44"/>
      <c r="Q683" s="44"/>
      <c r="R683" s="44"/>
      <c r="S683" s="44"/>
      <c r="T683" s="44"/>
      <c r="U683" s="44"/>
      <c r="V683" s="5"/>
      <c r="W683" s="5"/>
      <c r="Y683" s="44"/>
    </row>
    <row r="684" spans="3:25" ht="15.75" customHeight="1">
      <c r="C684" s="5"/>
      <c r="D684" s="5"/>
      <c r="E684" s="5"/>
      <c r="F684" s="5"/>
      <c r="G684" s="44"/>
      <c r="H684" s="5"/>
      <c r="I684" s="44"/>
      <c r="J684" s="44"/>
      <c r="K684" s="44"/>
      <c r="L684" s="5"/>
      <c r="M684" s="5"/>
      <c r="N684" s="5"/>
      <c r="O684" s="5"/>
      <c r="P684" s="44"/>
      <c r="Q684" s="44"/>
      <c r="R684" s="44"/>
      <c r="S684" s="44"/>
      <c r="T684" s="44"/>
      <c r="U684" s="44"/>
      <c r="V684" s="5"/>
      <c r="W684" s="5"/>
      <c r="Y684" s="44"/>
    </row>
    <row r="685" spans="3:25" ht="15.75" customHeight="1">
      <c r="C685" s="5"/>
      <c r="D685" s="5"/>
      <c r="E685" s="5"/>
      <c r="F685" s="5"/>
      <c r="G685" s="44"/>
      <c r="H685" s="5"/>
      <c r="I685" s="44"/>
      <c r="J685" s="44"/>
      <c r="K685" s="44"/>
      <c r="L685" s="5"/>
      <c r="M685" s="5"/>
      <c r="N685" s="5"/>
      <c r="O685" s="5"/>
      <c r="P685" s="44"/>
      <c r="Q685" s="44"/>
      <c r="R685" s="44"/>
      <c r="S685" s="44"/>
      <c r="T685" s="44"/>
      <c r="U685" s="44"/>
      <c r="V685" s="5"/>
      <c r="W685" s="5"/>
      <c r="Y685" s="44"/>
    </row>
    <row r="686" spans="3:25" ht="15.75" customHeight="1">
      <c r="C686" s="5"/>
      <c r="D686" s="5"/>
      <c r="E686" s="5"/>
      <c r="F686" s="5"/>
      <c r="G686" s="44"/>
      <c r="H686" s="5"/>
      <c r="I686" s="44"/>
      <c r="J686" s="44"/>
      <c r="K686" s="44"/>
      <c r="L686" s="5"/>
      <c r="M686" s="5"/>
      <c r="N686" s="5"/>
      <c r="O686" s="5"/>
      <c r="P686" s="44"/>
      <c r="Q686" s="44"/>
      <c r="R686" s="44"/>
      <c r="S686" s="44"/>
      <c r="T686" s="44"/>
      <c r="U686" s="44"/>
      <c r="V686" s="5"/>
      <c r="W686" s="5"/>
      <c r="Y686" s="44"/>
    </row>
    <row r="687" spans="3:25" ht="15.75" customHeight="1">
      <c r="C687" s="5"/>
      <c r="D687" s="5"/>
      <c r="E687" s="5"/>
      <c r="F687" s="5"/>
      <c r="G687" s="44"/>
      <c r="H687" s="5"/>
      <c r="I687" s="44"/>
      <c r="J687" s="44"/>
      <c r="K687" s="44"/>
      <c r="L687" s="5"/>
      <c r="M687" s="5"/>
      <c r="N687" s="5"/>
      <c r="O687" s="5"/>
      <c r="P687" s="44"/>
      <c r="Q687" s="44"/>
      <c r="R687" s="44"/>
      <c r="S687" s="44"/>
      <c r="T687" s="44"/>
      <c r="U687" s="44"/>
      <c r="V687" s="5"/>
      <c r="W687" s="5"/>
      <c r="Y687" s="44"/>
    </row>
    <row r="688" spans="3:25" ht="15.75" customHeight="1">
      <c r="C688" s="5"/>
      <c r="D688" s="5"/>
      <c r="E688" s="5"/>
      <c r="F688" s="5"/>
      <c r="G688" s="44"/>
      <c r="H688" s="5"/>
      <c r="I688" s="44"/>
      <c r="J688" s="44"/>
      <c r="K688" s="44"/>
      <c r="L688" s="5"/>
      <c r="M688" s="5"/>
      <c r="N688" s="5"/>
      <c r="O688" s="5"/>
      <c r="P688" s="44"/>
      <c r="Q688" s="44"/>
      <c r="R688" s="44"/>
      <c r="S688" s="44"/>
      <c r="T688" s="44"/>
      <c r="U688" s="44"/>
      <c r="V688" s="5"/>
      <c r="W688" s="5"/>
      <c r="Y688" s="44"/>
    </row>
    <row r="689" spans="3:25" ht="15.75" customHeight="1">
      <c r="C689" s="5"/>
      <c r="D689" s="5"/>
      <c r="E689" s="5"/>
      <c r="F689" s="5"/>
      <c r="G689" s="44"/>
      <c r="H689" s="5"/>
      <c r="I689" s="44"/>
      <c r="J689" s="44"/>
      <c r="K689" s="44"/>
      <c r="L689" s="5"/>
      <c r="M689" s="5"/>
      <c r="N689" s="5"/>
      <c r="O689" s="5"/>
      <c r="P689" s="44"/>
      <c r="Q689" s="44"/>
      <c r="R689" s="44"/>
      <c r="S689" s="44"/>
      <c r="T689" s="44"/>
      <c r="U689" s="44"/>
      <c r="V689" s="5"/>
      <c r="W689" s="5"/>
      <c r="Y689" s="44"/>
    </row>
    <row r="690" spans="3:25" ht="15.75" customHeight="1">
      <c r="C690" s="5"/>
      <c r="D690" s="5"/>
      <c r="E690" s="5"/>
      <c r="F690" s="5"/>
      <c r="G690" s="44"/>
      <c r="H690" s="5"/>
      <c r="I690" s="44"/>
      <c r="J690" s="44"/>
      <c r="K690" s="44"/>
      <c r="L690" s="5"/>
      <c r="M690" s="5"/>
      <c r="N690" s="5"/>
      <c r="O690" s="5"/>
      <c r="P690" s="44"/>
      <c r="Q690" s="44"/>
      <c r="R690" s="44"/>
      <c r="S690" s="44"/>
      <c r="T690" s="44"/>
      <c r="U690" s="44"/>
      <c r="V690" s="5"/>
      <c r="W690" s="5"/>
      <c r="Y690" s="44"/>
    </row>
    <row r="691" spans="3:25" ht="15.75" customHeight="1">
      <c r="C691" s="5"/>
      <c r="D691" s="5"/>
      <c r="E691" s="5"/>
      <c r="F691" s="5"/>
      <c r="G691" s="44"/>
      <c r="H691" s="5"/>
      <c r="I691" s="44"/>
      <c r="J691" s="44"/>
      <c r="K691" s="44"/>
      <c r="L691" s="5"/>
      <c r="M691" s="5"/>
      <c r="N691" s="5"/>
      <c r="O691" s="5"/>
      <c r="P691" s="44"/>
      <c r="Q691" s="44"/>
      <c r="R691" s="44"/>
      <c r="S691" s="44"/>
      <c r="T691" s="44"/>
      <c r="U691" s="44"/>
      <c r="V691" s="5"/>
      <c r="W691" s="5"/>
      <c r="Y691" s="44"/>
    </row>
    <row r="692" spans="3:25" ht="15.75" customHeight="1">
      <c r="C692" s="5"/>
      <c r="D692" s="5"/>
      <c r="E692" s="5"/>
      <c r="F692" s="5"/>
      <c r="G692" s="44"/>
      <c r="H692" s="5"/>
      <c r="I692" s="44"/>
      <c r="J692" s="44"/>
      <c r="K692" s="44"/>
      <c r="L692" s="5"/>
      <c r="M692" s="5"/>
      <c r="N692" s="5"/>
      <c r="O692" s="5"/>
      <c r="P692" s="44"/>
      <c r="Q692" s="44"/>
      <c r="R692" s="44"/>
      <c r="S692" s="44"/>
      <c r="T692" s="44"/>
      <c r="U692" s="44"/>
      <c r="V692" s="5"/>
      <c r="W692" s="5"/>
      <c r="Y692" s="44"/>
    </row>
    <row r="693" spans="3:25" ht="15.75" customHeight="1">
      <c r="C693" s="5"/>
      <c r="D693" s="5"/>
      <c r="E693" s="5"/>
      <c r="F693" s="5"/>
      <c r="G693" s="44"/>
      <c r="H693" s="5"/>
      <c r="I693" s="44"/>
      <c r="J693" s="44"/>
      <c r="K693" s="44"/>
      <c r="L693" s="5"/>
      <c r="M693" s="5"/>
      <c r="N693" s="5"/>
      <c r="O693" s="5"/>
      <c r="P693" s="44"/>
      <c r="Q693" s="44"/>
      <c r="R693" s="44"/>
      <c r="S693" s="44"/>
      <c r="T693" s="44"/>
      <c r="U693" s="44"/>
      <c r="V693" s="5"/>
      <c r="W693" s="5"/>
      <c r="Y693" s="44"/>
    </row>
    <row r="694" spans="3:25" ht="15.75" customHeight="1">
      <c r="C694" s="5"/>
      <c r="D694" s="5"/>
      <c r="E694" s="5"/>
      <c r="F694" s="5"/>
      <c r="G694" s="44"/>
      <c r="H694" s="5"/>
      <c r="I694" s="44"/>
      <c r="J694" s="44"/>
      <c r="K694" s="44"/>
      <c r="L694" s="5"/>
      <c r="M694" s="5"/>
      <c r="N694" s="5"/>
      <c r="O694" s="5"/>
      <c r="P694" s="44"/>
      <c r="Q694" s="44"/>
      <c r="R694" s="44"/>
      <c r="S694" s="44"/>
      <c r="T694" s="44"/>
      <c r="U694" s="44"/>
      <c r="V694" s="5"/>
      <c r="W694" s="5"/>
      <c r="Y694" s="44"/>
    </row>
    <row r="695" spans="3:25" ht="15.75" customHeight="1">
      <c r="C695" s="5"/>
      <c r="D695" s="5"/>
      <c r="E695" s="5"/>
      <c r="F695" s="5"/>
      <c r="G695" s="44"/>
      <c r="H695" s="5"/>
      <c r="I695" s="44"/>
      <c r="J695" s="44"/>
      <c r="K695" s="44"/>
      <c r="L695" s="5"/>
      <c r="M695" s="5"/>
      <c r="N695" s="5"/>
      <c r="O695" s="5"/>
      <c r="P695" s="44"/>
      <c r="Q695" s="44"/>
      <c r="R695" s="44"/>
      <c r="S695" s="44"/>
      <c r="T695" s="44"/>
      <c r="U695" s="44"/>
      <c r="V695" s="5"/>
      <c r="W695" s="5"/>
      <c r="Y695" s="44"/>
    </row>
    <row r="696" spans="3:25" ht="15.75" customHeight="1">
      <c r="C696" s="5"/>
      <c r="D696" s="5"/>
      <c r="E696" s="5"/>
      <c r="F696" s="5"/>
      <c r="G696" s="44"/>
      <c r="H696" s="5"/>
      <c r="I696" s="44"/>
      <c r="J696" s="44"/>
      <c r="K696" s="44"/>
      <c r="L696" s="5"/>
      <c r="M696" s="5"/>
      <c r="N696" s="5"/>
      <c r="O696" s="5"/>
      <c r="P696" s="44"/>
      <c r="Q696" s="44"/>
      <c r="R696" s="44"/>
      <c r="S696" s="44"/>
      <c r="T696" s="44"/>
      <c r="U696" s="44"/>
      <c r="V696" s="5"/>
      <c r="W696" s="5"/>
      <c r="Y696" s="44"/>
    </row>
    <row r="697" spans="3:25" ht="15.75" customHeight="1">
      <c r="C697" s="5"/>
      <c r="D697" s="5"/>
      <c r="E697" s="5"/>
      <c r="F697" s="5"/>
      <c r="G697" s="44"/>
      <c r="H697" s="5"/>
      <c r="I697" s="44"/>
      <c r="J697" s="44"/>
      <c r="K697" s="44"/>
      <c r="L697" s="5"/>
      <c r="M697" s="5"/>
      <c r="N697" s="5"/>
      <c r="O697" s="5"/>
      <c r="P697" s="44"/>
      <c r="Q697" s="44"/>
      <c r="R697" s="44"/>
      <c r="S697" s="44"/>
      <c r="T697" s="44"/>
      <c r="U697" s="44"/>
      <c r="V697" s="5"/>
      <c r="W697" s="5"/>
      <c r="Y697" s="44"/>
    </row>
    <row r="698" spans="3:25" ht="15.75" customHeight="1">
      <c r="C698" s="5"/>
      <c r="D698" s="5"/>
      <c r="E698" s="5"/>
      <c r="F698" s="5"/>
      <c r="G698" s="44"/>
      <c r="H698" s="5"/>
      <c r="I698" s="44"/>
      <c r="J698" s="44"/>
      <c r="K698" s="44"/>
      <c r="L698" s="5"/>
      <c r="M698" s="5"/>
      <c r="N698" s="5"/>
      <c r="O698" s="5"/>
      <c r="P698" s="44"/>
      <c r="Q698" s="44"/>
      <c r="R698" s="44"/>
      <c r="S698" s="44"/>
      <c r="T698" s="44"/>
      <c r="U698" s="44"/>
      <c r="V698" s="5"/>
      <c r="W698" s="5"/>
      <c r="Y698" s="44"/>
    </row>
    <row r="699" spans="3:25" ht="15.75" customHeight="1">
      <c r="C699" s="5"/>
      <c r="D699" s="5"/>
      <c r="E699" s="5"/>
      <c r="F699" s="5"/>
      <c r="G699" s="44"/>
      <c r="H699" s="5"/>
      <c r="I699" s="44"/>
      <c r="J699" s="44"/>
      <c r="K699" s="44"/>
      <c r="L699" s="5"/>
      <c r="M699" s="5"/>
      <c r="N699" s="5"/>
      <c r="O699" s="5"/>
      <c r="P699" s="44"/>
      <c r="Q699" s="44"/>
      <c r="R699" s="44"/>
      <c r="S699" s="44"/>
      <c r="T699" s="44"/>
      <c r="U699" s="44"/>
      <c r="V699" s="5"/>
      <c r="W699" s="5"/>
      <c r="Y699" s="44"/>
    </row>
    <row r="700" spans="3:25" ht="15.75" customHeight="1">
      <c r="C700" s="5"/>
      <c r="D700" s="5"/>
      <c r="E700" s="5"/>
      <c r="F700" s="5"/>
      <c r="G700" s="44"/>
      <c r="H700" s="5"/>
      <c r="I700" s="44"/>
      <c r="J700" s="44"/>
      <c r="K700" s="44"/>
      <c r="L700" s="5"/>
      <c r="M700" s="5"/>
      <c r="N700" s="5"/>
      <c r="O700" s="5"/>
      <c r="P700" s="44"/>
      <c r="Q700" s="44"/>
      <c r="R700" s="44"/>
      <c r="S700" s="44"/>
      <c r="T700" s="44"/>
      <c r="U700" s="44"/>
      <c r="V700" s="5"/>
      <c r="W700" s="5"/>
      <c r="Y700" s="44"/>
    </row>
    <row r="701" spans="3:25" ht="15.75" customHeight="1">
      <c r="C701" s="5"/>
      <c r="D701" s="5"/>
      <c r="E701" s="5"/>
      <c r="F701" s="5"/>
      <c r="G701" s="44"/>
      <c r="H701" s="5"/>
      <c r="I701" s="44"/>
      <c r="J701" s="44"/>
      <c r="K701" s="44"/>
      <c r="L701" s="5"/>
      <c r="M701" s="5"/>
      <c r="N701" s="5"/>
      <c r="O701" s="5"/>
      <c r="P701" s="44"/>
      <c r="Q701" s="44"/>
      <c r="R701" s="44"/>
      <c r="S701" s="44"/>
      <c r="T701" s="44"/>
      <c r="U701" s="44"/>
      <c r="V701" s="5"/>
      <c r="W701" s="5"/>
      <c r="Y701" s="44"/>
    </row>
    <row r="702" spans="3:25" ht="15.75" customHeight="1">
      <c r="C702" s="5"/>
      <c r="D702" s="5"/>
      <c r="E702" s="5"/>
      <c r="F702" s="5"/>
      <c r="G702" s="44"/>
      <c r="H702" s="5"/>
      <c r="I702" s="44"/>
      <c r="J702" s="44"/>
      <c r="K702" s="44"/>
      <c r="L702" s="5"/>
      <c r="M702" s="5"/>
      <c r="N702" s="5"/>
      <c r="O702" s="5"/>
      <c r="P702" s="44"/>
      <c r="Q702" s="44"/>
      <c r="R702" s="44"/>
      <c r="S702" s="44"/>
      <c r="T702" s="44"/>
      <c r="U702" s="44"/>
      <c r="V702" s="5"/>
      <c r="W702" s="5"/>
      <c r="Y702" s="44"/>
    </row>
    <row r="703" spans="3:25" ht="15.75" customHeight="1">
      <c r="C703" s="5"/>
      <c r="D703" s="5"/>
      <c r="E703" s="5"/>
      <c r="F703" s="5"/>
      <c r="G703" s="44"/>
      <c r="H703" s="5"/>
      <c r="I703" s="44"/>
      <c r="J703" s="44"/>
      <c r="K703" s="44"/>
      <c r="L703" s="5"/>
      <c r="M703" s="5"/>
      <c r="N703" s="5"/>
      <c r="O703" s="5"/>
      <c r="P703" s="44"/>
      <c r="Q703" s="44"/>
      <c r="R703" s="44"/>
      <c r="S703" s="44"/>
      <c r="T703" s="44"/>
      <c r="U703" s="44"/>
      <c r="V703" s="5"/>
      <c r="W703" s="5"/>
      <c r="Y703" s="44"/>
    </row>
    <row r="704" spans="3:25" ht="15.75" customHeight="1">
      <c r="C704" s="5"/>
      <c r="D704" s="5"/>
      <c r="E704" s="5"/>
      <c r="F704" s="5"/>
      <c r="G704" s="44"/>
      <c r="H704" s="5"/>
      <c r="I704" s="44"/>
      <c r="J704" s="44"/>
      <c r="K704" s="44"/>
      <c r="L704" s="5"/>
      <c r="M704" s="5"/>
      <c r="N704" s="5"/>
      <c r="O704" s="5"/>
      <c r="P704" s="44"/>
      <c r="Q704" s="44"/>
      <c r="R704" s="44"/>
      <c r="S704" s="44"/>
      <c r="T704" s="44"/>
      <c r="U704" s="44"/>
      <c r="V704" s="5"/>
      <c r="W704" s="5"/>
      <c r="Y704" s="44"/>
    </row>
    <row r="705" spans="3:25" ht="15.75" customHeight="1">
      <c r="C705" s="5"/>
      <c r="D705" s="5"/>
      <c r="E705" s="5"/>
      <c r="F705" s="5"/>
      <c r="G705" s="44"/>
      <c r="H705" s="5"/>
      <c r="I705" s="44"/>
      <c r="J705" s="44"/>
      <c r="K705" s="44"/>
      <c r="L705" s="5"/>
      <c r="M705" s="5"/>
      <c r="N705" s="5"/>
      <c r="O705" s="5"/>
      <c r="P705" s="44"/>
      <c r="Q705" s="44"/>
      <c r="R705" s="44"/>
      <c r="S705" s="44"/>
      <c r="T705" s="44"/>
      <c r="U705" s="44"/>
      <c r="V705" s="5"/>
      <c r="W705" s="5"/>
      <c r="Y705" s="44"/>
    </row>
    <row r="706" spans="3:25" ht="15.75" customHeight="1">
      <c r="C706" s="5"/>
      <c r="D706" s="5"/>
      <c r="E706" s="5"/>
      <c r="F706" s="5"/>
      <c r="G706" s="44"/>
      <c r="H706" s="5"/>
      <c r="I706" s="44"/>
      <c r="J706" s="44"/>
      <c r="K706" s="44"/>
      <c r="L706" s="5"/>
      <c r="M706" s="5"/>
      <c r="N706" s="5"/>
      <c r="O706" s="5"/>
      <c r="P706" s="44"/>
      <c r="Q706" s="44"/>
      <c r="R706" s="44"/>
      <c r="S706" s="44"/>
      <c r="T706" s="44"/>
      <c r="U706" s="44"/>
      <c r="V706" s="5"/>
      <c r="W706" s="5"/>
      <c r="Y706" s="44"/>
    </row>
    <row r="707" spans="3:25" ht="15.75" customHeight="1">
      <c r="C707" s="5"/>
      <c r="D707" s="5"/>
      <c r="E707" s="5"/>
      <c r="F707" s="5"/>
      <c r="G707" s="44"/>
      <c r="H707" s="5"/>
      <c r="I707" s="44"/>
      <c r="J707" s="44"/>
      <c r="K707" s="44"/>
      <c r="L707" s="5"/>
      <c r="M707" s="5"/>
      <c r="N707" s="5"/>
      <c r="O707" s="5"/>
      <c r="P707" s="44"/>
      <c r="Q707" s="44"/>
      <c r="R707" s="44"/>
      <c r="S707" s="44"/>
      <c r="T707" s="44"/>
      <c r="U707" s="44"/>
      <c r="V707" s="5"/>
      <c r="W707" s="5"/>
      <c r="Y707" s="44"/>
    </row>
    <row r="708" spans="3:25" ht="15.75" customHeight="1">
      <c r="C708" s="5"/>
      <c r="D708" s="5"/>
      <c r="E708" s="5"/>
      <c r="F708" s="5"/>
      <c r="G708" s="44"/>
      <c r="H708" s="5"/>
      <c r="I708" s="44"/>
      <c r="J708" s="44"/>
      <c r="K708" s="44"/>
      <c r="L708" s="5"/>
      <c r="M708" s="5"/>
      <c r="N708" s="5"/>
      <c r="O708" s="5"/>
      <c r="P708" s="44"/>
      <c r="Q708" s="44"/>
      <c r="R708" s="44"/>
      <c r="S708" s="44"/>
      <c r="T708" s="44"/>
      <c r="U708" s="44"/>
      <c r="V708" s="5"/>
      <c r="W708" s="5"/>
      <c r="Y708" s="44"/>
    </row>
    <row r="709" spans="3:25" ht="15.75" customHeight="1">
      <c r="C709" s="5"/>
      <c r="D709" s="5"/>
      <c r="E709" s="5"/>
      <c r="F709" s="5"/>
      <c r="G709" s="44"/>
      <c r="H709" s="5"/>
      <c r="I709" s="44"/>
      <c r="J709" s="44"/>
      <c r="K709" s="44"/>
      <c r="L709" s="5"/>
      <c r="M709" s="5"/>
      <c r="N709" s="5"/>
      <c r="O709" s="5"/>
      <c r="P709" s="44"/>
      <c r="Q709" s="44"/>
      <c r="R709" s="44"/>
      <c r="S709" s="44"/>
      <c r="T709" s="44"/>
      <c r="U709" s="44"/>
      <c r="V709" s="5"/>
      <c r="W709" s="5"/>
      <c r="Y709" s="44"/>
    </row>
    <row r="710" spans="3:25" ht="15.75" customHeight="1">
      <c r="C710" s="5"/>
      <c r="D710" s="5"/>
      <c r="E710" s="5"/>
      <c r="F710" s="5"/>
      <c r="G710" s="44"/>
      <c r="H710" s="5"/>
      <c r="I710" s="44"/>
      <c r="J710" s="44"/>
      <c r="K710" s="44"/>
      <c r="L710" s="5"/>
      <c r="M710" s="5"/>
      <c r="N710" s="5"/>
      <c r="O710" s="5"/>
      <c r="P710" s="44"/>
      <c r="Q710" s="44"/>
      <c r="R710" s="44"/>
      <c r="S710" s="44"/>
      <c r="T710" s="44"/>
      <c r="U710" s="44"/>
      <c r="V710" s="5"/>
      <c r="W710" s="5"/>
      <c r="Y710" s="44"/>
    </row>
    <row r="711" spans="3:25" ht="15.75" customHeight="1">
      <c r="C711" s="5"/>
      <c r="D711" s="5"/>
      <c r="E711" s="5"/>
      <c r="F711" s="5"/>
      <c r="G711" s="44"/>
      <c r="H711" s="5"/>
      <c r="I711" s="44"/>
      <c r="J711" s="44"/>
      <c r="K711" s="44"/>
      <c r="L711" s="5"/>
      <c r="M711" s="5"/>
      <c r="N711" s="5"/>
      <c r="O711" s="5"/>
      <c r="P711" s="44"/>
      <c r="Q711" s="44"/>
      <c r="R711" s="44"/>
      <c r="S711" s="44"/>
      <c r="T711" s="44"/>
      <c r="U711" s="44"/>
      <c r="V711" s="5"/>
      <c r="W711" s="5"/>
      <c r="Y711" s="44"/>
    </row>
    <row r="712" spans="3:25" ht="15.75" customHeight="1">
      <c r="C712" s="5"/>
      <c r="D712" s="5"/>
      <c r="E712" s="5"/>
      <c r="F712" s="5"/>
      <c r="G712" s="44"/>
      <c r="H712" s="5"/>
      <c r="I712" s="44"/>
      <c r="J712" s="44"/>
      <c r="K712" s="44"/>
      <c r="L712" s="5"/>
      <c r="M712" s="5"/>
      <c r="N712" s="5"/>
      <c r="O712" s="5"/>
      <c r="P712" s="44"/>
      <c r="Q712" s="44"/>
      <c r="R712" s="44"/>
      <c r="S712" s="44"/>
      <c r="T712" s="44"/>
      <c r="U712" s="44"/>
      <c r="V712" s="5"/>
      <c r="W712" s="5"/>
      <c r="Y712" s="44"/>
    </row>
    <row r="713" spans="3:25" ht="15.75" customHeight="1">
      <c r="C713" s="5"/>
      <c r="D713" s="5"/>
      <c r="E713" s="5"/>
      <c r="F713" s="5"/>
      <c r="G713" s="44"/>
      <c r="H713" s="5"/>
      <c r="I713" s="44"/>
      <c r="J713" s="44"/>
      <c r="K713" s="44"/>
      <c r="L713" s="5"/>
      <c r="M713" s="5"/>
      <c r="N713" s="5"/>
      <c r="O713" s="5"/>
      <c r="P713" s="44"/>
      <c r="Q713" s="44"/>
      <c r="R713" s="44"/>
      <c r="S713" s="44"/>
      <c r="T713" s="44"/>
      <c r="U713" s="44"/>
      <c r="V713" s="5"/>
      <c r="W713" s="5"/>
      <c r="Y713" s="44"/>
    </row>
    <row r="714" spans="3:25" ht="15.75" customHeight="1">
      <c r="C714" s="5"/>
      <c r="D714" s="5"/>
      <c r="E714" s="5"/>
      <c r="F714" s="5"/>
      <c r="G714" s="44"/>
      <c r="H714" s="5"/>
      <c r="I714" s="44"/>
      <c r="J714" s="44"/>
      <c r="K714" s="44"/>
      <c r="L714" s="5"/>
      <c r="M714" s="5"/>
      <c r="N714" s="5"/>
      <c r="O714" s="5"/>
      <c r="P714" s="44"/>
      <c r="Q714" s="44"/>
      <c r="R714" s="44"/>
      <c r="S714" s="44"/>
      <c r="T714" s="44"/>
      <c r="U714" s="44"/>
      <c r="V714" s="5"/>
      <c r="W714" s="5"/>
      <c r="Y714" s="44"/>
    </row>
    <row r="715" spans="3:25" ht="15.75" customHeight="1">
      <c r="C715" s="5"/>
      <c r="D715" s="5"/>
      <c r="E715" s="5"/>
      <c r="F715" s="5"/>
      <c r="G715" s="44"/>
      <c r="H715" s="5"/>
      <c r="I715" s="44"/>
      <c r="J715" s="44"/>
      <c r="K715" s="44"/>
      <c r="L715" s="5"/>
      <c r="M715" s="5"/>
      <c r="N715" s="5"/>
      <c r="O715" s="5"/>
      <c r="P715" s="44"/>
      <c r="Q715" s="44"/>
      <c r="R715" s="44"/>
      <c r="S715" s="44"/>
      <c r="T715" s="44"/>
      <c r="U715" s="44"/>
      <c r="V715" s="5"/>
      <c r="W715" s="5"/>
      <c r="Y715" s="44"/>
    </row>
    <row r="716" spans="3:25" ht="15.75" customHeight="1">
      <c r="C716" s="5"/>
      <c r="D716" s="5"/>
      <c r="E716" s="5"/>
      <c r="F716" s="5"/>
      <c r="G716" s="44"/>
      <c r="H716" s="5"/>
      <c r="I716" s="44"/>
      <c r="J716" s="44"/>
      <c r="K716" s="44"/>
      <c r="L716" s="5"/>
      <c r="M716" s="5"/>
      <c r="N716" s="5"/>
      <c r="O716" s="5"/>
      <c r="P716" s="44"/>
      <c r="Q716" s="44"/>
      <c r="R716" s="44"/>
      <c r="S716" s="44"/>
      <c r="T716" s="44"/>
      <c r="U716" s="44"/>
      <c r="V716" s="5"/>
      <c r="W716" s="5"/>
      <c r="Y716" s="44"/>
    </row>
    <row r="717" spans="3:25" ht="15.75" customHeight="1">
      <c r="C717" s="5"/>
      <c r="D717" s="5"/>
      <c r="E717" s="5"/>
      <c r="F717" s="5"/>
      <c r="G717" s="44"/>
      <c r="H717" s="5"/>
      <c r="I717" s="44"/>
      <c r="J717" s="44"/>
      <c r="K717" s="44"/>
      <c r="L717" s="5"/>
      <c r="M717" s="5"/>
      <c r="N717" s="5"/>
      <c r="O717" s="5"/>
      <c r="P717" s="44"/>
      <c r="Q717" s="44"/>
      <c r="R717" s="44"/>
      <c r="S717" s="44"/>
      <c r="T717" s="44"/>
      <c r="U717" s="44"/>
      <c r="V717" s="5"/>
      <c r="W717" s="5"/>
      <c r="Y717" s="44"/>
    </row>
    <row r="718" spans="3:25" ht="15.75" customHeight="1">
      <c r="C718" s="5"/>
      <c r="D718" s="5"/>
      <c r="E718" s="5"/>
      <c r="F718" s="5"/>
      <c r="G718" s="44"/>
      <c r="H718" s="5"/>
      <c r="I718" s="44"/>
      <c r="J718" s="44"/>
      <c r="K718" s="44"/>
      <c r="L718" s="5"/>
      <c r="M718" s="5"/>
      <c r="N718" s="5"/>
      <c r="O718" s="5"/>
      <c r="P718" s="44"/>
      <c r="Q718" s="44"/>
      <c r="R718" s="44"/>
      <c r="S718" s="44"/>
      <c r="T718" s="44"/>
      <c r="U718" s="44"/>
      <c r="V718" s="5"/>
      <c r="W718" s="5"/>
      <c r="Y718" s="44"/>
    </row>
    <row r="719" spans="3:25" ht="15.75" customHeight="1">
      <c r="C719" s="5"/>
      <c r="D719" s="5"/>
      <c r="E719" s="5"/>
      <c r="F719" s="5"/>
      <c r="G719" s="44"/>
      <c r="H719" s="5"/>
      <c r="I719" s="44"/>
      <c r="J719" s="44"/>
      <c r="K719" s="44"/>
      <c r="L719" s="5"/>
      <c r="M719" s="5"/>
      <c r="N719" s="5"/>
      <c r="O719" s="5"/>
      <c r="P719" s="44"/>
      <c r="Q719" s="44"/>
      <c r="R719" s="44"/>
      <c r="S719" s="44"/>
      <c r="T719" s="44"/>
      <c r="U719" s="44"/>
      <c r="V719" s="5"/>
      <c r="W719" s="5"/>
      <c r="Y719" s="44"/>
    </row>
    <row r="720" spans="3:25" ht="15.75" customHeight="1">
      <c r="C720" s="5"/>
      <c r="D720" s="5"/>
      <c r="E720" s="5"/>
      <c r="F720" s="5"/>
      <c r="G720" s="44"/>
      <c r="H720" s="5"/>
      <c r="I720" s="44"/>
      <c r="J720" s="44"/>
      <c r="K720" s="44"/>
      <c r="L720" s="5"/>
      <c r="M720" s="5"/>
      <c r="N720" s="5"/>
      <c r="O720" s="5"/>
      <c r="P720" s="44"/>
      <c r="Q720" s="44"/>
      <c r="R720" s="44"/>
      <c r="S720" s="44"/>
      <c r="T720" s="44"/>
      <c r="U720" s="44"/>
      <c r="V720" s="5"/>
      <c r="W720" s="5"/>
      <c r="Y720" s="44"/>
    </row>
    <row r="721" spans="3:25" ht="15.75" customHeight="1">
      <c r="C721" s="5"/>
      <c r="D721" s="5"/>
      <c r="E721" s="5"/>
      <c r="F721" s="5"/>
      <c r="G721" s="44"/>
      <c r="H721" s="5"/>
      <c r="I721" s="44"/>
      <c r="J721" s="44"/>
      <c r="K721" s="44"/>
      <c r="L721" s="5"/>
      <c r="M721" s="5"/>
      <c r="N721" s="5"/>
      <c r="O721" s="5"/>
      <c r="P721" s="44"/>
      <c r="Q721" s="44"/>
      <c r="R721" s="44"/>
      <c r="S721" s="44"/>
      <c r="T721" s="44"/>
      <c r="U721" s="44"/>
      <c r="V721" s="5"/>
      <c r="W721" s="5"/>
      <c r="Y721" s="44"/>
    </row>
    <row r="722" spans="3:25" ht="15.75" customHeight="1">
      <c r="C722" s="5"/>
      <c r="D722" s="5"/>
      <c r="E722" s="5"/>
      <c r="F722" s="5"/>
      <c r="G722" s="44"/>
      <c r="H722" s="5"/>
      <c r="I722" s="44"/>
      <c r="J722" s="44"/>
      <c r="K722" s="44"/>
      <c r="L722" s="5"/>
      <c r="M722" s="5"/>
      <c r="N722" s="5"/>
      <c r="O722" s="5"/>
      <c r="P722" s="44"/>
      <c r="Q722" s="44"/>
      <c r="R722" s="44"/>
      <c r="S722" s="44"/>
      <c r="T722" s="44"/>
      <c r="U722" s="44"/>
      <c r="V722" s="5"/>
      <c r="W722" s="5"/>
      <c r="Y722" s="44"/>
    </row>
    <row r="723" spans="3:25" ht="15.75" customHeight="1">
      <c r="C723" s="5"/>
      <c r="D723" s="5"/>
      <c r="E723" s="5"/>
      <c r="F723" s="5"/>
      <c r="G723" s="44"/>
      <c r="H723" s="5"/>
      <c r="I723" s="44"/>
      <c r="J723" s="44"/>
      <c r="K723" s="44"/>
      <c r="L723" s="5"/>
      <c r="M723" s="5"/>
      <c r="N723" s="5"/>
      <c r="O723" s="5"/>
      <c r="P723" s="44"/>
      <c r="Q723" s="44"/>
      <c r="R723" s="44"/>
      <c r="S723" s="44"/>
      <c r="T723" s="44"/>
      <c r="U723" s="44"/>
      <c r="V723" s="5"/>
      <c r="W723" s="5"/>
      <c r="Y723" s="44"/>
    </row>
    <row r="724" spans="3:25" ht="15.75" customHeight="1">
      <c r="C724" s="5"/>
      <c r="D724" s="5"/>
      <c r="E724" s="5"/>
      <c r="F724" s="5"/>
      <c r="G724" s="44"/>
      <c r="H724" s="5"/>
      <c r="I724" s="44"/>
      <c r="J724" s="44"/>
      <c r="K724" s="44"/>
      <c r="L724" s="5"/>
      <c r="M724" s="5"/>
      <c r="N724" s="5"/>
      <c r="O724" s="5"/>
      <c r="P724" s="44"/>
      <c r="Q724" s="44"/>
      <c r="R724" s="44"/>
      <c r="S724" s="44"/>
      <c r="T724" s="44"/>
      <c r="U724" s="44"/>
      <c r="V724" s="5"/>
      <c r="W724" s="5"/>
      <c r="Y724" s="44"/>
    </row>
    <row r="725" spans="3:25" ht="15.75" customHeight="1">
      <c r="C725" s="5"/>
      <c r="D725" s="5"/>
      <c r="E725" s="5"/>
      <c r="F725" s="5"/>
      <c r="G725" s="44"/>
      <c r="H725" s="5"/>
      <c r="I725" s="44"/>
      <c r="J725" s="44"/>
      <c r="K725" s="44"/>
      <c r="L725" s="5"/>
      <c r="M725" s="5"/>
      <c r="N725" s="5"/>
      <c r="O725" s="5"/>
      <c r="P725" s="44"/>
      <c r="Q725" s="44"/>
      <c r="R725" s="44"/>
      <c r="S725" s="44"/>
      <c r="T725" s="44"/>
      <c r="U725" s="44"/>
      <c r="V725" s="5"/>
      <c r="W725" s="5"/>
      <c r="Y725" s="44"/>
    </row>
    <row r="726" spans="3:25" ht="15.75" customHeight="1">
      <c r="C726" s="5"/>
      <c r="D726" s="5"/>
      <c r="E726" s="5"/>
      <c r="F726" s="5"/>
      <c r="G726" s="44"/>
      <c r="H726" s="5"/>
      <c r="I726" s="44"/>
      <c r="J726" s="44"/>
      <c r="K726" s="44"/>
      <c r="L726" s="5"/>
      <c r="M726" s="5"/>
      <c r="N726" s="5"/>
      <c r="O726" s="5"/>
      <c r="P726" s="44"/>
      <c r="Q726" s="44"/>
      <c r="R726" s="44"/>
      <c r="S726" s="44"/>
      <c r="T726" s="44"/>
      <c r="U726" s="44"/>
      <c r="V726" s="5"/>
      <c r="W726" s="5"/>
      <c r="Y726" s="44"/>
    </row>
    <row r="727" spans="3:25" ht="15.75" customHeight="1">
      <c r="C727" s="5"/>
      <c r="D727" s="5"/>
      <c r="E727" s="5"/>
      <c r="F727" s="5"/>
      <c r="G727" s="44"/>
      <c r="H727" s="5"/>
      <c r="I727" s="44"/>
      <c r="J727" s="44"/>
      <c r="K727" s="44"/>
      <c r="L727" s="5"/>
      <c r="M727" s="5"/>
      <c r="N727" s="5"/>
      <c r="O727" s="5"/>
      <c r="P727" s="44"/>
      <c r="Q727" s="44"/>
      <c r="R727" s="44"/>
      <c r="S727" s="44"/>
      <c r="T727" s="44"/>
      <c r="U727" s="44"/>
      <c r="V727" s="5"/>
      <c r="W727" s="5"/>
      <c r="Y727" s="44"/>
    </row>
    <row r="728" spans="3:25" ht="15.75" customHeight="1">
      <c r="C728" s="5"/>
      <c r="D728" s="5"/>
      <c r="E728" s="5"/>
      <c r="F728" s="5"/>
      <c r="G728" s="44"/>
      <c r="H728" s="5"/>
      <c r="I728" s="44"/>
      <c r="J728" s="44"/>
      <c r="K728" s="44"/>
      <c r="L728" s="5"/>
      <c r="M728" s="5"/>
      <c r="N728" s="5"/>
      <c r="O728" s="5"/>
      <c r="P728" s="44"/>
      <c r="Q728" s="44"/>
      <c r="R728" s="44"/>
      <c r="S728" s="44"/>
      <c r="T728" s="44"/>
      <c r="U728" s="44"/>
      <c r="V728" s="5"/>
      <c r="W728" s="5"/>
      <c r="Y728" s="44"/>
    </row>
    <row r="729" spans="3:25" ht="15.75" customHeight="1">
      <c r="C729" s="5"/>
      <c r="D729" s="5"/>
      <c r="E729" s="5"/>
      <c r="F729" s="5"/>
      <c r="G729" s="44"/>
      <c r="H729" s="5"/>
      <c r="I729" s="44"/>
      <c r="J729" s="44"/>
      <c r="K729" s="44"/>
      <c r="L729" s="5"/>
      <c r="M729" s="5"/>
      <c r="N729" s="5"/>
      <c r="O729" s="5"/>
      <c r="P729" s="44"/>
      <c r="Q729" s="44"/>
      <c r="R729" s="44"/>
      <c r="S729" s="44"/>
      <c r="T729" s="44"/>
      <c r="U729" s="44"/>
      <c r="V729" s="5"/>
      <c r="W729" s="5"/>
      <c r="Y729" s="44"/>
    </row>
    <row r="730" spans="3:25" ht="15.75" customHeight="1">
      <c r="C730" s="5"/>
      <c r="D730" s="5"/>
      <c r="E730" s="5"/>
      <c r="F730" s="5"/>
      <c r="G730" s="44"/>
      <c r="H730" s="5"/>
      <c r="I730" s="44"/>
      <c r="J730" s="44"/>
      <c r="K730" s="44"/>
      <c r="L730" s="5"/>
      <c r="M730" s="5"/>
      <c r="N730" s="5"/>
      <c r="O730" s="5"/>
      <c r="P730" s="44"/>
      <c r="Q730" s="44"/>
      <c r="R730" s="44"/>
      <c r="S730" s="44"/>
      <c r="T730" s="44"/>
      <c r="U730" s="44"/>
      <c r="V730" s="5"/>
      <c r="W730" s="5"/>
      <c r="Y730" s="44"/>
    </row>
    <row r="731" spans="3:25" ht="15.75" customHeight="1">
      <c r="C731" s="5"/>
      <c r="D731" s="5"/>
      <c r="E731" s="5"/>
      <c r="F731" s="5"/>
      <c r="G731" s="44"/>
      <c r="H731" s="5"/>
      <c r="I731" s="44"/>
      <c r="J731" s="44"/>
      <c r="K731" s="44"/>
      <c r="L731" s="5"/>
      <c r="M731" s="5"/>
      <c r="N731" s="5"/>
      <c r="O731" s="5"/>
      <c r="P731" s="44"/>
      <c r="Q731" s="44"/>
      <c r="R731" s="44"/>
      <c r="S731" s="44"/>
      <c r="T731" s="44"/>
      <c r="U731" s="44"/>
      <c r="V731" s="5"/>
      <c r="W731" s="5"/>
      <c r="Y731" s="44"/>
    </row>
    <row r="732" spans="3:25" ht="15.75" customHeight="1">
      <c r="C732" s="5"/>
      <c r="D732" s="5"/>
      <c r="E732" s="5"/>
      <c r="F732" s="5"/>
      <c r="G732" s="44"/>
      <c r="H732" s="5"/>
      <c r="I732" s="44"/>
      <c r="J732" s="44"/>
      <c r="K732" s="44"/>
      <c r="L732" s="5"/>
      <c r="M732" s="5"/>
      <c r="N732" s="5"/>
      <c r="O732" s="5"/>
      <c r="P732" s="44"/>
      <c r="Q732" s="44"/>
      <c r="R732" s="44"/>
      <c r="S732" s="44"/>
      <c r="T732" s="44"/>
      <c r="U732" s="44"/>
      <c r="V732" s="5"/>
      <c r="W732" s="5"/>
      <c r="Y732" s="44"/>
    </row>
    <row r="733" spans="3:25" ht="15.75" customHeight="1">
      <c r="C733" s="5"/>
      <c r="D733" s="5"/>
      <c r="E733" s="5"/>
      <c r="F733" s="5"/>
      <c r="G733" s="44"/>
      <c r="H733" s="5"/>
      <c r="I733" s="44"/>
      <c r="J733" s="44"/>
      <c r="K733" s="44"/>
      <c r="L733" s="5"/>
      <c r="M733" s="5"/>
      <c r="N733" s="5"/>
      <c r="O733" s="5"/>
      <c r="P733" s="44"/>
      <c r="Q733" s="44"/>
      <c r="R733" s="44"/>
      <c r="S733" s="44"/>
      <c r="T733" s="44"/>
      <c r="U733" s="44"/>
      <c r="V733" s="5"/>
      <c r="W733" s="5"/>
      <c r="Y733" s="44"/>
    </row>
    <row r="734" spans="3:25" ht="15.75" customHeight="1">
      <c r="C734" s="5"/>
      <c r="D734" s="5"/>
      <c r="E734" s="5"/>
      <c r="F734" s="5"/>
      <c r="G734" s="44"/>
      <c r="H734" s="5"/>
      <c r="I734" s="44"/>
      <c r="J734" s="44"/>
      <c r="K734" s="44"/>
      <c r="L734" s="5"/>
      <c r="M734" s="5"/>
      <c r="N734" s="5"/>
      <c r="O734" s="5"/>
      <c r="P734" s="44"/>
      <c r="Q734" s="44"/>
      <c r="R734" s="44"/>
      <c r="S734" s="44"/>
      <c r="T734" s="44"/>
      <c r="U734" s="44"/>
      <c r="V734" s="5"/>
      <c r="W734" s="5"/>
      <c r="Y734" s="44"/>
    </row>
    <row r="735" spans="3:25" ht="15.75" customHeight="1">
      <c r="C735" s="5"/>
      <c r="D735" s="5"/>
      <c r="E735" s="5"/>
      <c r="F735" s="5"/>
      <c r="G735" s="44"/>
      <c r="H735" s="5"/>
      <c r="I735" s="44"/>
      <c r="J735" s="44"/>
      <c r="K735" s="44"/>
      <c r="L735" s="5"/>
      <c r="M735" s="5"/>
      <c r="N735" s="5"/>
      <c r="O735" s="5"/>
      <c r="P735" s="44"/>
      <c r="Q735" s="44"/>
      <c r="R735" s="44"/>
      <c r="S735" s="44"/>
      <c r="T735" s="44"/>
      <c r="U735" s="44"/>
      <c r="V735" s="5"/>
      <c r="W735" s="5"/>
      <c r="Y735" s="44"/>
    </row>
    <row r="736" spans="3:25" ht="15.75" customHeight="1">
      <c r="C736" s="5"/>
      <c r="D736" s="5"/>
      <c r="E736" s="5"/>
      <c r="F736" s="5"/>
      <c r="G736" s="44"/>
      <c r="H736" s="5"/>
      <c r="I736" s="44"/>
      <c r="J736" s="44"/>
      <c r="K736" s="44"/>
      <c r="L736" s="5"/>
      <c r="M736" s="5"/>
      <c r="N736" s="5"/>
      <c r="O736" s="5"/>
      <c r="P736" s="44"/>
      <c r="Q736" s="44"/>
      <c r="R736" s="44"/>
      <c r="S736" s="44"/>
      <c r="T736" s="44"/>
      <c r="U736" s="44"/>
      <c r="V736" s="5"/>
      <c r="W736" s="5"/>
      <c r="Y736" s="44"/>
    </row>
    <row r="737" spans="3:25" ht="15.75" customHeight="1">
      <c r="C737" s="5"/>
      <c r="D737" s="5"/>
      <c r="E737" s="5"/>
      <c r="F737" s="5"/>
      <c r="G737" s="44"/>
      <c r="H737" s="5"/>
      <c r="I737" s="44"/>
      <c r="J737" s="44"/>
      <c r="K737" s="44"/>
      <c r="L737" s="5"/>
      <c r="M737" s="5"/>
      <c r="N737" s="5"/>
      <c r="O737" s="5"/>
      <c r="P737" s="44"/>
      <c r="Q737" s="44"/>
      <c r="R737" s="44"/>
      <c r="S737" s="44"/>
      <c r="T737" s="44"/>
      <c r="U737" s="44"/>
      <c r="V737" s="5"/>
      <c r="W737" s="5"/>
      <c r="Y737" s="44"/>
    </row>
    <row r="738" spans="3:25" ht="15.75" customHeight="1">
      <c r="C738" s="5"/>
      <c r="D738" s="5"/>
      <c r="E738" s="5"/>
      <c r="F738" s="5"/>
      <c r="G738" s="44"/>
      <c r="H738" s="5"/>
      <c r="I738" s="44"/>
      <c r="J738" s="44"/>
      <c r="K738" s="44"/>
      <c r="L738" s="5"/>
      <c r="M738" s="5"/>
      <c r="N738" s="5"/>
      <c r="O738" s="5"/>
      <c r="P738" s="44"/>
      <c r="Q738" s="44"/>
      <c r="R738" s="44"/>
      <c r="S738" s="44"/>
      <c r="T738" s="44"/>
      <c r="U738" s="44"/>
      <c r="V738" s="5"/>
      <c r="W738" s="5"/>
      <c r="Y738" s="44"/>
    </row>
    <row r="739" spans="3:25" ht="15.75" customHeight="1">
      <c r="C739" s="5"/>
      <c r="D739" s="5"/>
      <c r="E739" s="5"/>
      <c r="F739" s="5"/>
      <c r="G739" s="44"/>
      <c r="H739" s="5"/>
      <c r="I739" s="44"/>
      <c r="J739" s="44"/>
      <c r="K739" s="44"/>
      <c r="L739" s="5"/>
      <c r="M739" s="5"/>
      <c r="N739" s="5"/>
      <c r="O739" s="5"/>
      <c r="P739" s="44"/>
      <c r="Q739" s="44"/>
      <c r="R739" s="44"/>
      <c r="S739" s="44"/>
      <c r="T739" s="44"/>
      <c r="U739" s="44"/>
      <c r="V739" s="5"/>
      <c r="W739" s="5"/>
      <c r="Y739" s="44"/>
    </row>
    <row r="740" spans="3:25" ht="15.75" customHeight="1">
      <c r="C740" s="5"/>
      <c r="D740" s="5"/>
      <c r="E740" s="5"/>
      <c r="F740" s="5"/>
      <c r="G740" s="44"/>
      <c r="H740" s="5"/>
      <c r="I740" s="44"/>
      <c r="J740" s="44"/>
      <c r="K740" s="44"/>
      <c r="L740" s="5"/>
      <c r="M740" s="5"/>
      <c r="N740" s="5"/>
      <c r="O740" s="5"/>
      <c r="P740" s="44"/>
      <c r="Q740" s="44"/>
      <c r="R740" s="44"/>
      <c r="S740" s="44"/>
      <c r="T740" s="44"/>
      <c r="U740" s="44"/>
      <c r="V740" s="5"/>
      <c r="W740" s="5"/>
      <c r="Y740" s="44"/>
    </row>
    <row r="741" spans="3:25" ht="15.75" customHeight="1">
      <c r="C741" s="5"/>
      <c r="D741" s="5"/>
      <c r="E741" s="5"/>
      <c r="F741" s="5"/>
      <c r="G741" s="44"/>
      <c r="H741" s="5"/>
      <c r="I741" s="44"/>
      <c r="J741" s="44"/>
      <c r="K741" s="44"/>
      <c r="L741" s="5"/>
      <c r="M741" s="5"/>
      <c r="N741" s="5"/>
      <c r="O741" s="5"/>
      <c r="P741" s="44"/>
      <c r="Q741" s="44"/>
      <c r="R741" s="44"/>
      <c r="S741" s="44"/>
      <c r="T741" s="44"/>
      <c r="U741" s="44"/>
      <c r="V741" s="5"/>
      <c r="W741" s="5"/>
      <c r="Y741" s="44"/>
    </row>
    <row r="742" spans="3:25" ht="15.75" customHeight="1">
      <c r="C742" s="5"/>
      <c r="D742" s="5"/>
      <c r="E742" s="5"/>
      <c r="F742" s="5"/>
      <c r="G742" s="44"/>
      <c r="H742" s="5"/>
      <c r="I742" s="44"/>
      <c r="J742" s="44"/>
      <c r="K742" s="44"/>
      <c r="L742" s="5"/>
      <c r="M742" s="5"/>
      <c r="N742" s="5"/>
      <c r="O742" s="5"/>
      <c r="P742" s="44"/>
      <c r="Q742" s="44"/>
      <c r="R742" s="44"/>
      <c r="S742" s="44"/>
      <c r="T742" s="44"/>
      <c r="U742" s="44"/>
      <c r="V742" s="5"/>
      <c r="W742" s="5"/>
      <c r="Y742" s="44"/>
    </row>
    <row r="743" spans="3:25" ht="15.75" customHeight="1">
      <c r="C743" s="5"/>
      <c r="D743" s="5"/>
      <c r="E743" s="5"/>
      <c r="F743" s="5"/>
      <c r="G743" s="44"/>
      <c r="H743" s="5"/>
      <c r="I743" s="44"/>
      <c r="J743" s="44"/>
      <c r="K743" s="44"/>
      <c r="L743" s="5"/>
      <c r="M743" s="5"/>
      <c r="N743" s="5"/>
      <c r="O743" s="5"/>
      <c r="P743" s="44"/>
      <c r="Q743" s="44"/>
      <c r="R743" s="44"/>
      <c r="S743" s="44"/>
      <c r="T743" s="44"/>
      <c r="U743" s="44"/>
      <c r="V743" s="5"/>
      <c r="W743" s="5"/>
      <c r="Y743" s="44"/>
    </row>
    <row r="744" spans="3:25" ht="15.75" customHeight="1">
      <c r="C744" s="5"/>
      <c r="D744" s="5"/>
      <c r="E744" s="5"/>
      <c r="F744" s="5"/>
      <c r="G744" s="44"/>
      <c r="H744" s="5"/>
      <c r="I744" s="44"/>
      <c r="J744" s="44"/>
      <c r="K744" s="44"/>
      <c r="L744" s="5"/>
      <c r="M744" s="5"/>
      <c r="N744" s="5"/>
      <c r="O744" s="5"/>
      <c r="P744" s="44"/>
      <c r="Q744" s="44"/>
      <c r="R744" s="44"/>
      <c r="S744" s="44"/>
      <c r="T744" s="44"/>
      <c r="U744" s="44"/>
      <c r="V744" s="5"/>
      <c r="W744" s="5"/>
      <c r="Y744" s="44"/>
    </row>
    <row r="745" spans="3:25" ht="15.75" customHeight="1">
      <c r="C745" s="5"/>
      <c r="D745" s="5"/>
      <c r="E745" s="5"/>
      <c r="F745" s="5"/>
      <c r="G745" s="44"/>
      <c r="H745" s="5"/>
      <c r="I745" s="44"/>
      <c r="J745" s="44"/>
      <c r="K745" s="44"/>
      <c r="L745" s="5"/>
      <c r="M745" s="5"/>
      <c r="N745" s="5"/>
      <c r="O745" s="5"/>
      <c r="P745" s="44"/>
      <c r="Q745" s="44"/>
      <c r="R745" s="44"/>
      <c r="S745" s="44"/>
      <c r="T745" s="44"/>
      <c r="U745" s="44"/>
      <c r="V745" s="5"/>
      <c r="W745" s="5"/>
      <c r="Y745" s="44"/>
    </row>
    <row r="746" spans="3:25" ht="15.75" customHeight="1">
      <c r="C746" s="5"/>
      <c r="D746" s="5"/>
      <c r="E746" s="5"/>
      <c r="F746" s="5"/>
      <c r="G746" s="44"/>
      <c r="H746" s="5"/>
      <c r="I746" s="44"/>
      <c r="J746" s="44"/>
      <c r="K746" s="44"/>
      <c r="L746" s="5"/>
      <c r="M746" s="5"/>
      <c r="N746" s="5"/>
      <c r="O746" s="5"/>
      <c r="P746" s="44"/>
      <c r="Q746" s="44"/>
      <c r="R746" s="44"/>
      <c r="S746" s="44"/>
      <c r="T746" s="44"/>
      <c r="U746" s="44"/>
      <c r="V746" s="5"/>
      <c r="W746" s="5"/>
      <c r="Y746" s="44"/>
    </row>
    <row r="747" spans="3:25" ht="15.75" customHeight="1">
      <c r="C747" s="5"/>
      <c r="D747" s="5"/>
      <c r="E747" s="5"/>
      <c r="F747" s="5"/>
      <c r="G747" s="44"/>
      <c r="H747" s="5"/>
      <c r="I747" s="44"/>
      <c r="J747" s="44"/>
      <c r="K747" s="44"/>
      <c r="L747" s="5"/>
      <c r="M747" s="5"/>
      <c r="N747" s="5"/>
      <c r="O747" s="5"/>
      <c r="P747" s="44"/>
      <c r="Q747" s="44"/>
      <c r="R747" s="44"/>
      <c r="S747" s="44"/>
      <c r="T747" s="44"/>
      <c r="U747" s="44"/>
      <c r="V747" s="5"/>
      <c r="W747" s="5"/>
      <c r="Y747" s="44"/>
    </row>
    <row r="748" spans="3:25" ht="15.75" customHeight="1">
      <c r="C748" s="5"/>
      <c r="D748" s="5"/>
      <c r="E748" s="5"/>
      <c r="F748" s="5"/>
      <c r="G748" s="44"/>
      <c r="H748" s="5"/>
      <c r="I748" s="44"/>
      <c r="J748" s="44"/>
      <c r="K748" s="44"/>
      <c r="L748" s="5"/>
      <c r="M748" s="5"/>
      <c r="N748" s="5"/>
      <c r="O748" s="5"/>
      <c r="P748" s="44"/>
      <c r="Q748" s="44"/>
      <c r="R748" s="44"/>
      <c r="S748" s="44"/>
      <c r="T748" s="44"/>
      <c r="U748" s="44"/>
      <c r="V748" s="5"/>
      <c r="W748" s="5"/>
      <c r="Y748" s="44"/>
    </row>
    <row r="749" spans="3:25" ht="15.75" customHeight="1">
      <c r="C749" s="5"/>
      <c r="D749" s="5"/>
      <c r="E749" s="5"/>
      <c r="F749" s="5"/>
      <c r="G749" s="44"/>
      <c r="H749" s="5"/>
      <c r="I749" s="44"/>
      <c r="J749" s="44"/>
      <c r="K749" s="44"/>
      <c r="L749" s="5"/>
      <c r="M749" s="5"/>
      <c r="N749" s="5"/>
      <c r="O749" s="5"/>
      <c r="P749" s="44"/>
      <c r="Q749" s="44"/>
      <c r="R749" s="44"/>
      <c r="S749" s="44"/>
      <c r="T749" s="44"/>
      <c r="U749" s="44"/>
      <c r="V749" s="5"/>
      <c r="W749" s="5"/>
      <c r="Y749" s="44"/>
    </row>
    <row r="750" spans="3:25" ht="15.75" customHeight="1">
      <c r="C750" s="5"/>
      <c r="D750" s="5"/>
      <c r="E750" s="5"/>
      <c r="F750" s="5"/>
      <c r="G750" s="44"/>
      <c r="H750" s="5"/>
      <c r="I750" s="44"/>
      <c r="J750" s="44"/>
      <c r="K750" s="44"/>
      <c r="L750" s="5"/>
      <c r="M750" s="5"/>
      <c r="N750" s="5"/>
      <c r="O750" s="5"/>
      <c r="P750" s="44"/>
      <c r="Q750" s="44"/>
      <c r="R750" s="44"/>
      <c r="S750" s="44"/>
      <c r="T750" s="44"/>
      <c r="U750" s="44"/>
      <c r="V750" s="5"/>
      <c r="W750" s="5"/>
      <c r="Y750" s="44"/>
    </row>
    <row r="751" spans="3:25" ht="15.75" customHeight="1">
      <c r="C751" s="5"/>
      <c r="D751" s="5"/>
      <c r="E751" s="5"/>
      <c r="F751" s="5"/>
      <c r="G751" s="44"/>
      <c r="H751" s="5"/>
      <c r="I751" s="44"/>
      <c r="J751" s="44"/>
      <c r="K751" s="44"/>
      <c r="L751" s="5"/>
      <c r="M751" s="5"/>
      <c r="N751" s="5"/>
      <c r="O751" s="5"/>
      <c r="P751" s="44"/>
      <c r="Q751" s="44"/>
      <c r="R751" s="44"/>
      <c r="S751" s="44"/>
      <c r="T751" s="44"/>
      <c r="U751" s="44"/>
      <c r="V751" s="5"/>
      <c r="W751" s="5"/>
      <c r="Y751" s="44"/>
    </row>
    <row r="752" spans="3:25" ht="15.75" customHeight="1">
      <c r="C752" s="5"/>
      <c r="D752" s="5"/>
      <c r="E752" s="5"/>
      <c r="F752" s="5"/>
      <c r="G752" s="44"/>
      <c r="H752" s="5"/>
      <c r="I752" s="44"/>
      <c r="J752" s="44"/>
      <c r="K752" s="44"/>
      <c r="L752" s="5"/>
      <c r="M752" s="5"/>
      <c r="N752" s="5"/>
      <c r="O752" s="5"/>
      <c r="P752" s="44"/>
      <c r="Q752" s="44"/>
      <c r="R752" s="44"/>
      <c r="S752" s="44"/>
      <c r="T752" s="44"/>
      <c r="U752" s="44"/>
      <c r="V752" s="5"/>
      <c r="W752" s="5"/>
      <c r="Y752" s="44"/>
    </row>
    <row r="753" spans="3:25" ht="15.75" customHeight="1">
      <c r="C753" s="5"/>
      <c r="D753" s="5"/>
      <c r="E753" s="5"/>
      <c r="F753" s="5"/>
      <c r="G753" s="44"/>
      <c r="H753" s="5"/>
      <c r="I753" s="44"/>
      <c r="J753" s="44"/>
      <c r="K753" s="44"/>
      <c r="L753" s="5"/>
      <c r="M753" s="5"/>
      <c r="N753" s="5"/>
      <c r="O753" s="5"/>
      <c r="P753" s="44"/>
      <c r="Q753" s="44"/>
      <c r="R753" s="44"/>
      <c r="S753" s="44"/>
      <c r="T753" s="44"/>
      <c r="U753" s="44"/>
      <c r="V753" s="5"/>
      <c r="W753" s="5"/>
      <c r="Y753" s="44"/>
    </row>
    <row r="754" spans="3:25" ht="15.75" customHeight="1">
      <c r="C754" s="5"/>
      <c r="D754" s="5"/>
      <c r="E754" s="5"/>
      <c r="F754" s="5"/>
      <c r="G754" s="44"/>
      <c r="H754" s="5"/>
      <c r="I754" s="44"/>
      <c r="J754" s="44"/>
      <c r="K754" s="44"/>
      <c r="L754" s="5"/>
      <c r="M754" s="5"/>
      <c r="N754" s="5"/>
      <c r="O754" s="5"/>
      <c r="P754" s="44"/>
      <c r="Q754" s="44"/>
      <c r="R754" s="44"/>
      <c r="S754" s="44"/>
      <c r="T754" s="44"/>
      <c r="U754" s="44"/>
      <c r="V754" s="5"/>
      <c r="W754" s="5"/>
      <c r="Y754" s="44"/>
    </row>
    <row r="755" spans="3:25" ht="15.75" customHeight="1">
      <c r="C755" s="5"/>
      <c r="D755" s="5"/>
      <c r="E755" s="5"/>
      <c r="F755" s="5"/>
      <c r="G755" s="44"/>
      <c r="H755" s="5"/>
      <c r="I755" s="44"/>
      <c r="J755" s="44"/>
      <c r="K755" s="44"/>
      <c r="L755" s="5"/>
      <c r="M755" s="5"/>
      <c r="N755" s="5"/>
      <c r="O755" s="5"/>
      <c r="P755" s="44"/>
      <c r="Q755" s="44"/>
      <c r="R755" s="44"/>
      <c r="S755" s="44"/>
      <c r="T755" s="44"/>
      <c r="U755" s="44"/>
      <c r="V755" s="5"/>
      <c r="W755" s="5"/>
      <c r="Y755" s="44"/>
    </row>
    <row r="756" spans="3:25" ht="15.75" customHeight="1">
      <c r="C756" s="5"/>
      <c r="D756" s="5"/>
      <c r="E756" s="5"/>
      <c r="F756" s="5"/>
      <c r="G756" s="44"/>
      <c r="H756" s="5"/>
      <c r="I756" s="44"/>
      <c r="J756" s="44"/>
      <c r="K756" s="44"/>
      <c r="L756" s="5"/>
      <c r="M756" s="5"/>
      <c r="N756" s="5"/>
      <c r="O756" s="5"/>
      <c r="P756" s="44"/>
      <c r="Q756" s="44"/>
      <c r="R756" s="44"/>
      <c r="S756" s="44"/>
      <c r="T756" s="44"/>
      <c r="U756" s="44"/>
      <c r="V756" s="5"/>
      <c r="W756" s="5"/>
      <c r="Y756" s="44"/>
    </row>
    <row r="757" spans="3:25" ht="15.75" customHeight="1">
      <c r="C757" s="5"/>
      <c r="D757" s="5"/>
      <c r="E757" s="5"/>
      <c r="F757" s="5"/>
      <c r="G757" s="44"/>
      <c r="H757" s="5"/>
      <c r="I757" s="44"/>
      <c r="J757" s="44"/>
      <c r="K757" s="44"/>
      <c r="L757" s="5"/>
      <c r="M757" s="5"/>
      <c r="N757" s="5"/>
      <c r="O757" s="5"/>
      <c r="P757" s="44"/>
      <c r="Q757" s="44"/>
      <c r="R757" s="44"/>
      <c r="S757" s="44"/>
      <c r="T757" s="44"/>
      <c r="U757" s="44"/>
      <c r="V757" s="5"/>
      <c r="W757" s="5"/>
      <c r="Y757" s="44"/>
    </row>
    <row r="758" spans="3:25" ht="15.75" customHeight="1">
      <c r="C758" s="5"/>
      <c r="D758" s="5"/>
      <c r="E758" s="5"/>
      <c r="F758" s="5"/>
      <c r="G758" s="44"/>
      <c r="H758" s="5"/>
      <c r="I758" s="44"/>
      <c r="J758" s="44"/>
      <c r="K758" s="44"/>
      <c r="L758" s="5"/>
      <c r="M758" s="5"/>
      <c r="N758" s="5"/>
      <c r="O758" s="5"/>
      <c r="P758" s="44"/>
      <c r="Q758" s="44"/>
      <c r="R758" s="44"/>
      <c r="S758" s="44"/>
      <c r="T758" s="44"/>
      <c r="U758" s="44"/>
      <c r="V758" s="5"/>
      <c r="W758" s="5"/>
      <c r="Y758" s="44"/>
    </row>
    <row r="759" spans="3:25" ht="15.75" customHeight="1">
      <c r="C759" s="5"/>
      <c r="D759" s="5"/>
      <c r="E759" s="5"/>
      <c r="F759" s="5"/>
      <c r="G759" s="44"/>
      <c r="H759" s="5"/>
      <c r="I759" s="44"/>
      <c r="J759" s="44"/>
      <c r="K759" s="44"/>
      <c r="L759" s="5"/>
      <c r="M759" s="5"/>
      <c r="N759" s="5"/>
      <c r="O759" s="5"/>
      <c r="P759" s="44"/>
      <c r="Q759" s="44"/>
      <c r="R759" s="44"/>
      <c r="S759" s="44"/>
      <c r="T759" s="44"/>
      <c r="U759" s="44"/>
      <c r="V759" s="5"/>
      <c r="W759" s="5"/>
      <c r="Y759" s="44"/>
    </row>
    <row r="760" spans="3:25" ht="15.75" customHeight="1">
      <c r="C760" s="5"/>
      <c r="D760" s="5"/>
      <c r="E760" s="5"/>
      <c r="F760" s="5"/>
      <c r="G760" s="44"/>
      <c r="H760" s="5"/>
      <c r="I760" s="44"/>
      <c r="J760" s="44"/>
      <c r="K760" s="44"/>
      <c r="L760" s="5"/>
      <c r="M760" s="5"/>
      <c r="N760" s="5"/>
      <c r="O760" s="5"/>
      <c r="P760" s="44"/>
      <c r="Q760" s="44"/>
      <c r="R760" s="44"/>
      <c r="S760" s="44"/>
      <c r="T760" s="44"/>
      <c r="U760" s="44"/>
      <c r="V760" s="5"/>
      <c r="W760" s="5"/>
      <c r="Y760" s="44"/>
    </row>
    <row r="761" spans="3:25" ht="15.75" customHeight="1">
      <c r="C761" s="5"/>
      <c r="D761" s="5"/>
      <c r="E761" s="5"/>
      <c r="F761" s="5"/>
      <c r="G761" s="44"/>
      <c r="H761" s="5"/>
      <c r="I761" s="44"/>
      <c r="J761" s="44"/>
      <c r="K761" s="44"/>
      <c r="L761" s="5"/>
      <c r="M761" s="5"/>
      <c r="N761" s="5"/>
      <c r="O761" s="5"/>
      <c r="P761" s="44"/>
      <c r="Q761" s="44"/>
      <c r="R761" s="44"/>
      <c r="S761" s="44"/>
      <c r="T761" s="44"/>
      <c r="U761" s="44"/>
      <c r="V761" s="5"/>
      <c r="W761" s="5"/>
      <c r="Y761" s="44"/>
    </row>
    <row r="762" spans="3:25" ht="15.75" customHeight="1">
      <c r="C762" s="5"/>
      <c r="D762" s="5"/>
      <c r="E762" s="5"/>
      <c r="F762" s="5"/>
      <c r="G762" s="44"/>
      <c r="H762" s="5"/>
      <c r="I762" s="44"/>
      <c r="J762" s="44"/>
      <c r="K762" s="44"/>
      <c r="L762" s="5"/>
      <c r="M762" s="5"/>
      <c r="N762" s="5"/>
      <c r="O762" s="5"/>
      <c r="P762" s="44"/>
      <c r="Q762" s="44"/>
      <c r="R762" s="44"/>
      <c r="S762" s="44"/>
      <c r="T762" s="44"/>
      <c r="U762" s="44"/>
      <c r="V762" s="5"/>
      <c r="W762" s="5"/>
      <c r="Y762" s="44"/>
    </row>
    <row r="763" spans="3:25" ht="15.75" customHeight="1">
      <c r="C763" s="5"/>
      <c r="D763" s="5"/>
      <c r="E763" s="5"/>
      <c r="F763" s="5"/>
      <c r="G763" s="44"/>
      <c r="H763" s="5"/>
      <c r="I763" s="44"/>
      <c r="J763" s="44"/>
      <c r="K763" s="44"/>
      <c r="L763" s="5"/>
      <c r="M763" s="5"/>
      <c r="N763" s="5"/>
      <c r="O763" s="5"/>
      <c r="P763" s="44"/>
      <c r="Q763" s="44"/>
      <c r="R763" s="44"/>
      <c r="S763" s="44"/>
      <c r="T763" s="44"/>
      <c r="U763" s="44"/>
      <c r="V763" s="5"/>
      <c r="W763" s="5"/>
      <c r="Y763" s="44"/>
    </row>
    <row r="764" spans="3:25" ht="15.75" customHeight="1">
      <c r="C764" s="5"/>
      <c r="D764" s="5"/>
      <c r="E764" s="5"/>
      <c r="F764" s="5"/>
      <c r="G764" s="44"/>
      <c r="H764" s="5"/>
      <c r="I764" s="44"/>
      <c r="J764" s="44"/>
      <c r="K764" s="44"/>
      <c r="L764" s="5"/>
      <c r="M764" s="5"/>
      <c r="N764" s="5"/>
      <c r="O764" s="5"/>
      <c r="P764" s="44"/>
      <c r="Q764" s="44"/>
      <c r="R764" s="44"/>
      <c r="S764" s="44"/>
      <c r="T764" s="44"/>
      <c r="U764" s="44"/>
      <c r="V764" s="5"/>
      <c r="W764" s="5"/>
      <c r="Y764" s="44"/>
    </row>
    <row r="765" spans="3:25" ht="15.75" customHeight="1">
      <c r="C765" s="5"/>
      <c r="D765" s="5"/>
      <c r="E765" s="5"/>
      <c r="F765" s="5"/>
      <c r="G765" s="44"/>
      <c r="H765" s="5"/>
      <c r="I765" s="44"/>
      <c r="J765" s="44"/>
      <c r="K765" s="44"/>
      <c r="L765" s="5"/>
      <c r="M765" s="5"/>
      <c r="N765" s="5"/>
      <c r="O765" s="5"/>
      <c r="P765" s="44"/>
      <c r="Q765" s="44"/>
      <c r="R765" s="44"/>
      <c r="S765" s="44"/>
      <c r="T765" s="44"/>
      <c r="U765" s="44"/>
      <c r="V765" s="5"/>
      <c r="W765" s="5"/>
      <c r="Y765" s="44"/>
    </row>
    <row r="766" spans="3:25" ht="15.75" customHeight="1">
      <c r="C766" s="5"/>
      <c r="D766" s="5"/>
      <c r="E766" s="5"/>
      <c r="F766" s="5"/>
      <c r="G766" s="44"/>
      <c r="H766" s="5"/>
      <c r="I766" s="44"/>
      <c r="J766" s="44"/>
      <c r="K766" s="44"/>
      <c r="L766" s="5"/>
      <c r="M766" s="5"/>
      <c r="N766" s="5"/>
      <c r="O766" s="5"/>
      <c r="P766" s="44"/>
      <c r="Q766" s="44"/>
      <c r="R766" s="44"/>
      <c r="S766" s="44"/>
      <c r="T766" s="44"/>
      <c r="U766" s="44"/>
      <c r="V766" s="5"/>
      <c r="W766" s="5"/>
      <c r="Y766" s="44"/>
    </row>
    <row r="767" spans="3:25" ht="15.75" customHeight="1">
      <c r="C767" s="5"/>
      <c r="D767" s="5"/>
      <c r="E767" s="5"/>
      <c r="F767" s="5"/>
      <c r="G767" s="44"/>
      <c r="H767" s="5"/>
      <c r="I767" s="44"/>
      <c r="J767" s="44"/>
      <c r="K767" s="44"/>
      <c r="L767" s="5"/>
      <c r="M767" s="5"/>
      <c r="N767" s="5"/>
      <c r="O767" s="5"/>
      <c r="P767" s="44"/>
      <c r="Q767" s="44"/>
      <c r="R767" s="44"/>
      <c r="S767" s="44"/>
      <c r="T767" s="44"/>
      <c r="U767" s="44"/>
      <c r="V767" s="5"/>
      <c r="W767" s="5"/>
      <c r="Y767" s="44"/>
    </row>
    <row r="768" spans="3:25" ht="15.75" customHeight="1">
      <c r="C768" s="5"/>
      <c r="D768" s="5"/>
      <c r="E768" s="5"/>
      <c r="F768" s="5"/>
      <c r="G768" s="44"/>
      <c r="H768" s="5"/>
      <c r="I768" s="44"/>
      <c r="J768" s="44"/>
      <c r="K768" s="44"/>
      <c r="L768" s="5"/>
      <c r="M768" s="5"/>
      <c r="N768" s="5"/>
      <c r="O768" s="5"/>
      <c r="P768" s="44"/>
      <c r="Q768" s="44"/>
      <c r="R768" s="44"/>
      <c r="S768" s="44"/>
      <c r="T768" s="44"/>
      <c r="U768" s="44"/>
      <c r="V768" s="5"/>
      <c r="W768" s="5"/>
      <c r="Y768" s="44"/>
    </row>
    <row r="769" spans="3:25" ht="15.75" customHeight="1">
      <c r="C769" s="5"/>
      <c r="D769" s="5"/>
      <c r="E769" s="5"/>
      <c r="F769" s="5"/>
      <c r="G769" s="44"/>
      <c r="H769" s="5"/>
      <c r="I769" s="44"/>
      <c r="J769" s="44"/>
      <c r="K769" s="44"/>
      <c r="L769" s="5"/>
      <c r="M769" s="5"/>
      <c r="N769" s="5"/>
      <c r="O769" s="5"/>
      <c r="P769" s="44"/>
      <c r="Q769" s="44"/>
      <c r="R769" s="44"/>
      <c r="S769" s="44"/>
      <c r="T769" s="44"/>
      <c r="U769" s="44"/>
      <c r="V769" s="5"/>
      <c r="W769" s="5"/>
      <c r="Y769" s="44"/>
    </row>
    <row r="770" spans="3:25" ht="15.75" customHeight="1">
      <c r="C770" s="5"/>
      <c r="D770" s="5"/>
      <c r="E770" s="5"/>
      <c r="F770" s="5"/>
      <c r="G770" s="44"/>
      <c r="H770" s="5"/>
      <c r="I770" s="44"/>
      <c r="J770" s="44"/>
      <c r="K770" s="44"/>
      <c r="L770" s="5"/>
      <c r="M770" s="5"/>
      <c r="N770" s="5"/>
      <c r="O770" s="5"/>
      <c r="P770" s="44"/>
      <c r="Q770" s="44"/>
      <c r="R770" s="44"/>
      <c r="S770" s="44"/>
      <c r="T770" s="44"/>
      <c r="U770" s="44"/>
      <c r="V770" s="5"/>
      <c r="W770" s="5"/>
      <c r="Y770" s="44"/>
    </row>
    <row r="771" spans="3:25" ht="15.75" customHeight="1">
      <c r="C771" s="5"/>
      <c r="D771" s="5"/>
      <c r="E771" s="5"/>
      <c r="F771" s="5"/>
      <c r="G771" s="44"/>
      <c r="H771" s="5"/>
      <c r="I771" s="44"/>
      <c r="J771" s="44"/>
      <c r="K771" s="44"/>
      <c r="L771" s="5"/>
      <c r="M771" s="5"/>
      <c r="N771" s="5"/>
      <c r="O771" s="5"/>
      <c r="P771" s="44"/>
      <c r="Q771" s="44"/>
      <c r="R771" s="44"/>
      <c r="S771" s="44"/>
      <c r="T771" s="44"/>
      <c r="U771" s="44"/>
      <c r="V771" s="5"/>
      <c r="W771" s="5"/>
      <c r="Y771" s="44"/>
    </row>
    <row r="772" spans="3:25" ht="15.75" customHeight="1">
      <c r="C772" s="5"/>
      <c r="D772" s="5"/>
      <c r="E772" s="5"/>
      <c r="F772" s="5"/>
      <c r="G772" s="44"/>
      <c r="H772" s="5"/>
      <c r="I772" s="44"/>
      <c r="J772" s="44"/>
      <c r="K772" s="44"/>
      <c r="L772" s="5"/>
      <c r="M772" s="5"/>
      <c r="N772" s="5"/>
      <c r="O772" s="5"/>
      <c r="P772" s="44"/>
      <c r="Q772" s="44"/>
      <c r="R772" s="44"/>
      <c r="S772" s="44"/>
      <c r="T772" s="44"/>
      <c r="U772" s="44"/>
      <c r="V772" s="5"/>
      <c r="W772" s="5"/>
      <c r="Y772" s="44"/>
    </row>
    <row r="773" spans="3:25" ht="15.75" customHeight="1">
      <c r="C773" s="5"/>
      <c r="D773" s="5"/>
      <c r="E773" s="5"/>
      <c r="F773" s="5"/>
      <c r="G773" s="44"/>
      <c r="H773" s="5"/>
      <c r="I773" s="44"/>
      <c r="J773" s="44"/>
      <c r="K773" s="44"/>
      <c r="L773" s="5"/>
      <c r="M773" s="5"/>
      <c r="N773" s="5"/>
      <c r="O773" s="5"/>
      <c r="P773" s="44"/>
      <c r="Q773" s="44"/>
      <c r="R773" s="44"/>
      <c r="S773" s="44"/>
      <c r="T773" s="44"/>
      <c r="U773" s="44"/>
      <c r="V773" s="5"/>
      <c r="W773" s="5"/>
      <c r="Y773" s="44"/>
    </row>
    <row r="774" spans="3:25" ht="15.75" customHeight="1">
      <c r="C774" s="5"/>
      <c r="D774" s="5"/>
      <c r="E774" s="5"/>
      <c r="F774" s="5"/>
      <c r="G774" s="44"/>
      <c r="H774" s="5"/>
      <c r="I774" s="44"/>
      <c r="J774" s="44"/>
      <c r="K774" s="44"/>
      <c r="L774" s="5"/>
      <c r="M774" s="5"/>
      <c r="N774" s="5"/>
      <c r="O774" s="5"/>
      <c r="P774" s="44"/>
      <c r="Q774" s="44"/>
      <c r="R774" s="44"/>
      <c r="S774" s="44"/>
      <c r="T774" s="44"/>
      <c r="U774" s="44"/>
      <c r="V774" s="5"/>
      <c r="W774" s="5"/>
      <c r="Y774" s="44"/>
    </row>
    <row r="775" spans="3:25" ht="15.75" customHeight="1">
      <c r="C775" s="5"/>
      <c r="D775" s="5"/>
      <c r="E775" s="5"/>
      <c r="F775" s="5"/>
      <c r="G775" s="44"/>
      <c r="H775" s="5"/>
      <c r="I775" s="44"/>
      <c r="J775" s="44"/>
      <c r="K775" s="44"/>
      <c r="L775" s="5"/>
      <c r="M775" s="5"/>
      <c r="N775" s="5"/>
      <c r="O775" s="5"/>
      <c r="P775" s="44"/>
      <c r="Q775" s="44"/>
      <c r="R775" s="44"/>
      <c r="S775" s="44"/>
      <c r="T775" s="44"/>
      <c r="U775" s="44"/>
      <c r="V775" s="5"/>
      <c r="W775" s="5"/>
      <c r="Y775" s="44"/>
    </row>
    <row r="776" spans="3:25" ht="15.75" customHeight="1">
      <c r="C776" s="5"/>
      <c r="D776" s="5"/>
      <c r="E776" s="5"/>
      <c r="F776" s="5"/>
      <c r="G776" s="44"/>
      <c r="H776" s="5"/>
      <c r="I776" s="44"/>
      <c r="J776" s="44"/>
      <c r="K776" s="44"/>
      <c r="L776" s="5"/>
      <c r="M776" s="5"/>
      <c r="N776" s="5"/>
      <c r="O776" s="5"/>
      <c r="P776" s="44"/>
      <c r="Q776" s="44"/>
      <c r="R776" s="44"/>
      <c r="S776" s="44"/>
      <c r="T776" s="44"/>
      <c r="U776" s="44"/>
      <c r="V776" s="5"/>
      <c r="W776" s="5"/>
      <c r="Y776" s="44"/>
    </row>
    <row r="777" spans="3:25" ht="15.75" customHeight="1">
      <c r="C777" s="5"/>
      <c r="D777" s="5"/>
      <c r="E777" s="5"/>
      <c r="F777" s="5"/>
      <c r="G777" s="44"/>
      <c r="H777" s="5"/>
      <c r="I777" s="44"/>
      <c r="J777" s="44"/>
      <c r="K777" s="44"/>
      <c r="L777" s="5"/>
      <c r="M777" s="5"/>
      <c r="N777" s="5"/>
      <c r="O777" s="5"/>
      <c r="P777" s="44"/>
      <c r="Q777" s="44"/>
      <c r="R777" s="44"/>
      <c r="S777" s="44"/>
      <c r="T777" s="44"/>
      <c r="U777" s="44"/>
      <c r="V777" s="5"/>
      <c r="W777" s="5"/>
      <c r="Y777" s="44"/>
    </row>
    <row r="778" spans="3:25" ht="15.75" customHeight="1">
      <c r="C778" s="5"/>
      <c r="D778" s="5"/>
      <c r="E778" s="5"/>
      <c r="F778" s="5"/>
      <c r="G778" s="44"/>
      <c r="H778" s="5"/>
      <c r="I778" s="44"/>
      <c r="J778" s="44"/>
      <c r="K778" s="44"/>
      <c r="L778" s="5"/>
      <c r="M778" s="5"/>
      <c r="N778" s="5"/>
      <c r="O778" s="5"/>
      <c r="P778" s="44"/>
      <c r="Q778" s="44"/>
      <c r="R778" s="44"/>
      <c r="S778" s="44"/>
      <c r="T778" s="44"/>
      <c r="U778" s="44"/>
      <c r="V778" s="5"/>
      <c r="W778" s="5"/>
      <c r="Y778" s="44"/>
    </row>
    <row r="779" spans="3:25" ht="15.75" customHeight="1">
      <c r="C779" s="5"/>
      <c r="D779" s="5"/>
      <c r="E779" s="5"/>
      <c r="F779" s="5"/>
      <c r="G779" s="44"/>
      <c r="H779" s="5"/>
      <c r="I779" s="44"/>
      <c r="J779" s="44"/>
      <c r="K779" s="44"/>
      <c r="L779" s="5"/>
      <c r="M779" s="5"/>
      <c r="N779" s="5"/>
      <c r="O779" s="5"/>
      <c r="P779" s="44"/>
      <c r="Q779" s="44"/>
      <c r="R779" s="44"/>
      <c r="S779" s="44"/>
      <c r="T779" s="44"/>
      <c r="U779" s="44"/>
      <c r="V779" s="5"/>
      <c r="W779" s="5"/>
      <c r="Y779" s="44"/>
    </row>
    <row r="780" spans="3:25" ht="15.75" customHeight="1">
      <c r="C780" s="5"/>
      <c r="D780" s="5"/>
      <c r="E780" s="5"/>
      <c r="F780" s="5"/>
      <c r="G780" s="44"/>
      <c r="H780" s="5"/>
      <c r="I780" s="44"/>
      <c r="J780" s="44"/>
      <c r="K780" s="44"/>
      <c r="L780" s="5"/>
      <c r="M780" s="5"/>
      <c r="N780" s="5"/>
      <c r="O780" s="5"/>
      <c r="P780" s="44"/>
      <c r="Q780" s="44"/>
      <c r="R780" s="44"/>
      <c r="S780" s="44"/>
      <c r="T780" s="44"/>
      <c r="U780" s="44"/>
      <c r="V780" s="5"/>
      <c r="W780" s="5"/>
      <c r="Y780" s="44"/>
    </row>
    <row r="781" spans="3:25" ht="15.75" customHeight="1">
      <c r="C781" s="5"/>
      <c r="D781" s="5"/>
      <c r="E781" s="5"/>
      <c r="F781" s="5"/>
      <c r="G781" s="44"/>
      <c r="H781" s="5"/>
      <c r="I781" s="44"/>
      <c r="J781" s="44"/>
      <c r="K781" s="44"/>
      <c r="L781" s="5"/>
      <c r="M781" s="5"/>
      <c r="N781" s="5"/>
      <c r="O781" s="5"/>
      <c r="P781" s="44"/>
      <c r="Q781" s="44"/>
      <c r="R781" s="44"/>
      <c r="S781" s="44"/>
      <c r="T781" s="44"/>
      <c r="U781" s="44"/>
      <c r="V781" s="5"/>
      <c r="W781" s="5"/>
      <c r="Y781" s="44"/>
    </row>
    <row r="782" spans="3:25" ht="15.75" customHeight="1">
      <c r="C782" s="5"/>
      <c r="D782" s="5"/>
      <c r="E782" s="5"/>
      <c r="F782" s="5"/>
      <c r="G782" s="44"/>
      <c r="H782" s="5"/>
      <c r="I782" s="44"/>
      <c r="J782" s="44"/>
      <c r="K782" s="44"/>
      <c r="L782" s="5"/>
      <c r="M782" s="5"/>
      <c r="N782" s="5"/>
      <c r="O782" s="5"/>
      <c r="P782" s="44"/>
      <c r="Q782" s="44"/>
      <c r="R782" s="44"/>
      <c r="S782" s="44"/>
      <c r="T782" s="44"/>
      <c r="U782" s="44"/>
      <c r="V782" s="5"/>
      <c r="W782" s="5"/>
      <c r="Y782" s="44"/>
    </row>
    <row r="783" spans="3:25" ht="15.75" customHeight="1">
      <c r="C783" s="5"/>
      <c r="D783" s="5"/>
      <c r="E783" s="5"/>
      <c r="F783" s="5"/>
      <c r="G783" s="44"/>
      <c r="H783" s="5"/>
      <c r="I783" s="44"/>
      <c r="J783" s="44"/>
      <c r="K783" s="44"/>
      <c r="L783" s="5"/>
      <c r="M783" s="5"/>
      <c r="N783" s="5"/>
      <c r="O783" s="5"/>
      <c r="P783" s="44"/>
      <c r="Q783" s="44"/>
      <c r="R783" s="44"/>
      <c r="S783" s="44"/>
      <c r="T783" s="44"/>
      <c r="U783" s="44"/>
      <c r="V783" s="5"/>
      <c r="W783" s="5"/>
      <c r="Y783" s="44"/>
    </row>
    <row r="784" spans="3:25" ht="15.75" customHeight="1">
      <c r="C784" s="5"/>
      <c r="D784" s="5"/>
      <c r="E784" s="5"/>
      <c r="F784" s="5"/>
      <c r="G784" s="44"/>
      <c r="H784" s="5"/>
      <c r="I784" s="44"/>
      <c r="J784" s="44"/>
      <c r="K784" s="44"/>
      <c r="L784" s="5"/>
      <c r="M784" s="5"/>
      <c r="N784" s="5"/>
      <c r="O784" s="5"/>
      <c r="P784" s="44"/>
      <c r="Q784" s="44"/>
      <c r="R784" s="44"/>
      <c r="S784" s="44"/>
      <c r="T784" s="44"/>
      <c r="U784" s="44"/>
      <c r="V784" s="5"/>
      <c r="W784" s="5"/>
      <c r="Y784" s="44"/>
    </row>
    <row r="785" spans="3:25" ht="15.75" customHeight="1">
      <c r="C785" s="5"/>
      <c r="D785" s="5"/>
      <c r="E785" s="5"/>
      <c r="F785" s="5"/>
      <c r="G785" s="44"/>
      <c r="H785" s="5"/>
      <c r="I785" s="44"/>
      <c r="J785" s="44"/>
      <c r="K785" s="44"/>
      <c r="L785" s="5"/>
      <c r="M785" s="5"/>
      <c r="N785" s="5"/>
      <c r="O785" s="5"/>
      <c r="P785" s="44"/>
      <c r="Q785" s="44"/>
      <c r="R785" s="44"/>
      <c r="S785" s="44"/>
      <c r="T785" s="44"/>
      <c r="U785" s="44"/>
      <c r="V785" s="5"/>
      <c r="W785" s="5"/>
      <c r="Y785" s="44"/>
    </row>
    <row r="786" spans="3:25" ht="15.75" customHeight="1">
      <c r="C786" s="5"/>
      <c r="D786" s="5"/>
      <c r="E786" s="5"/>
      <c r="F786" s="5"/>
      <c r="G786" s="44"/>
      <c r="H786" s="5"/>
      <c r="I786" s="44"/>
      <c r="J786" s="44"/>
      <c r="K786" s="44"/>
      <c r="L786" s="5"/>
      <c r="M786" s="5"/>
      <c r="N786" s="5"/>
      <c r="O786" s="5"/>
      <c r="P786" s="44"/>
      <c r="Q786" s="44"/>
      <c r="R786" s="44"/>
      <c r="S786" s="44"/>
      <c r="T786" s="44"/>
      <c r="U786" s="44"/>
      <c r="V786" s="5"/>
      <c r="W786" s="5"/>
      <c r="Y786" s="44"/>
    </row>
    <row r="787" spans="3:25" ht="15.75" customHeight="1">
      <c r="C787" s="5"/>
      <c r="D787" s="5"/>
      <c r="E787" s="5"/>
      <c r="F787" s="5"/>
      <c r="G787" s="44"/>
      <c r="H787" s="5"/>
      <c r="I787" s="44"/>
      <c r="J787" s="44"/>
      <c r="K787" s="44"/>
      <c r="L787" s="5"/>
      <c r="M787" s="5"/>
      <c r="N787" s="5"/>
      <c r="O787" s="5"/>
      <c r="P787" s="44"/>
      <c r="Q787" s="44"/>
      <c r="R787" s="44"/>
      <c r="S787" s="44"/>
      <c r="T787" s="44"/>
      <c r="U787" s="44"/>
      <c r="V787" s="5"/>
      <c r="W787" s="5"/>
      <c r="Y787" s="44"/>
    </row>
    <row r="788" spans="3:25" ht="15.75" customHeight="1">
      <c r="C788" s="5"/>
      <c r="D788" s="5"/>
      <c r="E788" s="5"/>
      <c r="F788" s="5"/>
      <c r="G788" s="44"/>
      <c r="H788" s="5"/>
      <c r="I788" s="44"/>
      <c r="J788" s="44"/>
      <c r="K788" s="44"/>
      <c r="L788" s="5"/>
      <c r="M788" s="5"/>
      <c r="N788" s="5"/>
      <c r="O788" s="5"/>
      <c r="P788" s="44"/>
      <c r="Q788" s="44"/>
      <c r="R788" s="44"/>
      <c r="S788" s="44"/>
      <c r="T788" s="44"/>
      <c r="U788" s="44"/>
      <c r="V788" s="5"/>
      <c r="W788" s="5"/>
      <c r="Y788" s="44"/>
    </row>
    <row r="789" spans="3:25" ht="15.75" customHeight="1">
      <c r="C789" s="5"/>
      <c r="D789" s="5"/>
      <c r="E789" s="5"/>
      <c r="F789" s="5"/>
      <c r="G789" s="44"/>
      <c r="H789" s="5"/>
      <c r="I789" s="44"/>
      <c r="J789" s="44"/>
      <c r="K789" s="44"/>
      <c r="L789" s="5"/>
      <c r="M789" s="5"/>
      <c r="N789" s="5"/>
      <c r="O789" s="5"/>
      <c r="P789" s="44"/>
      <c r="Q789" s="44"/>
      <c r="R789" s="44"/>
      <c r="S789" s="44"/>
      <c r="T789" s="44"/>
      <c r="U789" s="44"/>
      <c r="V789" s="5"/>
      <c r="W789" s="5"/>
      <c r="Y789" s="44"/>
    </row>
    <row r="790" spans="3:25" ht="15.75" customHeight="1">
      <c r="C790" s="5"/>
      <c r="D790" s="5"/>
      <c r="E790" s="5"/>
      <c r="F790" s="5"/>
      <c r="G790" s="44"/>
      <c r="H790" s="5"/>
      <c r="I790" s="44"/>
      <c r="J790" s="44"/>
      <c r="K790" s="44"/>
      <c r="L790" s="5"/>
      <c r="M790" s="5"/>
      <c r="N790" s="5"/>
      <c r="O790" s="5"/>
      <c r="P790" s="44"/>
      <c r="Q790" s="44"/>
      <c r="R790" s="44"/>
      <c r="S790" s="44"/>
      <c r="T790" s="44"/>
      <c r="U790" s="44"/>
      <c r="V790" s="5"/>
      <c r="W790" s="5"/>
      <c r="Y790" s="44"/>
    </row>
    <row r="791" spans="3:25" ht="15.75" customHeight="1">
      <c r="C791" s="5"/>
      <c r="D791" s="5"/>
      <c r="E791" s="5"/>
      <c r="F791" s="5"/>
      <c r="G791" s="44"/>
      <c r="H791" s="5"/>
      <c r="I791" s="44"/>
      <c r="J791" s="44"/>
      <c r="K791" s="44"/>
      <c r="L791" s="5"/>
      <c r="M791" s="5"/>
      <c r="N791" s="5"/>
      <c r="O791" s="5"/>
      <c r="P791" s="44"/>
      <c r="Q791" s="44"/>
      <c r="R791" s="44"/>
      <c r="S791" s="44"/>
      <c r="T791" s="44"/>
      <c r="U791" s="44"/>
      <c r="V791" s="5"/>
      <c r="W791" s="5"/>
      <c r="Y791" s="44"/>
    </row>
    <row r="792" spans="3:25" ht="15.75" customHeight="1">
      <c r="C792" s="5"/>
      <c r="D792" s="5"/>
      <c r="E792" s="5"/>
      <c r="F792" s="5"/>
      <c r="G792" s="44"/>
      <c r="H792" s="5"/>
      <c r="I792" s="44"/>
      <c r="J792" s="44"/>
      <c r="K792" s="44"/>
      <c r="L792" s="5"/>
      <c r="M792" s="5"/>
      <c r="N792" s="5"/>
      <c r="O792" s="5"/>
      <c r="P792" s="44"/>
      <c r="Q792" s="44"/>
      <c r="R792" s="44"/>
      <c r="S792" s="44"/>
      <c r="T792" s="44"/>
      <c r="U792" s="44"/>
      <c r="V792" s="5"/>
      <c r="W792" s="5"/>
      <c r="Y792" s="44"/>
    </row>
    <row r="793" spans="3:25" ht="15.75" customHeight="1">
      <c r="C793" s="5"/>
      <c r="D793" s="5"/>
      <c r="E793" s="5"/>
      <c r="F793" s="5"/>
      <c r="G793" s="44"/>
      <c r="H793" s="5"/>
      <c r="I793" s="44"/>
      <c r="J793" s="44"/>
      <c r="K793" s="44"/>
      <c r="L793" s="5"/>
      <c r="M793" s="5"/>
      <c r="N793" s="5"/>
      <c r="O793" s="5"/>
      <c r="P793" s="44"/>
      <c r="Q793" s="44"/>
      <c r="R793" s="44"/>
      <c r="S793" s="44"/>
      <c r="T793" s="44"/>
      <c r="U793" s="44"/>
      <c r="V793" s="5"/>
      <c r="W793" s="5"/>
      <c r="Y793" s="44"/>
    </row>
    <row r="794" spans="3:25" ht="15.75" customHeight="1">
      <c r="C794" s="5"/>
      <c r="D794" s="5"/>
      <c r="E794" s="5"/>
      <c r="F794" s="5"/>
      <c r="G794" s="44"/>
      <c r="H794" s="5"/>
      <c r="I794" s="44"/>
      <c r="J794" s="44"/>
      <c r="K794" s="44"/>
      <c r="L794" s="5"/>
      <c r="M794" s="5"/>
      <c r="N794" s="5"/>
      <c r="O794" s="5"/>
      <c r="P794" s="44"/>
      <c r="Q794" s="44"/>
      <c r="R794" s="44"/>
      <c r="S794" s="44"/>
      <c r="T794" s="44"/>
      <c r="U794" s="44"/>
      <c r="V794" s="5"/>
      <c r="W794" s="5"/>
      <c r="Y794" s="44"/>
    </row>
    <row r="795" spans="3:25" ht="15.75" customHeight="1">
      <c r="C795" s="5"/>
      <c r="D795" s="5"/>
      <c r="E795" s="5"/>
      <c r="F795" s="5"/>
      <c r="G795" s="44"/>
      <c r="H795" s="5"/>
      <c r="I795" s="44"/>
      <c r="J795" s="44"/>
      <c r="K795" s="44"/>
      <c r="L795" s="5"/>
      <c r="M795" s="5"/>
      <c r="N795" s="5"/>
      <c r="O795" s="5"/>
      <c r="P795" s="44"/>
      <c r="Q795" s="44"/>
      <c r="R795" s="44"/>
      <c r="S795" s="44"/>
      <c r="T795" s="44"/>
      <c r="U795" s="44"/>
      <c r="V795" s="5"/>
      <c r="W795" s="5"/>
      <c r="Y795" s="44"/>
    </row>
    <row r="796" spans="3:25" ht="15.75" customHeight="1">
      <c r="C796" s="5"/>
      <c r="D796" s="5"/>
      <c r="E796" s="5"/>
      <c r="F796" s="5"/>
      <c r="G796" s="44"/>
      <c r="H796" s="5"/>
      <c r="I796" s="44"/>
      <c r="J796" s="44"/>
      <c r="K796" s="44"/>
      <c r="L796" s="5"/>
      <c r="M796" s="5"/>
      <c r="N796" s="5"/>
      <c r="O796" s="5"/>
      <c r="P796" s="44"/>
      <c r="Q796" s="44"/>
      <c r="R796" s="44"/>
      <c r="S796" s="44"/>
      <c r="T796" s="44"/>
      <c r="U796" s="44"/>
      <c r="V796" s="5"/>
      <c r="W796" s="5"/>
      <c r="Y796" s="44"/>
    </row>
    <row r="797" spans="3:25" ht="15.75" customHeight="1">
      <c r="C797" s="5"/>
      <c r="D797" s="5"/>
      <c r="E797" s="5"/>
      <c r="F797" s="5"/>
      <c r="G797" s="44"/>
      <c r="H797" s="5"/>
      <c r="I797" s="44"/>
      <c r="J797" s="44"/>
      <c r="K797" s="44"/>
      <c r="L797" s="5"/>
      <c r="M797" s="5"/>
      <c r="N797" s="5"/>
      <c r="O797" s="5"/>
      <c r="P797" s="44"/>
      <c r="Q797" s="44"/>
      <c r="R797" s="44"/>
      <c r="S797" s="44"/>
      <c r="T797" s="44"/>
      <c r="U797" s="44"/>
      <c r="V797" s="5"/>
      <c r="W797" s="5"/>
      <c r="Y797" s="44"/>
    </row>
    <row r="798" spans="3:25" ht="15.75" customHeight="1">
      <c r="C798" s="5"/>
      <c r="D798" s="5"/>
      <c r="E798" s="5"/>
      <c r="F798" s="5"/>
      <c r="G798" s="44"/>
      <c r="H798" s="5"/>
      <c r="I798" s="44"/>
      <c r="J798" s="44"/>
      <c r="K798" s="44"/>
      <c r="L798" s="5"/>
      <c r="M798" s="5"/>
      <c r="N798" s="5"/>
      <c r="O798" s="5"/>
      <c r="P798" s="44"/>
      <c r="Q798" s="44"/>
      <c r="R798" s="44"/>
      <c r="S798" s="44"/>
      <c r="T798" s="44"/>
      <c r="U798" s="44"/>
      <c r="V798" s="5"/>
      <c r="W798" s="5"/>
      <c r="Y798" s="44"/>
    </row>
    <row r="799" spans="3:25" ht="15.75" customHeight="1">
      <c r="C799" s="5"/>
      <c r="D799" s="5"/>
      <c r="E799" s="5"/>
      <c r="F799" s="5"/>
      <c r="G799" s="44"/>
      <c r="H799" s="5"/>
      <c r="I799" s="44"/>
      <c r="J799" s="44"/>
      <c r="K799" s="44"/>
      <c r="L799" s="5"/>
      <c r="M799" s="5"/>
      <c r="N799" s="5"/>
      <c r="O799" s="5"/>
      <c r="P799" s="44"/>
      <c r="Q799" s="44"/>
      <c r="R799" s="44"/>
      <c r="S799" s="44"/>
      <c r="T799" s="44"/>
      <c r="U799" s="44"/>
      <c r="V799" s="5"/>
      <c r="W799" s="5"/>
      <c r="Y799" s="44"/>
    </row>
    <row r="800" spans="3:25" ht="15.75" customHeight="1">
      <c r="C800" s="5"/>
      <c r="D800" s="5"/>
      <c r="E800" s="5"/>
      <c r="F800" s="5"/>
      <c r="G800" s="44"/>
      <c r="H800" s="5"/>
      <c r="I800" s="44"/>
      <c r="J800" s="44"/>
      <c r="K800" s="44"/>
      <c r="L800" s="5"/>
      <c r="M800" s="5"/>
      <c r="N800" s="5"/>
      <c r="O800" s="5"/>
      <c r="P800" s="44"/>
      <c r="Q800" s="44"/>
      <c r="R800" s="44"/>
      <c r="S800" s="44"/>
      <c r="T800" s="44"/>
      <c r="U800" s="44"/>
      <c r="V800" s="5"/>
      <c r="W800" s="5"/>
      <c r="Y800" s="44"/>
    </row>
    <row r="801" spans="3:25" ht="15.75" customHeight="1">
      <c r="C801" s="5"/>
      <c r="D801" s="5"/>
      <c r="E801" s="5"/>
      <c r="F801" s="5"/>
      <c r="G801" s="44"/>
      <c r="H801" s="5"/>
      <c r="I801" s="44"/>
      <c r="J801" s="44"/>
      <c r="K801" s="44"/>
      <c r="L801" s="5"/>
      <c r="M801" s="5"/>
      <c r="N801" s="5"/>
      <c r="O801" s="5"/>
      <c r="P801" s="44"/>
      <c r="Q801" s="44"/>
      <c r="R801" s="44"/>
      <c r="S801" s="44"/>
      <c r="T801" s="44"/>
      <c r="U801" s="44"/>
      <c r="V801" s="5"/>
      <c r="W801" s="5"/>
      <c r="Y801" s="44"/>
    </row>
    <row r="802" spans="3:25" ht="15.75" customHeight="1">
      <c r="C802" s="5"/>
      <c r="D802" s="5"/>
      <c r="E802" s="5"/>
      <c r="F802" s="5"/>
      <c r="G802" s="44"/>
      <c r="H802" s="5"/>
      <c r="I802" s="44"/>
      <c r="J802" s="44"/>
      <c r="K802" s="44"/>
      <c r="L802" s="5"/>
      <c r="M802" s="5"/>
      <c r="N802" s="5"/>
      <c r="O802" s="5"/>
      <c r="P802" s="44"/>
      <c r="Q802" s="44"/>
      <c r="R802" s="44"/>
      <c r="S802" s="44"/>
      <c r="T802" s="44"/>
      <c r="U802" s="44"/>
      <c r="V802" s="5"/>
      <c r="W802" s="5"/>
      <c r="Y802" s="44"/>
    </row>
    <row r="803" spans="3:25" ht="15.75" customHeight="1">
      <c r="C803" s="5"/>
      <c r="D803" s="5"/>
      <c r="E803" s="5"/>
      <c r="F803" s="5"/>
      <c r="G803" s="44"/>
      <c r="H803" s="5"/>
      <c r="I803" s="44"/>
      <c r="J803" s="44"/>
      <c r="K803" s="44"/>
      <c r="L803" s="5"/>
      <c r="M803" s="5"/>
      <c r="N803" s="5"/>
      <c r="O803" s="5"/>
      <c r="P803" s="44"/>
      <c r="Q803" s="44"/>
      <c r="R803" s="44"/>
      <c r="S803" s="44"/>
      <c r="T803" s="44"/>
      <c r="U803" s="44"/>
      <c r="V803" s="5"/>
      <c r="W803" s="5"/>
      <c r="Y803" s="44"/>
    </row>
    <row r="804" spans="3:25" ht="15.75" customHeight="1">
      <c r="C804" s="5"/>
      <c r="D804" s="5"/>
      <c r="E804" s="5"/>
      <c r="F804" s="5"/>
      <c r="G804" s="44"/>
      <c r="H804" s="5"/>
      <c r="I804" s="44"/>
      <c r="J804" s="44"/>
      <c r="K804" s="44"/>
      <c r="L804" s="5"/>
      <c r="M804" s="5"/>
      <c r="N804" s="5"/>
      <c r="O804" s="5"/>
      <c r="P804" s="44"/>
      <c r="Q804" s="44"/>
      <c r="R804" s="44"/>
      <c r="S804" s="44"/>
      <c r="T804" s="44"/>
      <c r="U804" s="44"/>
      <c r="V804" s="5"/>
      <c r="W804" s="5"/>
      <c r="Y804" s="44"/>
    </row>
    <row r="805" spans="3:25" ht="15.75" customHeight="1">
      <c r="C805" s="5"/>
      <c r="D805" s="5"/>
      <c r="E805" s="5"/>
      <c r="F805" s="5"/>
      <c r="G805" s="44"/>
      <c r="H805" s="5"/>
      <c r="I805" s="44"/>
      <c r="J805" s="44"/>
      <c r="K805" s="44"/>
      <c r="L805" s="5"/>
      <c r="M805" s="5"/>
      <c r="N805" s="5"/>
      <c r="O805" s="5"/>
      <c r="P805" s="44"/>
      <c r="Q805" s="44"/>
      <c r="R805" s="44"/>
      <c r="S805" s="44"/>
      <c r="T805" s="44"/>
      <c r="U805" s="44"/>
      <c r="V805" s="5"/>
      <c r="W805" s="5"/>
      <c r="Y805" s="44"/>
    </row>
    <row r="806" spans="3:25" ht="15.75" customHeight="1">
      <c r="C806" s="5"/>
      <c r="D806" s="5"/>
      <c r="E806" s="5"/>
      <c r="F806" s="5"/>
      <c r="G806" s="44"/>
      <c r="H806" s="5"/>
      <c r="I806" s="44"/>
      <c r="J806" s="44"/>
      <c r="K806" s="44"/>
      <c r="L806" s="5"/>
      <c r="M806" s="5"/>
      <c r="N806" s="5"/>
      <c r="O806" s="5"/>
      <c r="P806" s="44"/>
      <c r="Q806" s="44"/>
      <c r="R806" s="44"/>
      <c r="S806" s="44"/>
      <c r="T806" s="44"/>
      <c r="U806" s="44"/>
      <c r="V806" s="5"/>
      <c r="W806" s="5"/>
      <c r="Y806" s="44"/>
    </row>
    <row r="807" spans="3:25" ht="15.75" customHeight="1">
      <c r="C807" s="5"/>
      <c r="D807" s="5"/>
      <c r="E807" s="5"/>
      <c r="F807" s="5"/>
      <c r="G807" s="44"/>
      <c r="H807" s="5"/>
      <c r="I807" s="44"/>
      <c r="J807" s="44"/>
      <c r="K807" s="44"/>
      <c r="L807" s="5"/>
      <c r="M807" s="5"/>
      <c r="N807" s="5"/>
      <c r="O807" s="5"/>
      <c r="P807" s="44"/>
      <c r="Q807" s="44"/>
      <c r="R807" s="44"/>
      <c r="S807" s="44"/>
      <c r="T807" s="44"/>
      <c r="U807" s="44"/>
      <c r="V807" s="5"/>
      <c r="W807" s="5"/>
      <c r="Y807" s="44"/>
    </row>
    <row r="808" spans="3:25" ht="15.75" customHeight="1">
      <c r="C808" s="5"/>
      <c r="D808" s="5"/>
      <c r="E808" s="5"/>
      <c r="F808" s="5"/>
      <c r="G808" s="44"/>
      <c r="H808" s="5"/>
      <c r="I808" s="44"/>
      <c r="J808" s="44"/>
      <c r="K808" s="44"/>
      <c r="L808" s="5"/>
      <c r="M808" s="5"/>
      <c r="N808" s="5"/>
      <c r="O808" s="5"/>
      <c r="P808" s="44"/>
      <c r="Q808" s="44"/>
      <c r="R808" s="44"/>
      <c r="S808" s="44"/>
      <c r="T808" s="44"/>
      <c r="U808" s="44"/>
      <c r="V808" s="5"/>
      <c r="W808" s="5"/>
      <c r="Y808" s="44"/>
    </row>
    <row r="809" spans="3:25" ht="15.75" customHeight="1">
      <c r="C809" s="5"/>
      <c r="D809" s="5"/>
      <c r="E809" s="5"/>
      <c r="F809" s="5"/>
      <c r="G809" s="44"/>
      <c r="H809" s="5"/>
      <c r="I809" s="44"/>
      <c r="J809" s="44"/>
      <c r="K809" s="44"/>
      <c r="L809" s="5"/>
      <c r="M809" s="5"/>
      <c r="N809" s="5"/>
      <c r="O809" s="5"/>
      <c r="P809" s="44"/>
      <c r="Q809" s="44"/>
      <c r="R809" s="44"/>
      <c r="S809" s="44"/>
      <c r="T809" s="44"/>
      <c r="U809" s="44"/>
      <c r="V809" s="5"/>
      <c r="W809" s="5"/>
      <c r="Y809" s="44"/>
    </row>
    <row r="810" spans="3:25" ht="15.75" customHeight="1">
      <c r="C810" s="5"/>
      <c r="D810" s="5"/>
      <c r="E810" s="5"/>
      <c r="F810" s="5"/>
      <c r="G810" s="44"/>
      <c r="H810" s="5"/>
      <c r="I810" s="44"/>
      <c r="J810" s="44"/>
      <c r="K810" s="44"/>
      <c r="L810" s="5"/>
      <c r="M810" s="5"/>
      <c r="N810" s="5"/>
      <c r="O810" s="5"/>
      <c r="P810" s="44"/>
      <c r="Q810" s="44"/>
      <c r="R810" s="44"/>
      <c r="S810" s="44"/>
      <c r="T810" s="44"/>
      <c r="U810" s="44"/>
      <c r="V810" s="5"/>
      <c r="W810" s="5"/>
      <c r="Y810" s="44"/>
    </row>
    <row r="811" spans="3:25" ht="15.75" customHeight="1">
      <c r="C811" s="5"/>
      <c r="D811" s="5"/>
      <c r="E811" s="5"/>
      <c r="F811" s="5"/>
      <c r="G811" s="44"/>
      <c r="H811" s="5"/>
      <c r="I811" s="44"/>
      <c r="J811" s="44"/>
      <c r="K811" s="44"/>
      <c r="L811" s="5"/>
      <c r="M811" s="5"/>
      <c r="N811" s="5"/>
      <c r="O811" s="5"/>
      <c r="P811" s="44"/>
      <c r="Q811" s="44"/>
      <c r="R811" s="44"/>
      <c r="S811" s="44"/>
      <c r="T811" s="44"/>
      <c r="U811" s="44"/>
      <c r="V811" s="5"/>
      <c r="W811" s="5"/>
      <c r="Y811" s="44"/>
    </row>
    <row r="812" spans="3:25" ht="15.75" customHeight="1">
      <c r="C812" s="5"/>
      <c r="D812" s="5"/>
      <c r="E812" s="5"/>
      <c r="F812" s="5"/>
      <c r="G812" s="44"/>
      <c r="H812" s="5"/>
      <c r="I812" s="44"/>
      <c r="J812" s="44"/>
      <c r="K812" s="44"/>
      <c r="L812" s="5"/>
      <c r="M812" s="5"/>
      <c r="N812" s="5"/>
      <c r="O812" s="5"/>
      <c r="P812" s="44"/>
      <c r="Q812" s="44"/>
      <c r="R812" s="44"/>
      <c r="S812" s="44"/>
      <c r="T812" s="44"/>
      <c r="U812" s="44"/>
      <c r="V812" s="5"/>
      <c r="W812" s="5"/>
      <c r="Y812" s="44"/>
    </row>
    <row r="813" spans="3:25" ht="15.75" customHeight="1">
      <c r="C813" s="5"/>
      <c r="D813" s="5"/>
      <c r="E813" s="5"/>
      <c r="F813" s="5"/>
      <c r="G813" s="44"/>
      <c r="H813" s="5"/>
      <c r="I813" s="44"/>
      <c r="J813" s="44"/>
      <c r="K813" s="44"/>
      <c r="L813" s="5"/>
      <c r="M813" s="5"/>
      <c r="N813" s="5"/>
      <c r="O813" s="5"/>
      <c r="P813" s="44"/>
      <c r="Q813" s="44"/>
      <c r="R813" s="44"/>
      <c r="S813" s="44"/>
      <c r="T813" s="44"/>
      <c r="U813" s="44"/>
      <c r="V813" s="5"/>
      <c r="W813" s="5"/>
      <c r="Y813" s="44"/>
    </row>
    <row r="814" spans="3:25" ht="15.75" customHeight="1">
      <c r="C814" s="5"/>
      <c r="D814" s="5"/>
      <c r="E814" s="5"/>
      <c r="F814" s="5"/>
      <c r="G814" s="44"/>
      <c r="H814" s="5"/>
      <c r="I814" s="44"/>
      <c r="J814" s="44"/>
      <c r="K814" s="44"/>
      <c r="L814" s="5"/>
      <c r="M814" s="5"/>
      <c r="N814" s="5"/>
      <c r="O814" s="5"/>
      <c r="P814" s="44"/>
      <c r="Q814" s="44"/>
      <c r="R814" s="44"/>
      <c r="S814" s="44"/>
      <c r="T814" s="44"/>
      <c r="U814" s="44"/>
      <c r="V814" s="5"/>
      <c r="W814" s="5"/>
      <c r="Y814" s="44"/>
    </row>
    <row r="815" spans="3:25" ht="15.75" customHeight="1">
      <c r="C815" s="5"/>
      <c r="D815" s="5"/>
      <c r="E815" s="5"/>
      <c r="F815" s="5"/>
      <c r="G815" s="44"/>
      <c r="H815" s="5"/>
      <c r="I815" s="44"/>
      <c r="J815" s="44"/>
      <c r="K815" s="44"/>
      <c r="L815" s="5"/>
      <c r="M815" s="5"/>
      <c r="N815" s="5"/>
      <c r="O815" s="5"/>
      <c r="P815" s="44"/>
      <c r="Q815" s="44"/>
      <c r="R815" s="44"/>
      <c r="S815" s="44"/>
      <c r="T815" s="44"/>
      <c r="U815" s="44"/>
      <c r="V815" s="5"/>
      <c r="W815" s="5"/>
      <c r="Y815" s="44"/>
    </row>
    <row r="816" spans="3:25" ht="15.75" customHeight="1">
      <c r="C816" s="5"/>
      <c r="D816" s="5"/>
      <c r="E816" s="5"/>
      <c r="F816" s="5"/>
      <c r="G816" s="44"/>
      <c r="H816" s="5"/>
      <c r="I816" s="44"/>
      <c r="J816" s="44"/>
      <c r="K816" s="44"/>
      <c r="L816" s="5"/>
      <c r="M816" s="5"/>
      <c r="N816" s="5"/>
      <c r="O816" s="5"/>
      <c r="P816" s="44"/>
      <c r="Q816" s="44"/>
      <c r="R816" s="44"/>
      <c r="S816" s="44"/>
      <c r="T816" s="44"/>
      <c r="U816" s="44"/>
      <c r="V816" s="5"/>
      <c r="W816" s="5"/>
      <c r="Y816" s="44"/>
    </row>
    <row r="817" spans="3:25" ht="15.75" customHeight="1">
      <c r="C817" s="5"/>
      <c r="D817" s="5"/>
      <c r="E817" s="5"/>
      <c r="F817" s="5"/>
      <c r="G817" s="44"/>
      <c r="H817" s="5"/>
      <c r="I817" s="44"/>
      <c r="J817" s="44"/>
      <c r="K817" s="44"/>
      <c r="L817" s="5"/>
      <c r="M817" s="5"/>
      <c r="N817" s="5"/>
      <c r="O817" s="5"/>
      <c r="P817" s="44"/>
      <c r="Q817" s="44"/>
      <c r="R817" s="44"/>
      <c r="S817" s="44"/>
      <c r="T817" s="44"/>
      <c r="U817" s="44"/>
      <c r="V817" s="5"/>
      <c r="W817" s="5"/>
      <c r="Y817" s="44"/>
    </row>
    <row r="818" spans="3:25" ht="15.75" customHeight="1">
      <c r="C818" s="5"/>
      <c r="D818" s="5"/>
      <c r="E818" s="5"/>
      <c r="F818" s="5"/>
      <c r="G818" s="44"/>
      <c r="H818" s="5"/>
      <c r="I818" s="44"/>
      <c r="J818" s="44"/>
      <c r="K818" s="44"/>
      <c r="L818" s="5"/>
      <c r="M818" s="5"/>
      <c r="N818" s="5"/>
      <c r="O818" s="5"/>
      <c r="P818" s="44"/>
      <c r="Q818" s="44"/>
      <c r="R818" s="44"/>
      <c r="S818" s="44"/>
      <c r="T818" s="44"/>
      <c r="U818" s="44"/>
      <c r="V818" s="5"/>
      <c r="W818" s="5"/>
      <c r="Y818" s="44"/>
    </row>
    <row r="819" spans="3:25" ht="15.75" customHeight="1">
      <c r="C819" s="5"/>
      <c r="D819" s="5"/>
      <c r="E819" s="5"/>
      <c r="F819" s="5"/>
      <c r="G819" s="44"/>
      <c r="H819" s="5"/>
      <c r="I819" s="44"/>
      <c r="J819" s="44"/>
      <c r="K819" s="44"/>
      <c r="L819" s="5"/>
      <c r="M819" s="5"/>
      <c r="N819" s="5"/>
      <c r="O819" s="5"/>
      <c r="P819" s="44"/>
      <c r="Q819" s="44"/>
      <c r="R819" s="44"/>
      <c r="S819" s="44"/>
      <c r="T819" s="44"/>
      <c r="U819" s="44"/>
      <c r="V819" s="5"/>
      <c r="W819" s="5"/>
      <c r="Y819" s="44"/>
    </row>
    <row r="820" spans="3:25" ht="15.75" customHeight="1">
      <c r="C820" s="5"/>
      <c r="D820" s="5"/>
      <c r="E820" s="5"/>
      <c r="F820" s="5"/>
      <c r="G820" s="44"/>
      <c r="H820" s="5"/>
      <c r="I820" s="44"/>
      <c r="J820" s="44"/>
      <c r="K820" s="44"/>
      <c r="L820" s="5"/>
      <c r="M820" s="5"/>
      <c r="N820" s="5"/>
      <c r="O820" s="5"/>
      <c r="P820" s="44"/>
      <c r="Q820" s="44"/>
      <c r="R820" s="44"/>
      <c r="S820" s="44"/>
      <c r="T820" s="44"/>
      <c r="U820" s="44"/>
      <c r="V820" s="5"/>
      <c r="W820" s="5"/>
      <c r="Y820" s="44"/>
    </row>
    <row r="821" spans="3:25" ht="15.75" customHeight="1">
      <c r="C821" s="5"/>
      <c r="D821" s="5"/>
      <c r="E821" s="5"/>
      <c r="F821" s="5"/>
      <c r="G821" s="44"/>
      <c r="H821" s="5"/>
      <c r="I821" s="44"/>
      <c r="J821" s="44"/>
      <c r="K821" s="44"/>
      <c r="L821" s="5"/>
      <c r="M821" s="5"/>
      <c r="N821" s="5"/>
      <c r="O821" s="5"/>
      <c r="P821" s="44"/>
      <c r="Q821" s="44"/>
      <c r="R821" s="44"/>
      <c r="S821" s="44"/>
      <c r="T821" s="44"/>
      <c r="U821" s="44"/>
      <c r="V821" s="5"/>
      <c r="W821" s="5"/>
      <c r="Y821" s="44"/>
    </row>
    <row r="822" spans="3:25" ht="15.75" customHeight="1">
      <c r="C822" s="5"/>
      <c r="D822" s="5"/>
      <c r="E822" s="5"/>
      <c r="F822" s="5"/>
      <c r="G822" s="44"/>
      <c r="H822" s="5"/>
      <c r="I822" s="44"/>
      <c r="J822" s="44"/>
      <c r="K822" s="44"/>
      <c r="L822" s="5"/>
      <c r="M822" s="5"/>
      <c r="N822" s="5"/>
      <c r="O822" s="5"/>
      <c r="P822" s="44"/>
      <c r="Q822" s="44"/>
      <c r="R822" s="44"/>
      <c r="S822" s="44"/>
      <c r="T822" s="44"/>
      <c r="U822" s="44"/>
      <c r="V822" s="5"/>
      <c r="W822" s="5"/>
      <c r="Y822" s="44"/>
    </row>
    <row r="823" spans="3:25" ht="15.75" customHeight="1">
      <c r="C823" s="5"/>
      <c r="D823" s="5"/>
      <c r="E823" s="5"/>
      <c r="F823" s="5"/>
      <c r="G823" s="44"/>
      <c r="H823" s="5"/>
      <c r="I823" s="44"/>
      <c r="J823" s="44"/>
      <c r="K823" s="44"/>
      <c r="L823" s="5"/>
      <c r="M823" s="5"/>
      <c r="N823" s="5"/>
      <c r="O823" s="5"/>
      <c r="P823" s="44"/>
      <c r="Q823" s="44"/>
      <c r="R823" s="44"/>
      <c r="S823" s="44"/>
      <c r="T823" s="44"/>
      <c r="U823" s="44"/>
      <c r="V823" s="5"/>
      <c r="W823" s="5"/>
      <c r="Y823" s="44"/>
    </row>
    <row r="824" spans="3:25" ht="15.75" customHeight="1">
      <c r="C824" s="5"/>
      <c r="D824" s="5"/>
      <c r="E824" s="5"/>
      <c r="F824" s="5"/>
      <c r="G824" s="44"/>
      <c r="H824" s="5"/>
      <c r="I824" s="44"/>
      <c r="J824" s="44"/>
      <c r="K824" s="44"/>
      <c r="L824" s="5"/>
      <c r="M824" s="5"/>
      <c r="N824" s="5"/>
      <c r="O824" s="5"/>
      <c r="P824" s="44"/>
      <c r="Q824" s="44"/>
      <c r="R824" s="44"/>
      <c r="S824" s="44"/>
      <c r="T824" s="44"/>
      <c r="U824" s="44"/>
      <c r="V824" s="5"/>
      <c r="W824" s="5"/>
      <c r="Y824" s="44"/>
    </row>
    <row r="825" spans="3:25" ht="15.75" customHeight="1">
      <c r="C825" s="5"/>
      <c r="D825" s="5"/>
      <c r="E825" s="5"/>
      <c r="F825" s="5"/>
      <c r="G825" s="44"/>
      <c r="H825" s="5"/>
      <c r="I825" s="44"/>
      <c r="J825" s="44"/>
      <c r="K825" s="44"/>
      <c r="L825" s="5"/>
      <c r="M825" s="5"/>
      <c r="N825" s="5"/>
      <c r="O825" s="5"/>
      <c r="P825" s="44"/>
      <c r="Q825" s="44"/>
      <c r="R825" s="44"/>
      <c r="S825" s="44"/>
      <c r="T825" s="44"/>
      <c r="U825" s="44"/>
      <c r="V825" s="5"/>
      <c r="W825" s="5"/>
      <c r="Y825" s="44"/>
    </row>
    <row r="826" spans="3:25" ht="15.75" customHeight="1">
      <c r="C826" s="5"/>
      <c r="D826" s="5"/>
      <c r="E826" s="5"/>
      <c r="F826" s="5"/>
      <c r="G826" s="44"/>
      <c r="H826" s="5"/>
      <c r="I826" s="44"/>
      <c r="J826" s="44"/>
      <c r="K826" s="44"/>
      <c r="L826" s="5"/>
      <c r="M826" s="5"/>
      <c r="N826" s="5"/>
      <c r="O826" s="5"/>
      <c r="P826" s="44"/>
      <c r="Q826" s="44"/>
      <c r="R826" s="44"/>
      <c r="S826" s="44"/>
      <c r="T826" s="44"/>
      <c r="U826" s="44"/>
      <c r="V826" s="5"/>
      <c r="W826" s="5"/>
      <c r="Y826" s="44"/>
    </row>
    <row r="827" spans="3:25" ht="15.75" customHeight="1">
      <c r="C827" s="5"/>
      <c r="D827" s="5"/>
      <c r="E827" s="5"/>
      <c r="F827" s="5"/>
      <c r="G827" s="44"/>
      <c r="H827" s="5"/>
      <c r="I827" s="44"/>
      <c r="J827" s="44"/>
      <c r="K827" s="44"/>
      <c r="L827" s="5"/>
      <c r="M827" s="5"/>
      <c r="N827" s="5"/>
      <c r="O827" s="5"/>
      <c r="P827" s="44"/>
      <c r="Q827" s="44"/>
      <c r="R827" s="44"/>
      <c r="S827" s="44"/>
      <c r="T827" s="44"/>
      <c r="U827" s="44"/>
      <c r="V827" s="5"/>
      <c r="W827" s="5"/>
      <c r="Y827" s="44"/>
    </row>
    <row r="828" spans="3:25" ht="15.75" customHeight="1">
      <c r="C828" s="5"/>
      <c r="D828" s="5"/>
      <c r="E828" s="5"/>
      <c r="F828" s="5"/>
      <c r="G828" s="44"/>
      <c r="H828" s="5"/>
      <c r="I828" s="44"/>
      <c r="J828" s="44"/>
      <c r="K828" s="44"/>
      <c r="L828" s="5"/>
      <c r="M828" s="5"/>
      <c r="N828" s="5"/>
      <c r="O828" s="5"/>
      <c r="P828" s="44"/>
      <c r="Q828" s="44"/>
      <c r="R828" s="44"/>
      <c r="S828" s="44"/>
      <c r="T828" s="44"/>
      <c r="U828" s="44"/>
      <c r="V828" s="5"/>
      <c r="W828" s="5"/>
      <c r="Y828" s="44"/>
    </row>
    <row r="829" spans="3:25" ht="15.75" customHeight="1">
      <c r="C829" s="5"/>
      <c r="D829" s="5"/>
      <c r="E829" s="5"/>
      <c r="F829" s="5"/>
      <c r="G829" s="44"/>
      <c r="H829" s="5"/>
      <c r="I829" s="44"/>
      <c r="J829" s="44"/>
      <c r="K829" s="44"/>
      <c r="L829" s="5"/>
      <c r="M829" s="5"/>
      <c r="N829" s="5"/>
      <c r="O829" s="5"/>
      <c r="P829" s="44"/>
      <c r="Q829" s="44"/>
      <c r="R829" s="44"/>
      <c r="S829" s="44"/>
      <c r="T829" s="44"/>
      <c r="U829" s="44"/>
      <c r="V829" s="5"/>
      <c r="W829" s="5"/>
      <c r="Y829" s="44"/>
    </row>
    <row r="830" spans="3:25" ht="15.75" customHeight="1">
      <c r="C830" s="5"/>
      <c r="D830" s="5"/>
      <c r="E830" s="5"/>
      <c r="F830" s="5"/>
      <c r="G830" s="44"/>
      <c r="H830" s="5"/>
      <c r="I830" s="44"/>
      <c r="J830" s="44"/>
      <c r="K830" s="44"/>
      <c r="L830" s="5"/>
      <c r="M830" s="5"/>
      <c r="N830" s="5"/>
      <c r="O830" s="5"/>
      <c r="P830" s="44"/>
      <c r="Q830" s="44"/>
      <c r="R830" s="44"/>
      <c r="S830" s="44"/>
      <c r="T830" s="44"/>
      <c r="U830" s="44"/>
      <c r="V830" s="5"/>
      <c r="W830" s="5"/>
      <c r="Y830" s="44"/>
    </row>
    <row r="831" spans="3:25" ht="15.75" customHeight="1">
      <c r="C831" s="5"/>
      <c r="D831" s="5"/>
      <c r="E831" s="5"/>
      <c r="F831" s="5"/>
      <c r="G831" s="44"/>
      <c r="H831" s="5"/>
      <c r="I831" s="44"/>
      <c r="J831" s="44"/>
      <c r="K831" s="44"/>
      <c r="L831" s="5"/>
      <c r="M831" s="5"/>
      <c r="N831" s="5"/>
      <c r="O831" s="5"/>
      <c r="P831" s="44"/>
      <c r="Q831" s="44"/>
      <c r="R831" s="44"/>
      <c r="S831" s="44"/>
      <c r="T831" s="44"/>
      <c r="U831" s="44"/>
      <c r="V831" s="5"/>
      <c r="W831" s="5"/>
      <c r="Y831" s="44"/>
    </row>
    <row r="832" spans="3:25" ht="15.75" customHeight="1">
      <c r="C832" s="5"/>
      <c r="D832" s="5"/>
      <c r="E832" s="5"/>
      <c r="F832" s="5"/>
      <c r="G832" s="44"/>
      <c r="H832" s="5"/>
      <c r="I832" s="44"/>
      <c r="J832" s="44"/>
      <c r="K832" s="44"/>
      <c r="L832" s="5"/>
      <c r="M832" s="5"/>
      <c r="N832" s="5"/>
      <c r="O832" s="5"/>
      <c r="P832" s="44"/>
      <c r="Q832" s="44"/>
      <c r="R832" s="44"/>
      <c r="S832" s="44"/>
      <c r="T832" s="44"/>
      <c r="U832" s="44"/>
      <c r="V832" s="5"/>
      <c r="W832" s="5"/>
      <c r="Y832" s="44"/>
    </row>
    <row r="833" spans="3:25" ht="15.75" customHeight="1">
      <c r="C833" s="5"/>
      <c r="D833" s="5"/>
      <c r="E833" s="5"/>
      <c r="F833" s="5"/>
      <c r="G833" s="44"/>
      <c r="H833" s="5"/>
      <c r="I833" s="44"/>
      <c r="J833" s="44"/>
      <c r="K833" s="44"/>
      <c r="L833" s="5"/>
      <c r="M833" s="5"/>
      <c r="N833" s="5"/>
      <c r="O833" s="5"/>
      <c r="P833" s="44"/>
      <c r="Q833" s="44"/>
      <c r="R833" s="44"/>
      <c r="S833" s="44"/>
      <c r="T833" s="44"/>
      <c r="U833" s="44"/>
      <c r="V833" s="5"/>
      <c r="W833" s="5"/>
      <c r="Y833" s="44"/>
    </row>
    <row r="834" spans="3:25" ht="15.75" customHeight="1">
      <c r="C834" s="5"/>
      <c r="D834" s="5"/>
      <c r="E834" s="5"/>
      <c r="F834" s="5"/>
      <c r="G834" s="44"/>
      <c r="H834" s="5"/>
      <c r="I834" s="44"/>
      <c r="J834" s="44"/>
      <c r="K834" s="44"/>
      <c r="L834" s="5"/>
      <c r="M834" s="5"/>
      <c r="N834" s="5"/>
      <c r="O834" s="5"/>
      <c r="P834" s="44"/>
      <c r="Q834" s="44"/>
      <c r="R834" s="44"/>
      <c r="S834" s="44"/>
      <c r="T834" s="44"/>
      <c r="U834" s="44"/>
      <c r="V834" s="5"/>
      <c r="W834" s="5"/>
      <c r="Y834" s="44"/>
    </row>
    <row r="835" spans="3:25" ht="15.75" customHeight="1">
      <c r="C835" s="5"/>
      <c r="D835" s="5"/>
      <c r="E835" s="5"/>
      <c r="F835" s="5"/>
      <c r="G835" s="44"/>
      <c r="H835" s="5"/>
      <c r="I835" s="44"/>
      <c r="J835" s="44"/>
      <c r="K835" s="44"/>
      <c r="L835" s="5"/>
      <c r="M835" s="5"/>
      <c r="N835" s="5"/>
      <c r="O835" s="5"/>
      <c r="P835" s="44"/>
      <c r="Q835" s="44"/>
      <c r="R835" s="44"/>
      <c r="S835" s="44"/>
      <c r="T835" s="44"/>
      <c r="U835" s="44"/>
      <c r="V835" s="5"/>
      <c r="W835" s="5"/>
      <c r="Y835" s="44"/>
    </row>
    <row r="836" spans="3:25" ht="15.75" customHeight="1">
      <c r="C836" s="5"/>
      <c r="D836" s="5"/>
      <c r="E836" s="5"/>
      <c r="F836" s="5"/>
      <c r="G836" s="44"/>
      <c r="H836" s="5"/>
      <c r="I836" s="44"/>
      <c r="J836" s="44"/>
      <c r="K836" s="44"/>
      <c r="L836" s="5"/>
      <c r="M836" s="5"/>
      <c r="N836" s="5"/>
      <c r="O836" s="5"/>
      <c r="P836" s="44"/>
      <c r="Q836" s="44"/>
      <c r="R836" s="44"/>
      <c r="S836" s="44"/>
      <c r="T836" s="44"/>
      <c r="U836" s="44"/>
      <c r="V836" s="5"/>
      <c r="W836" s="5"/>
      <c r="Y836" s="44"/>
    </row>
    <row r="837" spans="3:25" ht="15.75" customHeight="1">
      <c r="C837" s="5"/>
      <c r="D837" s="5"/>
      <c r="E837" s="5"/>
      <c r="F837" s="5"/>
      <c r="G837" s="44"/>
      <c r="H837" s="5"/>
      <c r="I837" s="44"/>
      <c r="J837" s="44"/>
      <c r="K837" s="44"/>
      <c r="L837" s="5"/>
      <c r="M837" s="5"/>
      <c r="N837" s="5"/>
      <c r="O837" s="5"/>
      <c r="P837" s="44"/>
      <c r="Q837" s="44"/>
      <c r="R837" s="44"/>
      <c r="S837" s="44"/>
      <c r="T837" s="44"/>
      <c r="U837" s="44"/>
      <c r="V837" s="5"/>
      <c r="W837" s="5"/>
      <c r="Y837" s="44"/>
    </row>
    <row r="838" spans="3:25" ht="15.75" customHeight="1">
      <c r="C838" s="5"/>
      <c r="D838" s="5"/>
      <c r="E838" s="5"/>
      <c r="F838" s="5"/>
      <c r="G838" s="44"/>
      <c r="H838" s="5"/>
      <c r="I838" s="44"/>
      <c r="J838" s="44"/>
      <c r="K838" s="44"/>
      <c r="L838" s="5"/>
      <c r="M838" s="5"/>
      <c r="N838" s="5"/>
      <c r="O838" s="5"/>
      <c r="P838" s="44"/>
      <c r="Q838" s="44"/>
      <c r="R838" s="44"/>
      <c r="S838" s="44"/>
      <c r="T838" s="44"/>
      <c r="U838" s="44"/>
      <c r="V838" s="5"/>
      <c r="W838" s="5"/>
      <c r="Y838" s="44"/>
    </row>
    <row r="839" spans="3:25" ht="15.75" customHeight="1">
      <c r="C839" s="5"/>
      <c r="D839" s="5"/>
      <c r="E839" s="5"/>
      <c r="F839" s="5"/>
      <c r="G839" s="44"/>
      <c r="H839" s="5"/>
      <c r="I839" s="44"/>
      <c r="J839" s="44"/>
      <c r="K839" s="44"/>
      <c r="L839" s="5"/>
      <c r="M839" s="5"/>
      <c r="N839" s="5"/>
      <c r="O839" s="5"/>
      <c r="P839" s="44"/>
      <c r="Q839" s="44"/>
      <c r="R839" s="44"/>
      <c r="S839" s="44"/>
      <c r="T839" s="44"/>
      <c r="U839" s="44"/>
      <c r="V839" s="5"/>
      <c r="W839" s="5"/>
      <c r="Y839" s="44"/>
    </row>
    <row r="840" spans="3:25" ht="15.75" customHeight="1">
      <c r="C840" s="5"/>
      <c r="D840" s="5"/>
      <c r="E840" s="5"/>
      <c r="F840" s="5"/>
      <c r="G840" s="44"/>
      <c r="H840" s="5"/>
      <c r="I840" s="44"/>
      <c r="J840" s="44"/>
      <c r="K840" s="44"/>
      <c r="L840" s="5"/>
      <c r="M840" s="5"/>
      <c r="N840" s="5"/>
      <c r="O840" s="5"/>
      <c r="P840" s="44"/>
      <c r="Q840" s="44"/>
      <c r="R840" s="44"/>
      <c r="S840" s="44"/>
      <c r="T840" s="44"/>
      <c r="U840" s="44"/>
      <c r="V840" s="5"/>
      <c r="W840" s="5"/>
      <c r="Y840" s="44"/>
    </row>
    <row r="841" spans="3:25" ht="15.75" customHeight="1">
      <c r="C841" s="5"/>
      <c r="D841" s="5"/>
      <c r="E841" s="5"/>
      <c r="F841" s="5"/>
      <c r="G841" s="44"/>
      <c r="H841" s="5"/>
      <c r="I841" s="44"/>
      <c r="J841" s="44"/>
      <c r="K841" s="44"/>
      <c r="L841" s="5"/>
      <c r="M841" s="5"/>
      <c r="N841" s="5"/>
      <c r="O841" s="5"/>
      <c r="P841" s="44"/>
      <c r="Q841" s="44"/>
      <c r="R841" s="44"/>
      <c r="S841" s="44"/>
      <c r="T841" s="44"/>
      <c r="U841" s="44"/>
      <c r="V841" s="5"/>
      <c r="W841" s="5"/>
      <c r="Y841" s="44"/>
    </row>
    <row r="842" spans="3:25" ht="15.75" customHeight="1">
      <c r="C842" s="5"/>
      <c r="D842" s="5"/>
      <c r="E842" s="5"/>
      <c r="F842" s="5"/>
      <c r="G842" s="44"/>
      <c r="H842" s="5"/>
      <c r="I842" s="44"/>
      <c r="J842" s="44"/>
      <c r="K842" s="44"/>
      <c r="L842" s="5"/>
      <c r="M842" s="5"/>
      <c r="N842" s="5"/>
      <c r="O842" s="5"/>
      <c r="P842" s="44"/>
      <c r="Q842" s="44"/>
      <c r="R842" s="44"/>
      <c r="S842" s="44"/>
      <c r="T842" s="44"/>
      <c r="U842" s="44"/>
      <c r="V842" s="5"/>
      <c r="W842" s="5"/>
      <c r="Y842" s="44"/>
    </row>
    <row r="843" spans="3:25" ht="15.75" customHeight="1">
      <c r="C843" s="5"/>
      <c r="D843" s="5"/>
      <c r="E843" s="5"/>
      <c r="F843" s="5"/>
      <c r="G843" s="44"/>
      <c r="H843" s="5"/>
      <c r="I843" s="44"/>
      <c r="J843" s="44"/>
      <c r="K843" s="44"/>
      <c r="L843" s="5"/>
      <c r="M843" s="5"/>
      <c r="N843" s="5"/>
      <c r="O843" s="5"/>
      <c r="P843" s="44"/>
      <c r="Q843" s="44"/>
      <c r="R843" s="44"/>
      <c r="S843" s="44"/>
      <c r="T843" s="44"/>
      <c r="U843" s="44"/>
      <c r="V843" s="5"/>
      <c r="W843" s="5"/>
      <c r="Y843" s="44"/>
    </row>
    <row r="844" spans="3:25" ht="15.75" customHeight="1">
      <c r="C844" s="5"/>
      <c r="D844" s="5"/>
      <c r="E844" s="5"/>
      <c r="F844" s="5"/>
      <c r="G844" s="44"/>
      <c r="H844" s="5"/>
      <c r="I844" s="44"/>
      <c r="J844" s="44"/>
      <c r="K844" s="44"/>
      <c r="L844" s="5"/>
      <c r="M844" s="5"/>
      <c r="N844" s="5"/>
      <c r="O844" s="5"/>
      <c r="P844" s="44"/>
      <c r="Q844" s="44"/>
      <c r="R844" s="44"/>
      <c r="S844" s="44"/>
      <c r="T844" s="44"/>
      <c r="U844" s="44"/>
      <c r="V844" s="5"/>
      <c r="W844" s="5"/>
      <c r="Y844" s="44"/>
    </row>
    <row r="845" spans="3:25" ht="15.75" customHeight="1">
      <c r="C845" s="5"/>
      <c r="D845" s="5"/>
      <c r="E845" s="5"/>
      <c r="F845" s="5"/>
      <c r="G845" s="44"/>
      <c r="H845" s="5"/>
      <c r="I845" s="44"/>
      <c r="J845" s="44"/>
      <c r="K845" s="44"/>
      <c r="L845" s="5"/>
      <c r="M845" s="5"/>
      <c r="N845" s="5"/>
      <c r="O845" s="5"/>
      <c r="P845" s="44"/>
      <c r="Q845" s="44"/>
      <c r="R845" s="44"/>
      <c r="S845" s="44"/>
      <c r="T845" s="44"/>
      <c r="U845" s="44"/>
      <c r="V845" s="5"/>
      <c r="W845" s="5"/>
      <c r="Y845" s="44"/>
    </row>
    <row r="846" spans="3:25" ht="15.75" customHeight="1">
      <c r="C846" s="5"/>
      <c r="D846" s="5"/>
      <c r="E846" s="5"/>
      <c r="F846" s="5"/>
      <c r="G846" s="44"/>
      <c r="H846" s="5"/>
      <c r="I846" s="44"/>
      <c r="J846" s="44"/>
      <c r="K846" s="44"/>
      <c r="L846" s="5"/>
      <c r="M846" s="5"/>
      <c r="N846" s="5"/>
      <c r="O846" s="5"/>
      <c r="P846" s="44"/>
      <c r="Q846" s="44"/>
      <c r="R846" s="44"/>
      <c r="S846" s="44"/>
      <c r="T846" s="44"/>
      <c r="U846" s="44"/>
      <c r="V846" s="5"/>
      <c r="W846" s="5"/>
      <c r="Y846" s="44"/>
    </row>
    <row r="847" spans="3:25" ht="15.75" customHeight="1">
      <c r="C847" s="5"/>
      <c r="D847" s="5"/>
      <c r="E847" s="5"/>
      <c r="F847" s="5"/>
      <c r="G847" s="44"/>
      <c r="H847" s="5"/>
      <c r="I847" s="44"/>
      <c r="J847" s="44"/>
      <c r="K847" s="44"/>
      <c r="L847" s="5"/>
      <c r="M847" s="5"/>
      <c r="N847" s="5"/>
      <c r="O847" s="5"/>
      <c r="P847" s="44"/>
      <c r="Q847" s="44"/>
      <c r="R847" s="44"/>
      <c r="S847" s="44"/>
      <c r="T847" s="44"/>
      <c r="U847" s="44"/>
      <c r="V847" s="5"/>
      <c r="W847" s="5"/>
      <c r="Y847" s="44"/>
    </row>
    <row r="848" spans="3:25" ht="15.75" customHeight="1">
      <c r="C848" s="5"/>
      <c r="D848" s="5"/>
      <c r="E848" s="5"/>
      <c r="F848" s="5"/>
      <c r="G848" s="44"/>
      <c r="H848" s="5"/>
      <c r="I848" s="44"/>
      <c r="J848" s="44"/>
      <c r="K848" s="44"/>
      <c r="L848" s="5"/>
      <c r="M848" s="5"/>
      <c r="N848" s="5"/>
      <c r="O848" s="5"/>
      <c r="P848" s="44"/>
      <c r="Q848" s="44"/>
      <c r="R848" s="44"/>
      <c r="S848" s="44"/>
      <c r="T848" s="44"/>
      <c r="U848" s="44"/>
      <c r="V848" s="5"/>
      <c r="W848" s="5"/>
      <c r="Y848" s="44"/>
    </row>
    <row r="849" spans="3:25" ht="15.75" customHeight="1">
      <c r="C849" s="5"/>
      <c r="D849" s="5"/>
      <c r="E849" s="5"/>
      <c r="F849" s="5"/>
      <c r="G849" s="44"/>
      <c r="H849" s="5"/>
      <c r="I849" s="44"/>
      <c r="J849" s="44"/>
      <c r="K849" s="44"/>
      <c r="L849" s="5"/>
      <c r="M849" s="5"/>
      <c r="N849" s="5"/>
      <c r="O849" s="5"/>
      <c r="P849" s="44"/>
      <c r="Q849" s="44"/>
      <c r="R849" s="44"/>
      <c r="S849" s="44"/>
      <c r="T849" s="44"/>
      <c r="U849" s="44"/>
      <c r="V849" s="5"/>
      <c r="W849" s="5"/>
      <c r="Y849" s="44"/>
    </row>
    <row r="850" spans="3:25" ht="15.75" customHeight="1">
      <c r="C850" s="5"/>
      <c r="D850" s="5"/>
      <c r="E850" s="5"/>
      <c r="F850" s="5"/>
      <c r="G850" s="44"/>
      <c r="H850" s="5"/>
      <c r="I850" s="44"/>
      <c r="J850" s="44"/>
      <c r="K850" s="44"/>
      <c r="L850" s="5"/>
      <c r="M850" s="5"/>
      <c r="N850" s="5"/>
      <c r="O850" s="5"/>
      <c r="P850" s="44"/>
      <c r="Q850" s="44"/>
      <c r="R850" s="44"/>
      <c r="S850" s="44"/>
      <c r="T850" s="44"/>
      <c r="U850" s="44"/>
      <c r="V850" s="5"/>
      <c r="W850" s="5"/>
      <c r="Y850" s="44"/>
    </row>
    <row r="851" spans="3:25" ht="15.75" customHeight="1">
      <c r="C851" s="5"/>
      <c r="D851" s="5"/>
      <c r="E851" s="5"/>
      <c r="F851" s="5"/>
      <c r="G851" s="44"/>
      <c r="H851" s="5"/>
      <c r="I851" s="44"/>
      <c r="J851" s="44"/>
      <c r="K851" s="44"/>
      <c r="L851" s="5"/>
      <c r="M851" s="5"/>
      <c r="N851" s="5"/>
      <c r="O851" s="5"/>
      <c r="P851" s="44"/>
      <c r="Q851" s="44"/>
      <c r="R851" s="44"/>
      <c r="S851" s="44"/>
      <c r="T851" s="44"/>
      <c r="U851" s="44"/>
      <c r="V851" s="5"/>
      <c r="W851" s="5"/>
      <c r="Y851" s="44"/>
    </row>
    <row r="852" spans="3:25" ht="15.75" customHeight="1">
      <c r="C852" s="5"/>
      <c r="D852" s="5"/>
      <c r="E852" s="5"/>
      <c r="F852" s="5"/>
      <c r="G852" s="44"/>
      <c r="H852" s="5"/>
      <c r="I852" s="44"/>
      <c r="J852" s="44"/>
      <c r="K852" s="44"/>
      <c r="L852" s="5"/>
      <c r="M852" s="5"/>
      <c r="N852" s="5"/>
      <c r="O852" s="5"/>
      <c r="P852" s="44"/>
      <c r="Q852" s="44"/>
      <c r="R852" s="44"/>
      <c r="S852" s="44"/>
      <c r="T852" s="44"/>
      <c r="U852" s="44"/>
      <c r="V852" s="5"/>
      <c r="W852" s="5"/>
      <c r="Y852" s="44"/>
    </row>
    <row r="853" spans="3:25" ht="15.75" customHeight="1">
      <c r="C853" s="5"/>
      <c r="D853" s="5"/>
      <c r="E853" s="5"/>
      <c r="F853" s="5"/>
      <c r="G853" s="44"/>
      <c r="H853" s="5"/>
      <c r="I853" s="44"/>
      <c r="J853" s="44"/>
      <c r="K853" s="44"/>
      <c r="L853" s="5"/>
      <c r="M853" s="5"/>
      <c r="N853" s="5"/>
      <c r="O853" s="5"/>
      <c r="P853" s="44"/>
      <c r="Q853" s="44"/>
      <c r="R853" s="44"/>
      <c r="S853" s="44"/>
      <c r="T853" s="44"/>
      <c r="U853" s="44"/>
      <c r="V853" s="5"/>
      <c r="W853" s="5"/>
      <c r="Y853" s="44"/>
    </row>
    <row r="854" spans="3:25" ht="15.75" customHeight="1">
      <c r="C854" s="5"/>
      <c r="D854" s="5"/>
      <c r="E854" s="5"/>
      <c r="F854" s="5"/>
      <c r="G854" s="44"/>
      <c r="H854" s="5"/>
      <c r="I854" s="44"/>
      <c r="J854" s="44"/>
      <c r="K854" s="44"/>
      <c r="L854" s="5"/>
      <c r="M854" s="5"/>
      <c r="N854" s="5"/>
      <c r="O854" s="5"/>
      <c r="P854" s="44"/>
      <c r="Q854" s="44"/>
      <c r="R854" s="44"/>
      <c r="S854" s="44"/>
      <c r="T854" s="44"/>
      <c r="U854" s="44"/>
      <c r="V854" s="5"/>
      <c r="W854" s="5"/>
      <c r="Y854" s="44"/>
    </row>
    <row r="855" spans="3:25" ht="15.75" customHeight="1">
      <c r="C855" s="5"/>
      <c r="D855" s="5"/>
      <c r="E855" s="5"/>
      <c r="F855" s="5"/>
      <c r="G855" s="44"/>
      <c r="H855" s="5"/>
      <c r="I855" s="44"/>
      <c r="J855" s="44"/>
      <c r="K855" s="44"/>
      <c r="L855" s="5"/>
      <c r="M855" s="5"/>
      <c r="N855" s="5"/>
      <c r="O855" s="5"/>
      <c r="P855" s="44"/>
      <c r="Q855" s="44"/>
      <c r="R855" s="44"/>
      <c r="S855" s="44"/>
      <c r="T855" s="44"/>
      <c r="U855" s="44"/>
      <c r="V855" s="5"/>
      <c r="W855" s="5"/>
      <c r="Y855" s="44"/>
    </row>
    <row r="856" spans="3:25" ht="15.75" customHeight="1">
      <c r="C856" s="5"/>
      <c r="D856" s="5"/>
      <c r="E856" s="5"/>
      <c r="F856" s="5"/>
      <c r="G856" s="44"/>
      <c r="H856" s="5"/>
      <c r="I856" s="44"/>
      <c r="J856" s="44"/>
      <c r="K856" s="44"/>
      <c r="L856" s="5"/>
      <c r="M856" s="5"/>
      <c r="N856" s="5"/>
      <c r="O856" s="5"/>
      <c r="P856" s="44"/>
      <c r="Q856" s="44"/>
      <c r="R856" s="44"/>
      <c r="S856" s="44"/>
      <c r="T856" s="44"/>
      <c r="U856" s="44"/>
      <c r="V856" s="5"/>
      <c r="W856" s="5"/>
      <c r="Y856" s="44"/>
    </row>
    <row r="857" spans="3:25" ht="15.75" customHeight="1">
      <c r="C857" s="5"/>
      <c r="D857" s="5"/>
      <c r="E857" s="5"/>
      <c r="F857" s="5"/>
      <c r="G857" s="44"/>
      <c r="H857" s="5"/>
      <c r="I857" s="44"/>
      <c r="J857" s="44"/>
      <c r="K857" s="44"/>
      <c r="L857" s="5"/>
      <c r="M857" s="5"/>
      <c r="N857" s="5"/>
      <c r="O857" s="5"/>
      <c r="P857" s="44"/>
      <c r="Q857" s="44"/>
      <c r="R857" s="44"/>
      <c r="S857" s="44"/>
      <c r="T857" s="44"/>
      <c r="U857" s="44"/>
      <c r="V857" s="5"/>
      <c r="W857" s="5"/>
      <c r="Y857" s="44"/>
    </row>
    <row r="858" spans="3:25" ht="15.75" customHeight="1">
      <c r="C858" s="5"/>
      <c r="D858" s="5"/>
      <c r="E858" s="5"/>
      <c r="F858" s="5"/>
      <c r="G858" s="44"/>
      <c r="H858" s="5"/>
      <c r="I858" s="44"/>
      <c r="J858" s="44"/>
      <c r="K858" s="44"/>
      <c r="L858" s="5"/>
      <c r="M858" s="5"/>
      <c r="N858" s="5"/>
      <c r="O858" s="5"/>
      <c r="P858" s="44"/>
      <c r="Q858" s="44"/>
      <c r="R858" s="44"/>
      <c r="S858" s="44"/>
      <c r="T858" s="44"/>
      <c r="U858" s="44"/>
      <c r="V858" s="5"/>
      <c r="W858" s="5"/>
      <c r="Y858" s="44"/>
    </row>
    <row r="859" spans="3:25" ht="15.75" customHeight="1">
      <c r="C859" s="5"/>
      <c r="D859" s="5"/>
      <c r="E859" s="5"/>
      <c r="F859" s="5"/>
      <c r="G859" s="44"/>
      <c r="H859" s="5"/>
      <c r="I859" s="44"/>
      <c r="J859" s="44"/>
      <c r="K859" s="44"/>
      <c r="L859" s="5"/>
      <c r="M859" s="5"/>
      <c r="N859" s="5"/>
      <c r="O859" s="5"/>
      <c r="P859" s="44"/>
      <c r="Q859" s="44"/>
      <c r="R859" s="44"/>
      <c r="S859" s="44"/>
      <c r="T859" s="44"/>
      <c r="U859" s="44"/>
      <c r="V859" s="5"/>
      <c r="W859" s="5"/>
      <c r="Y859" s="44"/>
    </row>
    <row r="860" spans="3:25" ht="15.75" customHeight="1">
      <c r="C860" s="5"/>
      <c r="D860" s="5"/>
      <c r="E860" s="5"/>
      <c r="F860" s="5"/>
      <c r="G860" s="44"/>
      <c r="H860" s="5"/>
      <c r="I860" s="44"/>
      <c r="J860" s="44"/>
      <c r="K860" s="44"/>
      <c r="L860" s="5"/>
      <c r="M860" s="5"/>
      <c r="N860" s="5"/>
      <c r="O860" s="5"/>
      <c r="P860" s="44"/>
      <c r="Q860" s="44"/>
      <c r="R860" s="44"/>
      <c r="S860" s="44"/>
      <c r="T860" s="44"/>
      <c r="U860" s="44"/>
      <c r="V860" s="5"/>
      <c r="W860" s="5"/>
      <c r="Y860" s="44"/>
    </row>
    <row r="861" spans="3:25" ht="15.75" customHeight="1">
      <c r="C861" s="5"/>
      <c r="D861" s="5"/>
      <c r="E861" s="5"/>
      <c r="F861" s="5"/>
      <c r="G861" s="44"/>
      <c r="H861" s="5"/>
      <c r="I861" s="44"/>
      <c r="J861" s="44"/>
      <c r="K861" s="44"/>
      <c r="L861" s="5"/>
      <c r="M861" s="5"/>
      <c r="N861" s="5"/>
      <c r="O861" s="5"/>
      <c r="P861" s="44"/>
      <c r="Q861" s="44"/>
      <c r="R861" s="44"/>
      <c r="S861" s="44"/>
      <c r="T861" s="44"/>
      <c r="U861" s="44"/>
      <c r="V861" s="5"/>
      <c r="W861" s="5"/>
      <c r="Y861" s="44"/>
    </row>
    <row r="862" spans="3:25" ht="15.75" customHeight="1">
      <c r="C862" s="5"/>
      <c r="D862" s="5"/>
      <c r="E862" s="5"/>
      <c r="F862" s="5"/>
      <c r="G862" s="44"/>
      <c r="H862" s="5"/>
      <c r="I862" s="44"/>
      <c r="J862" s="44"/>
      <c r="K862" s="44"/>
      <c r="L862" s="5"/>
      <c r="M862" s="5"/>
      <c r="N862" s="5"/>
      <c r="O862" s="5"/>
      <c r="P862" s="44"/>
      <c r="Q862" s="44"/>
      <c r="R862" s="44"/>
      <c r="S862" s="44"/>
      <c r="T862" s="44"/>
      <c r="U862" s="44"/>
      <c r="V862" s="5"/>
      <c r="W862" s="5"/>
      <c r="Y862" s="44"/>
    </row>
    <row r="863" spans="3:25" ht="15.75" customHeight="1">
      <c r="C863" s="5"/>
      <c r="D863" s="5"/>
      <c r="E863" s="5"/>
      <c r="F863" s="5"/>
      <c r="G863" s="44"/>
      <c r="H863" s="5"/>
      <c r="I863" s="44"/>
      <c r="J863" s="44"/>
      <c r="K863" s="44"/>
      <c r="L863" s="5"/>
      <c r="M863" s="5"/>
      <c r="N863" s="5"/>
      <c r="O863" s="5"/>
      <c r="P863" s="44"/>
      <c r="Q863" s="44"/>
      <c r="R863" s="44"/>
      <c r="S863" s="44"/>
      <c r="T863" s="44"/>
      <c r="U863" s="44"/>
      <c r="V863" s="5"/>
      <c r="W863" s="5"/>
      <c r="Y863" s="44"/>
    </row>
    <row r="864" spans="3:25" ht="15.75" customHeight="1">
      <c r="C864" s="5"/>
      <c r="D864" s="5"/>
      <c r="E864" s="5"/>
      <c r="F864" s="5"/>
      <c r="G864" s="44"/>
      <c r="H864" s="5"/>
      <c r="I864" s="44"/>
      <c r="J864" s="44"/>
      <c r="K864" s="44"/>
      <c r="L864" s="5"/>
      <c r="M864" s="5"/>
      <c r="N864" s="5"/>
      <c r="O864" s="5"/>
      <c r="P864" s="44"/>
      <c r="Q864" s="44"/>
      <c r="R864" s="44"/>
      <c r="S864" s="44"/>
      <c r="T864" s="44"/>
      <c r="U864" s="44"/>
      <c r="V864" s="5"/>
      <c r="W864" s="5"/>
      <c r="Y864" s="44"/>
    </row>
    <row r="865" spans="3:25" ht="15.75" customHeight="1">
      <c r="C865" s="5"/>
      <c r="D865" s="5"/>
      <c r="E865" s="5"/>
      <c r="F865" s="5"/>
      <c r="G865" s="44"/>
      <c r="H865" s="5"/>
      <c r="I865" s="44"/>
      <c r="J865" s="44"/>
      <c r="K865" s="44"/>
      <c r="L865" s="5"/>
      <c r="M865" s="5"/>
      <c r="N865" s="5"/>
      <c r="O865" s="5"/>
      <c r="P865" s="44"/>
      <c r="Q865" s="44"/>
      <c r="R865" s="44"/>
      <c r="S865" s="44"/>
      <c r="T865" s="44"/>
      <c r="U865" s="44"/>
      <c r="V865" s="5"/>
      <c r="W865" s="5"/>
      <c r="Y865" s="44"/>
    </row>
    <row r="866" spans="3:25" ht="15.75" customHeight="1">
      <c r="C866" s="5"/>
      <c r="D866" s="5"/>
      <c r="E866" s="5"/>
      <c r="F866" s="5"/>
      <c r="G866" s="44"/>
      <c r="H866" s="5"/>
      <c r="I866" s="44"/>
      <c r="J866" s="44"/>
      <c r="K866" s="44"/>
      <c r="L866" s="5"/>
      <c r="M866" s="5"/>
      <c r="N866" s="5"/>
      <c r="O866" s="5"/>
      <c r="P866" s="44"/>
      <c r="Q866" s="44"/>
      <c r="R866" s="44"/>
      <c r="S866" s="44"/>
      <c r="T866" s="44"/>
      <c r="U866" s="44"/>
      <c r="V866" s="5"/>
      <c r="W866" s="5"/>
      <c r="Y866" s="44"/>
    </row>
    <row r="867" spans="3:25" ht="15.75" customHeight="1">
      <c r="C867" s="5"/>
      <c r="D867" s="5"/>
      <c r="E867" s="5"/>
      <c r="F867" s="5"/>
      <c r="G867" s="44"/>
      <c r="H867" s="5"/>
      <c r="I867" s="44"/>
      <c r="J867" s="44"/>
      <c r="K867" s="44"/>
      <c r="L867" s="5"/>
      <c r="M867" s="5"/>
      <c r="N867" s="5"/>
      <c r="O867" s="5"/>
      <c r="P867" s="44"/>
      <c r="Q867" s="44"/>
      <c r="R867" s="44"/>
      <c r="S867" s="44"/>
      <c r="T867" s="44"/>
      <c r="U867" s="44"/>
      <c r="V867" s="5"/>
      <c r="W867" s="5"/>
      <c r="Y867" s="44"/>
    </row>
    <row r="868" spans="3:25" ht="15.75" customHeight="1">
      <c r="C868" s="5"/>
      <c r="D868" s="5"/>
      <c r="E868" s="5"/>
      <c r="F868" s="5"/>
      <c r="G868" s="44"/>
      <c r="H868" s="5"/>
      <c r="I868" s="44"/>
      <c r="J868" s="44"/>
      <c r="K868" s="44"/>
      <c r="L868" s="5"/>
      <c r="M868" s="5"/>
      <c r="N868" s="5"/>
      <c r="O868" s="5"/>
      <c r="P868" s="44"/>
      <c r="Q868" s="44"/>
      <c r="R868" s="44"/>
      <c r="S868" s="44"/>
      <c r="T868" s="44"/>
      <c r="U868" s="44"/>
      <c r="V868" s="5"/>
      <c r="W868" s="5"/>
      <c r="Y868" s="44"/>
    </row>
    <row r="869" spans="3:25" ht="15.75" customHeight="1">
      <c r="C869" s="5"/>
      <c r="D869" s="5"/>
      <c r="E869" s="5"/>
      <c r="F869" s="5"/>
      <c r="G869" s="44"/>
      <c r="H869" s="5"/>
      <c r="I869" s="44"/>
      <c r="J869" s="44"/>
      <c r="K869" s="44"/>
      <c r="L869" s="5"/>
      <c r="M869" s="5"/>
      <c r="N869" s="5"/>
      <c r="O869" s="5"/>
      <c r="P869" s="44"/>
      <c r="Q869" s="44"/>
      <c r="R869" s="44"/>
      <c r="S869" s="44"/>
      <c r="T869" s="44"/>
      <c r="U869" s="44"/>
      <c r="V869" s="5"/>
      <c r="W869" s="5"/>
      <c r="Y869" s="44"/>
    </row>
    <row r="870" spans="3:25" ht="15.75" customHeight="1">
      <c r="C870" s="5"/>
      <c r="D870" s="5"/>
      <c r="E870" s="5"/>
      <c r="F870" s="5"/>
      <c r="G870" s="44"/>
      <c r="H870" s="5"/>
      <c r="I870" s="44"/>
      <c r="J870" s="44"/>
      <c r="K870" s="44"/>
      <c r="L870" s="5"/>
      <c r="M870" s="5"/>
      <c r="N870" s="5"/>
      <c r="O870" s="5"/>
      <c r="P870" s="44"/>
      <c r="Q870" s="44"/>
      <c r="R870" s="44"/>
      <c r="S870" s="44"/>
      <c r="T870" s="44"/>
      <c r="U870" s="44"/>
      <c r="V870" s="5"/>
      <c r="W870" s="5"/>
      <c r="Y870" s="44"/>
    </row>
    <row r="871" spans="3:25" ht="15.75" customHeight="1">
      <c r="C871" s="5"/>
      <c r="D871" s="5"/>
      <c r="E871" s="5"/>
      <c r="F871" s="5"/>
      <c r="G871" s="44"/>
      <c r="H871" s="5"/>
      <c r="I871" s="44"/>
      <c r="J871" s="44"/>
      <c r="K871" s="44"/>
      <c r="L871" s="5"/>
      <c r="M871" s="5"/>
      <c r="N871" s="5"/>
      <c r="O871" s="5"/>
      <c r="P871" s="44"/>
      <c r="Q871" s="44"/>
      <c r="R871" s="44"/>
      <c r="S871" s="44"/>
      <c r="T871" s="44"/>
      <c r="U871" s="44"/>
      <c r="V871" s="5"/>
      <c r="W871" s="5"/>
      <c r="Y871" s="44"/>
    </row>
    <row r="872" spans="3:25" ht="15.75" customHeight="1">
      <c r="C872" s="5"/>
      <c r="D872" s="5"/>
      <c r="E872" s="5"/>
      <c r="F872" s="5"/>
      <c r="G872" s="44"/>
      <c r="H872" s="5"/>
      <c r="I872" s="44"/>
      <c r="J872" s="44"/>
      <c r="K872" s="44"/>
      <c r="L872" s="5"/>
      <c r="M872" s="5"/>
      <c r="N872" s="5"/>
      <c r="O872" s="5"/>
      <c r="P872" s="44"/>
      <c r="Q872" s="44"/>
      <c r="R872" s="44"/>
      <c r="S872" s="44"/>
      <c r="T872" s="44"/>
      <c r="U872" s="44"/>
      <c r="V872" s="5"/>
      <c r="W872" s="5"/>
      <c r="Y872" s="44"/>
    </row>
    <row r="873" spans="3:25" ht="15.75" customHeight="1">
      <c r="C873" s="5"/>
      <c r="D873" s="5"/>
      <c r="E873" s="5"/>
      <c r="F873" s="5"/>
      <c r="G873" s="44"/>
      <c r="H873" s="5"/>
      <c r="I873" s="44"/>
      <c r="J873" s="44"/>
      <c r="K873" s="44"/>
      <c r="L873" s="5"/>
      <c r="M873" s="5"/>
      <c r="N873" s="5"/>
      <c r="O873" s="5"/>
      <c r="P873" s="44"/>
      <c r="Q873" s="44"/>
      <c r="R873" s="44"/>
      <c r="S873" s="44"/>
      <c r="T873" s="44"/>
      <c r="U873" s="44"/>
      <c r="V873" s="5"/>
      <c r="W873" s="5"/>
      <c r="Y873" s="44"/>
    </row>
    <row r="874" spans="3:25" ht="15.75" customHeight="1">
      <c r="C874" s="5"/>
      <c r="D874" s="5"/>
      <c r="E874" s="5"/>
      <c r="F874" s="5"/>
      <c r="G874" s="44"/>
      <c r="H874" s="5"/>
      <c r="I874" s="44"/>
      <c r="J874" s="44"/>
      <c r="K874" s="44"/>
      <c r="L874" s="5"/>
      <c r="M874" s="5"/>
      <c r="N874" s="5"/>
      <c r="O874" s="5"/>
      <c r="P874" s="44"/>
      <c r="Q874" s="44"/>
      <c r="R874" s="44"/>
      <c r="S874" s="44"/>
      <c r="T874" s="44"/>
      <c r="U874" s="44"/>
      <c r="V874" s="5"/>
      <c r="W874" s="5"/>
      <c r="Y874" s="44"/>
    </row>
    <row r="875" spans="3:25" ht="15.75" customHeight="1">
      <c r="C875" s="5"/>
      <c r="D875" s="5"/>
      <c r="E875" s="5"/>
      <c r="F875" s="5"/>
      <c r="G875" s="44"/>
      <c r="H875" s="5"/>
      <c r="I875" s="44"/>
      <c r="J875" s="44"/>
      <c r="K875" s="44"/>
      <c r="L875" s="5"/>
      <c r="M875" s="5"/>
      <c r="N875" s="5"/>
      <c r="O875" s="5"/>
      <c r="P875" s="44"/>
      <c r="Q875" s="44"/>
      <c r="R875" s="44"/>
      <c r="S875" s="44"/>
      <c r="T875" s="44"/>
      <c r="U875" s="44"/>
      <c r="V875" s="5"/>
      <c r="W875" s="5"/>
      <c r="Y875" s="44"/>
    </row>
    <row r="876" spans="3:25" ht="15.75" customHeight="1">
      <c r="C876" s="5"/>
      <c r="D876" s="5"/>
      <c r="E876" s="5"/>
      <c r="F876" s="5"/>
      <c r="G876" s="44"/>
      <c r="H876" s="5"/>
      <c r="I876" s="44"/>
      <c r="J876" s="44"/>
      <c r="K876" s="44"/>
      <c r="L876" s="5"/>
      <c r="M876" s="5"/>
      <c r="N876" s="5"/>
      <c r="O876" s="5"/>
      <c r="P876" s="44"/>
      <c r="Q876" s="44"/>
      <c r="R876" s="44"/>
      <c r="S876" s="44"/>
      <c r="T876" s="44"/>
      <c r="U876" s="44"/>
      <c r="V876" s="5"/>
      <c r="W876" s="5"/>
      <c r="Y876" s="44"/>
    </row>
    <row r="877" spans="3:25" ht="15.75" customHeight="1">
      <c r="C877" s="5"/>
      <c r="D877" s="5"/>
      <c r="E877" s="5"/>
      <c r="F877" s="5"/>
      <c r="G877" s="44"/>
      <c r="H877" s="5"/>
      <c r="I877" s="44"/>
      <c r="J877" s="44"/>
      <c r="K877" s="44"/>
      <c r="L877" s="5"/>
      <c r="M877" s="5"/>
      <c r="N877" s="5"/>
      <c r="O877" s="5"/>
      <c r="P877" s="44"/>
      <c r="Q877" s="44"/>
      <c r="R877" s="44"/>
      <c r="S877" s="44"/>
      <c r="T877" s="44"/>
      <c r="U877" s="44"/>
      <c r="V877" s="5"/>
      <c r="W877" s="5"/>
      <c r="Y877" s="44"/>
    </row>
    <row r="878" spans="3:25" ht="15.75" customHeight="1">
      <c r="C878" s="5"/>
      <c r="D878" s="5"/>
      <c r="E878" s="5"/>
      <c r="F878" s="5"/>
      <c r="G878" s="44"/>
      <c r="H878" s="5"/>
      <c r="I878" s="44"/>
      <c r="J878" s="44"/>
      <c r="K878" s="44"/>
      <c r="L878" s="5"/>
      <c r="M878" s="5"/>
      <c r="N878" s="5"/>
      <c r="O878" s="5"/>
      <c r="P878" s="44"/>
      <c r="Q878" s="44"/>
      <c r="R878" s="44"/>
      <c r="S878" s="44"/>
      <c r="T878" s="44"/>
      <c r="U878" s="44"/>
      <c r="V878" s="5"/>
      <c r="W878" s="5"/>
      <c r="Y878" s="44"/>
    </row>
    <row r="879" spans="3:25" ht="15.75" customHeight="1">
      <c r="C879" s="5"/>
      <c r="D879" s="5"/>
      <c r="E879" s="5"/>
      <c r="F879" s="5"/>
      <c r="G879" s="44"/>
      <c r="H879" s="5"/>
      <c r="I879" s="44"/>
      <c r="J879" s="44"/>
      <c r="K879" s="44"/>
      <c r="L879" s="5"/>
      <c r="M879" s="5"/>
      <c r="N879" s="5"/>
      <c r="O879" s="5"/>
      <c r="P879" s="44"/>
      <c r="Q879" s="44"/>
      <c r="R879" s="44"/>
      <c r="S879" s="44"/>
      <c r="T879" s="44"/>
      <c r="U879" s="44"/>
      <c r="V879" s="5"/>
      <c r="W879" s="5"/>
      <c r="Y879" s="44"/>
    </row>
    <row r="880" spans="3:25" ht="15.75" customHeight="1">
      <c r="C880" s="5"/>
      <c r="D880" s="5"/>
      <c r="E880" s="5"/>
      <c r="F880" s="5"/>
      <c r="G880" s="44"/>
      <c r="H880" s="5"/>
      <c r="I880" s="44"/>
      <c r="J880" s="44"/>
      <c r="K880" s="44"/>
      <c r="L880" s="5"/>
      <c r="M880" s="5"/>
      <c r="N880" s="5"/>
      <c r="O880" s="5"/>
      <c r="P880" s="44"/>
      <c r="Q880" s="44"/>
      <c r="R880" s="44"/>
      <c r="S880" s="44"/>
      <c r="T880" s="44"/>
      <c r="U880" s="44"/>
      <c r="V880" s="5"/>
      <c r="W880" s="5"/>
      <c r="Y880" s="44"/>
    </row>
    <row r="881" spans="3:25" ht="15.75" customHeight="1">
      <c r="C881" s="5"/>
      <c r="D881" s="5"/>
      <c r="E881" s="5"/>
      <c r="F881" s="5"/>
      <c r="G881" s="44"/>
      <c r="H881" s="5"/>
      <c r="I881" s="44"/>
      <c r="J881" s="44"/>
      <c r="K881" s="44"/>
      <c r="L881" s="5"/>
      <c r="M881" s="5"/>
      <c r="N881" s="5"/>
      <c r="O881" s="5"/>
      <c r="P881" s="44"/>
      <c r="Q881" s="44"/>
      <c r="R881" s="44"/>
      <c r="S881" s="44"/>
      <c r="T881" s="44"/>
      <c r="U881" s="44"/>
      <c r="V881" s="5"/>
      <c r="W881" s="5"/>
      <c r="Y881" s="44"/>
    </row>
    <row r="882" spans="3:25" ht="15.75" customHeight="1">
      <c r="C882" s="5"/>
      <c r="D882" s="5"/>
      <c r="E882" s="5"/>
      <c r="F882" s="5"/>
      <c r="G882" s="44"/>
      <c r="H882" s="5"/>
      <c r="I882" s="44"/>
      <c r="J882" s="44"/>
      <c r="K882" s="44"/>
      <c r="L882" s="5"/>
      <c r="M882" s="5"/>
      <c r="N882" s="5"/>
      <c r="O882" s="5"/>
      <c r="P882" s="44"/>
      <c r="Q882" s="44"/>
      <c r="R882" s="44"/>
      <c r="S882" s="44"/>
      <c r="T882" s="44"/>
      <c r="U882" s="44"/>
      <c r="V882" s="5"/>
      <c r="W882" s="5"/>
      <c r="Y882" s="44"/>
    </row>
    <row r="883" spans="3:25" ht="15.75" customHeight="1">
      <c r="C883" s="5"/>
      <c r="D883" s="5"/>
      <c r="E883" s="5"/>
      <c r="F883" s="5"/>
      <c r="G883" s="44"/>
      <c r="H883" s="5"/>
      <c r="I883" s="44"/>
      <c r="J883" s="44"/>
      <c r="K883" s="44"/>
      <c r="L883" s="5"/>
      <c r="M883" s="5"/>
      <c r="N883" s="5"/>
      <c r="O883" s="5"/>
      <c r="P883" s="44"/>
      <c r="Q883" s="44"/>
      <c r="R883" s="44"/>
      <c r="S883" s="44"/>
      <c r="T883" s="44"/>
      <c r="U883" s="44"/>
      <c r="V883" s="5"/>
      <c r="W883" s="5"/>
      <c r="Y883" s="44"/>
    </row>
    <row r="884" spans="3:25" ht="15.75" customHeight="1">
      <c r="C884" s="5"/>
      <c r="D884" s="5"/>
      <c r="E884" s="5"/>
      <c r="F884" s="5"/>
      <c r="G884" s="44"/>
      <c r="H884" s="5"/>
      <c r="I884" s="44"/>
      <c r="J884" s="44"/>
      <c r="K884" s="44"/>
      <c r="L884" s="5"/>
      <c r="M884" s="5"/>
      <c r="N884" s="5"/>
      <c r="O884" s="5"/>
      <c r="P884" s="44"/>
      <c r="Q884" s="44"/>
      <c r="R884" s="44"/>
      <c r="S884" s="44"/>
      <c r="T884" s="44"/>
      <c r="U884" s="44"/>
      <c r="V884" s="5"/>
      <c r="W884" s="5"/>
      <c r="Y884" s="44"/>
    </row>
    <row r="885" spans="3:25" ht="15.75" customHeight="1">
      <c r="C885" s="5"/>
      <c r="D885" s="5"/>
      <c r="E885" s="5"/>
      <c r="F885" s="5"/>
      <c r="G885" s="44"/>
      <c r="H885" s="5"/>
      <c r="I885" s="44"/>
      <c r="J885" s="44"/>
      <c r="K885" s="44"/>
      <c r="L885" s="5"/>
      <c r="M885" s="5"/>
      <c r="N885" s="5"/>
      <c r="O885" s="5"/>
      <c r="P885" s="44"/>
      <c r="Q885" s="44"/>
      <c r="R885" s="44"/>
      <c r="S885" s="44"/>
      <c r="T885" s="44"/>
      <c r="U885" s="44"/>
      <c r="V885" s="5"/>
      <c r="W885" s="5"/>
      <c r="Y885" s="44"/>
    </row>
    <row r="886" spans="3:25" ht="15.75" customHeight="1">
      <c r="C886" s="5"/>
      <c r="D886" s="5"/>
      <c r="E886" s="5"/>
      <c r="F886" s="5"/>
      <c r="G886" s="44"/>
      <c r="H886" s="5"/>
      <c r="I886" s="44"/>
      <c r="J886" s="44"/>
      <c r="K886" s="44"/>
      <c r="L886" s="5"/>
      <c r="M886" s="5"/>
      <c r="N886" s="5"/>
      <c r="O886" s="5"/>
      <c r="P886" s="44"/>
      <c r="Q886" s="44"/>
      <c r="R886" s="44"/>
      <c r="S886" s="44"/>
      <c r="T886" s="44"/>
      <c r="U886" s="44"/>
      <c r="V886" s="5"/>
      <c r="W886" s="5"/>
      <c r="Y886" s="44"/>
    </row>
    <row r="887" spans="3:25" ht="15.75" customHeight="1">
      <c r="C887" s="5"/>
      <c r="D887" s="5"/>
      <c r="E887" s="5"/>
      <c r="F887" s="5"/>
      <c r="G887" s="44"/>
      <c r="H887" s="5"/>
      <c r="I887" s="44"/>
      <c r="J887" s="44"/>
      <c r="K887" s="44"/>
      <c r="L887" s="5"/>
      <c r="M887" s="5"/>
      <c r="N887" s="5"/>
      <c r="O887" s="5"/>
      <c r="P887" s="44"/>
      <c r="Q887" s="44"/>
      <c r="R887" s="44"/>
      <c r="S887" s="44"/>
      <c r="T887" s="44"/>
      <c r="U887" s="44"/>
      <c r="V887" s="5"/>
      <c r="W887" s="5"/>
      <c r="Y887" s="44"/>
    </row>
    <row r="888" spans="3:25" ht="15.75" customHeight="1">
      <c r="C888" s="5"/>
      <c r="D888" s="5"/>
      <c r="E888" s="5"/>
      <c r="F888" s="5"/>
      <c r="G888" s="44"/>
      <c r="H888" s="5"/>
      <c r="I888" s="44"/>
      <c r="J888" s="44"/>
      <c r="K888" s="44"/>
      <c r="L888" s="5"/>
      <c r="M888" s="5"/>
      <c r="N888" s="5"/>
      <c r="O888" s="5"/>
      <c r="P888" s="44"/>
      <c r="Q888" s="44"/>
      <c r="R888" s="44"/>
      <c r="S888" s="44"/>
      <c r="T888" s="44"/>
      <c r="U888" s="44"/>
      <c r="V888" s="5"/>
      <c r="W888" s="5"/>
      <c r="Y888" s="44"/>
    </row>
    <row r="889" spans="3:25" ht="15.75" customHeight="1">
      <c r="C889" s="5"/>
      <c r="D889" s="5"/>
      <c r="E889" s="5"/>
      <c r="F889" s="5"/>
      <c r="G889" s="44"/>
      <c r="H889" s="5"/>
      <c r="I889" s="44"/>
      <c r="J889" s="44"/>
      <c r="K889" s="44"/>
      <c r="L889" s="5"/>
      <c r="M889" s="5"/>
      <c r="N889" s="5"/>
      <c r="O889" s="5"/>
      <c r="P889" s="44"/>
      <c r="Q889" s="44"/>
      <c r="R889" s="44"/>
      <c r="S889" s="44"/>
      <c r="T889" s="44"/>
      <c r="U889" s="44"/>
      <c r="V889" s="5"/>
      <c r="W889" s="5"/>
      <c r="Y889" s="44"/>
    </row>
    <row r="890" spans="3:25" ht="15.75" customHeight="1">
      <c r="C890" s="5"/>
      <c r="D890" s="5"/>
      <c r="E890" s="5"/>
      <c r="F890" s="5"/>
      <c r="G890" s="44"/>
      <c r="H890" s="5"/>
      <c r="I890" s="44"/>
      <c r="J890" s="44"/>
      <c r="K890" s="44"/>
      <c r="L890" s="5"/>
      <c r="M890" s="5"/>
      <c r="N890" s="5"/>
      <c r="O890" s="5"/>
      <c r="P890" s="44"/>
      <c r="Q890" s="44"/>
      <c r="R890" s="44"/>
      <c r="S890" s="44"/>
      <c r="T890" s="44"/>
      <c r="U890" s="44"/>
      <c r="V890" s="5"/>
      <c r="W890" s="5"/>
      <c r="Y890" s="44"/>
    </row>
    <row r="891" spans="3:25" ht="15.75" customHeight="1">
      <c r="C891" s="5"/>
      <c r="D891" s="5"/>
      <c r="E891" s="5"/>
      <c r="F891" s="5"/>
      <c r="G891" s="44"/>
      <c r="H891" s="5"/>
      <c r="I891" s="44"/>
      <c r="J891" s="44"/>
      <c r="K891" s="44"/>
      <c r="L891" s="5"/>
      <c r="M891" s="5"/>
      <c r="N891" s="5"/>
      <c r="O891" s="5"/>
      <c r="P891" s="44"/>
      <c r="Q891" s="44"/>
      <c r="R891" s="44"/>
      <c r="S891" s="44"/>
      <c r="T891" s="44"/>
      <c r="U891" s="44"/>
      <c r="V891" s="5"/>
      <c r="W891" s="5"/>
      <c r="Y891" s="44"/>
    </row>
    <row r="892" spans="3:25" ht="15.75" customHeight="1">
      <c r="C892" s="5"/>
      <c r="D892" s="5"/>
      <c r="E892" s="5"/>
      <c r="F892" s="5"/>
      <c r="G892" s="44"/>
      <c r="H892" s="5"/>
      <c r="I892" s="44"/>
      <c r="J892" s="44"/>
      <c r="K892" s="44"/>
      <c r="L892" s="5"/>
      <c r="M892" s="5"/>
      <c r="N892" s="5"/>
      <c r="O892" s="5"/>
      <c r="P892" s="44"/>
      <c r="Q892" s="44"/>
      <c r="R892" s="44"/>
      <c r="S892" s="44"/>
      <c r="T892" s="44"/>
      <c r="U892" s="44"/>
      <c r="V892" s="5"/>
      <c r="W892" s="5"/>
      <c r="Y892" s="44"/>
    </row>
    <row r="893" spans="3:25" ht="15.75" customHeight="1">
      <c r="C893" s="5"/>
      <c r="D893" s="5"/>
      <c r="E893" s="5"/>
      <c r="F893" s="5"/>
      <c r="G893" s="44"/>
      <c r="H893" s="5"/>
      <c r="I893" s="44"/>
      <c r="J893" s="44"/>
      <c r="K893" s="44"/>
      <c r="L893" s="5"/>
      <c r="M893" s="5"/>
      <c r="N893" s="5"/>
      <c r="O893" s="5"/>
      <c r="P893" s="44"/>
      <c r="Q893" s="44"/>
      <c r="R893" s="44"/>
      <c r="S893" s="44"/>
      <c r="T893" s="44"/>
      <c r="U893" s="44"/>
      <c r="V893" s="5"/>
      <c r="W893" s="5"/>
      <c r="Y893" s="44"/>
    </row>
    <row r="894" spans="3:25" ht="15.75" customHeight="1">
      <c r="C894" s="5"/>
      <c r="D894" s="5"/>
      <c r="E894" s="5"/>
      <c r="F894" s="5"/>
      <c r="G894" s="44"/>
      <c r="H894" s="5"/>
      <c r="I894" s="44"/>
      <c r="J894" s="44"/>
      <c r="K894" s="44"/>
      <c r="L894" s="5"/>
      <c r="M894" s="5"/>
      <c r="N894" s="5"/>
      <c r="O894" s="5"/>
      <c r="P894" s="44"/>
      <c r="Q894" s="44"/>
      <c r="R894" s="44"/>
      <c r="S894" s="44"/>
      <c r="T894" s="44"/>
      <c r="U894" s="44"/>
      <c r="V894" s="5"/>
      <c r="W894" s="5"/>
      <c r="Y894" s="44"/>
    </row>
    <row r="895" spans="3:25" ht="15.75" customHeight="1">
      <c r="C895" s="5"/>
      <c r="D895" s="5"/>
      <c r="E895" s="5"/>
      <c r="F895" s="5"/>
      <c r="G895" s="44"/>
      <c r="H895" s="5"/>
      <c r="I895" s="44"/>
      <c r="J895" s="44"/>
      <c r="K895" s="44"/>
      <c r="L895" s="5"/>
      <c r="M895" s="5"/>
      <c r="N895" s="5"/>
      <c r="O895" s="5"/>
      <c r="P895" s="44"/>
      <c r="Q895" s="44"/>
      <c r="R895" s="44"/>
      <c r="S895" s="44"/>
      <c r="T895" s="44"/>
      <c r="U895" s="44"/>
      <c r="V895" s="5"/>
      <c r="W895" s="5"/>
      <c r="Y895" s="44"/>
    </row>
    <row r="896" spans="3:25" ht="15.75" customHeight="1">
      <c r="C896" s="5"/>
      <c r="D896" s="5"/>
      <c r="E896" s="5"/>
      <c r="F896" s="5"/>
      <c r="G896" s="44"/>
      <c r="H896" s="5"/>
      <c r="I896" s="44"/>
      <c r="J896" s="44"/>
      <c r="K896" s="44"/>
      <c r="L896" s="5"/>
      <c r="M896" s="5"/>
      <c r="N896" s="5"/>
      <c r="O896" s="5"/>
      <c r="P896" s="44"/>
      <c r="Q896" s="44"/>
      <c r="R896" s="44"/>
      <c r="S896" s="44"/>
      <c r="T896" s="44"/>
      <c r="U896" s="44"/>
      <c r="V896" s="5"/>
      <c r="W896" s="5"/>
      <c r="Y896" s="44"/>
    </row>
    <row r="897" spans="3:25" ht="15.75" customHeight="1">
      <c r="C897" s="5"/>
      <c r="D897" s="5"/>
      <c r="E897" s="5"/>
      <c r="F897" s="5"/>
      <c r="G897" s="44"/>
      <c r="H897" s="5"/>
      <c r="I897" s="44"/>
      <c r="J897" s="44"/>
      <c r="K897" s="44"/>
      <c r="L897" s="5"/>
      <c r="M897" s="5"/>
      <c r="N897" s="5"/>
      <c r="O897" s="5"/>
      <c r="P897" s="44"/>
      <c r="Q897" s="44"/>
      <c r="R897" s="44"/>
      <c r="S897" s="44"/>
      <c r="T897" s="44"/>
      <c r="U897" s="44"/>
      <c r="V897" s="5"/>
      <c r="W897" s="5"/>
      <c r="Y897" s="44"/>
    </row>
    <row r="898" spans="3:25" ht="15.75" customHeight="1">
      <c r="C898" s="5"/>
      <c r="D898" s="5"/>
      <c r="E898" s="5"/>
      <c r="F898" s="5"/>
      <c r="G898" s="44"/>
      <c r="H898" s="5"/>
      <c r="I898" s="44"/>
      <c r="J898" s="44"/>
      <c r="K898" s="44"/>
      <c r="L898" s="5"/>
      <c r="M898" s="5"/>
      <c r="N898" s="5"/>
      <c r="O898" s="5"/>
      <c r="P898" s="44"/>
      <c r="Q898" s="44"/>
      <c r="R898" s="44"/>
      <c r="S898" s="44"/>
      <c r="T898" s="44"/>
      <c r="U898" s="44"/>
      <c r="V898" s="5"/>
      <c r="W898" s="5"/>
      <c r="Y898" s="44"/>
    </row>
    <row r="899" spans="3:25" ht="15.75" customHeight="1">
      <c r="C899" s="5"/>
      <c r="D899" s="5"/>
      <c r="E899" s="5"/>
      <c r="F899" s="5"/>
      <c r="G899" s="44"/>
      <c r="H899" s="5"/>
      <c r="I899" s="44"/>
      <c r="J899" s="44"/>
      <c r="K899" s="44"/>
      <c r="L899" s="5"/>
      <c r="M899" s="5"/>
      <c r="N899" s="5"/>
      <c r="O899" s="5"/>
      <c r="P899" s="44"/>
      <c r="Q899" s="44"/>
      <c r="R899" s="44"/>
      <c r="S899" s="44"/>
      <c r="T899" s="44"/>
      <c r="U899" s="44"/>
      <c r="V899" s="5"/>
      <c r="W899" s="5"/>
      <c r="Y899" s="44"/>
    </row>
    <row r="900" spans="3:25" ht="15.75" customHeight="1">
      <c r="C900" s="5"/>
      <c r="D900" s="5"/>
      <c r="E900" s="5"/>
      <c r="F900" s="5"/>
      <c r="G900" s="44"/>
      <c r="H900" s="5"/>
      <c r="I900" s="44"/>
      <c r="J900" s="44"/>
      <c r="K900" s="44"/>
      <c r="L900" s="5"/>
      <c r="M900" s="5"/>
      <c r="N900" s="5"/>
      <c r="O900" s="5"/>
      <c r="P900" s="44"/>
      <c r="Q900" s="44"/>
      <c r="R900" s="44"/>
      <c r="S900" s="44"/>
      <c r="T900" s="44"/>
      <c r="U900" s="44"/>
      <c r="V900" s="5"/>
      <c r="W900" s="5"/>
      <c r="Y900" s="44"/>
    </row>
    <row r="901" spans="3:25" ht="15.75" customHeight="1">
      <c r="C901" s="5"/>
      <c r="D901" s="5"/>
      <c r="E901" s="5"/>
      <c r="F901" s="5"/>
      <c r="G901" s="44"/>
      <c r="H901" s="5"/>
      <c r="I901" s="44"/>
      <c r="J901" s="44"/>
      <c r="K901" s="44"/>
      <c r="L901" s="5"/>
      <c r="M901" s="5"/>
      <c r="N901" s="5"/>
      <c r="O901" s="5"/>
      <c r="P901" s="44"/>
      <c r="Q901" s="44"/>
      <c r="R901" s="44"/>
      <c r="S901" s="44"/>
      <c r="T901" s="44"/>
      <c r="U901" s="44"/>
      <c r="V901" s="5"/>
      <c r="W901" s="5"/>
      <c r="Y901" s="44"/>
    </row>
    <row r="902" spans="3:25" ht="15.75" customHeight="1">
      <c r="C902" s="5"/>
      <c r="D902" s="5"/>
      <c r="E902" s="5"/>
      <c r="F902" s="5"/>
      <c r="G902" s="44"/>
      <c r="H902" s="5"/>
      <c r="I902" s="44"/>
      <c r="J902" s="44"/>
      <c r="K902" s="44"/>
      <c r="L902" s="5"/>
      <c r="M902" s="5"/>
      <c r="N902" s="5"/>
      <c r="O902" s="5"/>
      <c r="P902" s="44"/>
      <c r="Q902" s="44"/>
      <c r="R902" s="44"/>
      <c r="S902" s="44"/>
      <c r="T902" s="44"/>
      <c r="U902" s="44"/>
      <c r="V902" s="5"/>
      <c r="W902" s="5"/>
      <c r="Y902" s="44"/>
    </row>
    <row r="903" spans="3:25" ht="15.75" customHeight="1">
      <c r="C903" s="5"/>
      <c r="D903" s="5"/>
      <c r="E903" s="5"/>
      <c r="F903" s="5"/>
      <c r="G903" s="44"/>
      <c r="H903" s="5"/>
      <c r="I903" s="44"/>
      <c r="J903" s="44"/>
      <c r="K903" s="44"/>
      <c r="L903" s="5"/>
      <c r="M903" s="5"/>
      <c r="N903" s="5"/>
      <c r="O903" s="5"/>
      <c r="P903" s="44"/>
      <c r="Q903" s="44"/>
      <c r="R903" s="44"/>
      <c r="S903" s="44"/>
      <c r="T903" s="44"/>
      <c r="U903" s="44"/>
      <c r="V903" s="5"/>
      <c r="W903" s="5"/>
      <c r="Y903" s="44"/>
    </row>
    <row r="904" spans="3:25" ht="15.75" customHeight="1">
      <c r="C904" s="5"/>
      <c r="D904" s="5"/>
      <c r="E904" s="5"/>
      <c r="F904" s="5"/>
      <c r="G904" s="44"/>
      <c r="H904" s="5"/>
      <c r="I904" s="44"/>
      <c r="J904" s="44"/>
      <c r="K904" s="44"/>
      <c r="L904" s="5"/>
      <c r="M904" s="5"/>
      <c r="N904" s="5"/>
      <c r="O904" s="5"/>
      <c r="P904" s="44"/>
      <c r="Q904" s="44"/>
      <c r="R904" s="44"/>
      <c r="S904" s="44"/>
      <c r="T904" s="44"/>
      <c r="U904" s="44"/>
      <c r="V904" s="5"/>
      <c r="W904" s="5"/>
      <c r="Y904" s="44"/>
    </row>
    <row r="905" spans="3:25" ht="15.75" customHeight="1">
      <c r="C905" s="5"/>
      <c r="D905" s="5"/>
      <c r="E905" s="5"/>
      <c r="F905" s="5"/>
      <c r="G905" s="44"/>
      <c r="H905" s="5"/>
      <c r="I905" s="44"/>
      <c r="J905" s="44"/>
      <c r="K905" s="44"/>
      <c r="L905" s="5"/>
      <c r="M905" s="5"/>
      <c r="N905" s="5"/>
      <c r="O905" s="5"/>
      <c r="P905" s="44"/>
      <c r="Q905" s="44"/>
      <c r="R905" s="44"/>
      <c r="S905" s="44"/>
      <c r="T905" s="44"/>
      <c r="U905" s="44"/>
      <c r="V905" s="5"/>
      <c r="W905" s="5"/>
      <c r="Y905" s="44"/>
    </row>
    <row r="906" spans="3:25" ht="15.75" customHeight="1">
      <c r="C906" s="5"/>
      <c r="D906" s="5"/>
      <c r="E906" s="5"/>
      <c r="F906" s="5"/>
      <c r="G906" s="44"/>
      <c r="H906" s="5"/>
      <c r="I906" s="44"/>
      <c r="J906" s="44"/>
      <c r="K906" s="44"/>
      <c r="L906" s="5"/>
      <c r="M906" s="5"/>
      <c r="N906" s="5"/>
      <c r="O906" s="5"/>
      <c r="P906" s="44"/>
      <c r="Q906" s="44"/>
      <c r="R906" s="44"/>
      <c r="S906" s="44"/>
      <c r="T906" s="44"/>
      <c r="U906" s="44"/>
      <c r="V906" s="5"/>
      <c r="W906" s="5"/>
      <c r="Y906" s="44"/>
    </row>
    <row r="907" spans="3:25" ht="15.75" customHeight="1">
      <c r="C907" s="5"/>
      <c r="D907" s="5"/>
      <c r="E907" s="5"/>
      <c r="F907" s="5"/>
      <c r="G907" s="44"/>
      <c r="H907" s="5"/>
      <c r="I907" s="44"/>
      <c r="J907" s="44"/>
      <c r="K907" s="44"/>
      <c r="L907" s="5"/>
      <c r="M907" s="5"/>
      <c r="N907" s="5"/>
      <c r="O907" s="5"/>
      <c r="P907" s="44"/>
      <c r="Q907" s="44"/>
      <c r="R907" s="44"/>
      <c r="S907" s="44"/>
      <c r="T907" s="44"/>
      <c r="U907" s="44"/>
      <c r="V907" s="5"/>
      <c r="W907" s="5"/>
      <c r="Y907" s="44"/>
    </row>
    <row r="908" spans="3:25" ht="15.75" customHeight="1">
      <c r="C908" s="5"/>
      <c r="D908" s="5"/>
      <c r="E908" s="5"/>
      <c r="F908" s="5"/>
      <c r="G908" s="44"/>
      <c r="H908" s="5"/>
      <c r="I908" s="44"/>
      <c r="J908" s="44"/>
      <c r="K908" s="44"/>
      <c r="L908" s="5"/>
      <c r="M908" s="5"/>
      <c r="N908" s="5"/>
      <c r="O908" s="5"/>
      <c r="P908" s="44"/>
      <c r="Q908" s="44"/>
      <c r="R908" s="44"/>
      <c r="S908" s="44"/>
      <c r="T908" s="44"/>
      <c r="U908" s="44"/>
      <c r="V908" s="5"/>
      <c r="W908" s="5"/>
      <c r="Y908" s="44"/>
    </row>
    <row r="909" spans="3:25" ht="15.75" customHeight="1">
      <c r="C909" s="5"/>
      <c r="D909" s="5"/>
      <c r="E909" s="5"/>
      <c r="F909" s="5"/>
      <c r="G909" s="44"/>
      <c r="H909" s="5"/>
      <c r="I909" s="44"/>
      <c r="J909" s="44"/>
      <c r="K909" s="44"/>
      <c r="L909" s="5"/>
      <c r="M909" s="5"/>
      <c r="N909" s="5"/>
      <c r="O909" s="5"/>
      <c r="P909" s="44"/>
      <c r="Q909" s="44"/>
      <c r="R909" s="44"/>
      <c r="S909" s="44"/>
      <c r="T909" s="44"/>
      <c r="U909" s="44"/>
      <c r="V909" s="5"/>
      <c r="W909" s="5"/>
      <c r="Y909" s="44"/>
    </row>
    <row r="910" spans="3:25" ht="15.75" customHeight="1">
      <c r="C910" s="5"/>
      <c r="D910" s="5"/>
      <c r="E910" s="5"/>
      <c r="F910" s="5"/>
      <c r="G910" s="44"/>
      <c r="H910" s="5"/>
      <c r="I910" s="44"/>
      <c r="J910" s="44"/>
      <c r="K910" s="44"/>
      <c r="L910" s="5"/>
      <c r="M910" s="5"/>
      <c r="N910" s="5"/>
      <c r="O910" s="5"/>
      <c r="P910" s="44"/>
      <c r="Q910" s="44"/>
      <c r="R910" s="44"/>
      <c r="S910" s="44"/>
      <c r="T910" s="44"/>
      <c r="U910" s="44"/>
      <c r="V910" s="5"/>
      <c r="W910" s="5"/>
      <c r="Y910" s="44"/>
    </row>
    <row r="911" spans="3:25" ht="15.75" customHeight="1">
      <c r="C911" s="5"/>
      <c r="D911" s="5"/>
      <c r="E911" s="5"/>
      <c r="F911" s="5"/>
      <c r="G911" s="44"/>
      <c r="H911" s="5"/>
      <c r="I911" s="44"/>
      <c r="J911" s="44"/>
      <c r="K911" s="44"/>
      <c r="L911" s="5"/>
      <c r="M911" s="5"/>
      <c r="N911" s="5"/>
      <c r="O911" s="5"/>
      <c r="P911" s="44"/>
      <c r="Q911" s="44"/>
      <c r="R911" s="44"/>
      <c r="S911" s="44"/>
      <c r="T911" s="44"/>
      <c r="U911" s="44"/>
      <c r="V911" s="5"/>
      <c r="W911" s="5"/>
      <c r="Y911" s="44"/>
    </row>
    <row r="912" spans="3:25" ht="15.75" customHeight="1">
      <c r="C912" s="5"/>
      <c r="D912" s="5"/>
      <c r="E912" s="5"/>
      <c r="F912" s="5"/>
      <c r="G912" s="44"/>
      <c r="H912" s="5"/>
      <c r="I912" s="44"/>
      <c r="J912" s="44"/>
      <c r="K912" s="44"/>
      <c r="L912" s="5"/>
      <c r="M912" s="5"/>
      <c r="N912" s="5"/>
      <c r="O912" s="5"/>
      <c r="P912" s="44"/>
      <c r="Q912" s="44"/>
      <c r="R912" s="44"/>
      <c r="S912" s="44"/>
      <c r="T912" s="44"/>
      <c r="U912" s="44"/>
      <c r="V912" s="5"/>
      <c r="W912" s="5"/>
      <c r="Y912" s="44"/>
    </row>
    <row r="913" spans="3:25" ht="15.75" customHeight="1">
      <c r="C913" s="5"/>
      <c r="D913" s="5"/>
      <c r="E913" s="5"/>
      <c r="F913" s="5"/>
      <c r="G913" s="44"/>
      <c r="H913" s="5"/>
      <c r="I913" s="44"/>
      <c r="J913" s="44"/>
      <c r="K913" s="44"/>
      <c r="L913" s="5"/>
      <c r="M913" s="5"/>
      <c r="N913" s="5"/>
      <c r="O913" s="5"/>
      <c r="P913" s="44"/>
      <c r="Q913" s="44"/>
      <c r="R913" s="44"/>
      <c r="S913" s="44"/>
      <c r="T913" s="44"/>
      <c r="U913" s="44"/>
      <c r="V913" s="5"/>
      <c r="W913" s="5"/>
      <c r="Y913" s="44"/>
    </row>
    <row r="914" spans="3:25" ht="15.75" customHeight="1">
      <c r="C914" s="5"/>
      <c r="D914" s="5"/>
      <c r="E914" s="5"/>
      <c r="F914" s="5"/>
      <c r="G914" s="44"/>
      <c r="H914" s="5"/>
      <c r="I914" s="44"/>
      <c r="J914" s="44"/>
      <c r="K914" s="44"/>
      <c r="L914" s="5"/>
      <c r="M914" s="5"/>
      <c r="N914" s="5"/>
      <c r="O914" s="5"/>
      <c r="P914" s="44"/>
      <c r="Q914" s="44"/>
      <c r="R914" s="44"/>
      <c r="S914" s="44"/>
      <c r="T914" s="44"/>
      <c r="U914" s="44"/>
      <c r="V914" s="5"/>
      <c r="W914" s="5"/>
      <c r="Y914" s="44"/>
    </row>
    <row r="915" spans="3:25" ht="15.75" customHeight="1">
      <c r="C915" s="5"/>
      <c r="D915" s="5"/>
      <c r="E915" s="5"/>
      <c r="F915" s="5"/>
      <c r="G915" s="44"/>
      <c r="H915" s="5"/>
      <c r="I915" s="44"/>
      <c r="J915" s="44"/>
      <c r="K915" s="44"/>
      <c r="L915" s="5"/>
      <c r="M915" s="5"/>
      <c r="N915" s="5"/>
      <c r="O915" s="5"/>
      <c r="P915" s="44"/>
      <c r="Q915" s="44"/>
      <c r="R915" s="44"/>
      <c r="S915" s="44"/>
      <c r="T915" s="44"/>
      <c r="U915" s="44"/>
      <c r="V915" s="5"/>
      <c r="W915" s="5"/>
      <c r="Y915" s="44"/>
    </row>
    <row r="916" spans="3:25" ht="15.75" customHeight="1">
      <c r="C916" s="5"/>
      <c r="D916" s="5"/>
      <c r="E916" s="5"/>
      <c r="F916" s="5"/>
      <c r="G916" s="44"/>
      <c r="H916" s="5"/>
      <c r="I916" s="44"/>
      <c r="J916" s="44"/>
      <c r="K916" s="44"/>
      <c r="L916" s="5"/>
      <c r="M916" s="5"/>
      <c r="N916" s="5"/>
      <c r="O916" s="5"/>
      <c r="P916" s="44"/>
      <c r="Q916" s="44"/>
      <c r="R916" s="44"/>
      <c r="S916" s="44"/>
      <c r="T916" s="44"/>
      <c r="U916" s="44"/>
      <c r="V916" s="5"/>
      <c r="W916" s="5"/>
      <c r="Y916" s="44"/>
    </row>
    <row r="917" spans="3:25" ht="15.75" customHeight="1">
      <c r="C917" s="5"/>
      <c r="D917" s="5"/>
      <c r="E917" s="5"/>
      <c r="F917" s="5"/>
      <c r="G917" s="44"/>
      <c r="H917" s="5"/>
      <c r="I917" s="44"/>
      <c r="J917" s="44"/>
      <c r="K917" s="44"/>
      <c r="L917" s="5"/>
      <c r="M917" s="5"/>
      <c r="N917" s="5"/>
      <c r="O917" s="5"/>
      <c r="P917" s="44"/>
      <c r="Q917" s="44"/>
      <c r="R917" s="44"/>
      <c r="S917" s="44"/>
      <c r="T917" s="44"/>
      <c r="U917" s="44"/>
      <c r="V917" s="5"/>
      <c r="W917" s="5"/>
      <c r="Y917" s="44"/>
    </row>
    <row r="918" spans="3:25" ht="15.75" customHeight="1">
      <c r="C918" s="5"/>
      <c r="D918" s="5"/>
      <c r="E918" s="5"/>
      <c r="F918" s="5"/>
      <c r="G918" s="44"/>
      <c r="H918" s="5"/>
      <c r="I918" s="44"/>
      <c r="J918" s="44"/>
      <c r="K918" s="44"/>
      <c r="L918" s="5"/>
      <c r="M918" s="5"/>
      <c r="N918" s="5"/>
      <c r="O918" s="5"/>
      <c r="P918" s="44"/>
      <c r="Q918" s="44"/>
      <c r="R918" s="44"/>
      <c r="S918" s="44"/>
      <c r="T918" s="44"/>
      <c r="U918" s="44"/>
      <c r="V918" s="5"/>
      <c r="W918" s="5"/>
      <c r="Y918" s="44"/>
    </row>
    <row r="919" spans="3:25" ht="15.75" customHeight="1">
      <c r="C919" s="5"/>
      <c r="D919" s="5"/>
      <c r="E919" s="5"/>
      <c r="F919" s="5"/>
      <c r="G919" s="44"/>
      <c r="H919" s="5"/>
      <c r="I919" s="44"/>
      <c r="J919" s="44"/>
      <c r="K919" s="44"/>
      <c r="L919" s="5"/>
      <c r="M919" s="5"/>
      <c r="N919" s="5"/>
      <c r="O919" s="5"/>
      <c r="P919" s="44"/>
      <c r="Q919" s="44"/>
      <c r="R919" s="44"/>
      <c r="S919" s="44"/>
      <c r="T919" s="44"/>
      <c r="U919" s="44"/>
      <c r="V919" s="5"/>
      <c r="W919" s="5"/>
      <c r="Y919" s="44"/>
    </row>
    <row r="920" spans="3:25" ht="15.75" customHeight="1">
      <c r="C920" s="5"/>
      <c r="D920" s="5"/>
      <c r="E920" s="5"/>
      <c r="F920" s="5"/>
      <c r="G920" s="44"/>
      <c r="H920" s="5"/>
      <c r="I920" s="44"/>
      <c r="J920" s="44"/>
      <c r="K920" s="44"/>
      <c r="L920" s="5"/>
      <c r="M920" s="5"/>
      <c r="N920" s="5"/>
      <c r="O920" s="5"/>
      <c r="P920" s="44"/>
      <c r="Q920" s="44"/>
      <c r="R920" s="44"/>
      <c r="S920" s="44"/>
      <c r="T920" s="44"/>
      <c r="U920" s="44"/>
      <c r="V920" s="5"/>
      <c r="W920" s="5"/>
      <c r="Y920" s="44"/>
    </row>
    <row r="921" spans="3:25" ht="15.75" customHeight="1">
      <c r="C921" s="5"/>
      <c r="D921" s="5"/>
      <c r="E921" s="5"/>
      <c r="F921" s="5"/>
      <c r="G921" s="44"/>
      <c r="H921" s="5"/>
      <c r="I921" s="44"/>
      <c r="J921" s="44"/>
      <c r="K921" s="44"/>
      <c r="L921" s="5"/>
      <c r="M921" s="5"/>
      <c r="N921" s="5"/>
      <c r="O921" s="5"/>
      <c r="P921" s="44"/>
      <c r="Q921" s="44"/>
      <c r="R921" s="44"/>
      <c r="S921" s="44"/>
      <c r="T921" s="44"/>
      <c r="U921" s="44"/>
      <c r="V921" s="5"/>
      <c r="W921" s="5"/>
      <c r="Y921" s="44"/>
    </row>
    <row r="922" spans="3:25" ht="15.75" customHeight="1">
      <c r="C922" s="5"/>
      <c r="D922" s="5"/>
      <c r="E922" s="5"/>
      <c r="F922" s="5"/>
      <c r="G922" s="44"/>
      <c r="H922" s="5"/>
      <c r="I922" s="44"/>
      <c r="J922" s="44"/>
      <c r="K922" s="44"/>
      <c r="L922" s="5"/>
      <c r="M922" s="5"/>
      <c r="N922" s="5"/>
      <c r="O922" s="5"/>
      <c r="P922" s="44"/>
      <c r="Q922" s="44"/>
      <c r="R922" s="44"/>
      <c r="S922" s="44"/>
      <c r="T922" s="44"/>
      <c r="U922" s="44"/>
      <c r="V922" s="5"/>
      <c r="W922" s="5"/>
      <c r="Y922" s="44"/>
    </row>
    <row r="923" spans="3:25" ht="15.75" customHeight="1">
      <c r="C923" s="5"/>
      <c r="D923" s="5"/>
      <c r="E923" s="5"/>
      <c r="F923" s="5"/>
      <c r="G923" s="44"/>
      <c r="H923" s="5"/>
      <c r="I923" s="44"/>
      <c r="J923" s="44"/>
      <c r="K923" s="44"/>
      <c r="L923" s="5"/>
      <c r="M923" s="5"/>
      <c r="N923" s="5"/>
      <c r="O923" s="5"/>
      <c r="P923" s="44"/>
      <c r="Q923" s="44"/>
      <c r="R923" s="44"/>
      <c r="S923" s="44"/>
      <c r="T923" s="44"/>
      <c r="U923" s="44"/>
      <c r="V923" s="5"/>
      <c r="W923" s="5"/>
      <c r="Y923" s="44"/>
    </row>
    <row r="924" spans="3:25" ht="15.75" customHeight="1">
      <c r="C924" s="5"/>
      <c r="D924" s="5"/>
      <c r="E924" s="5"/>
      <c r="F924" s="5"/>
      <c r="G924" s="44"/>
      <c r="H924" s="5"/>
      <c r="I924" s="44"/>
      <c r="J924" s="44"/>
      <c r="K924" s="44"/>
      <c r="L924" s="5"/>
      <c r="M924" s="5"/>
      <c r="N924" s="5"/>
      <c r="O924" s="5"/>
      <c r="P924" s="44"/>
      <c r="Q924" s="44"/>
      <c r="R924" s="44"/>
      <c r="S924" s="44"/>
      <c r="T924" s="44"/>
      <c r="U924" s="44"/>
      <c r="V924" s="5"/>
      <c r="W924" s="5"/>
      <c r="Y924" s="44"/>
    </row>
    <row r="925" spans="3:25" ht="15.75" customHeight="1">
      <c r="C925" s="5"/>
      <c r="D925" s="5"/>
      <c r="E925" s="5"/>
      <c r="F925" s="5"/>
      <c r="G925" s="44"/>
      <c r="H925" s="5"/>
      <c r="I925" s="44"/>
      <c r="J925" s="44"/>
      <c r="K925" s="44"/>
      <c r="L925" s="5"/>
      <c r="M925" s="5"/>
      <c r="N925" s="5"/>
      <c r="O925" s="5"/>
      <c r="P925" s="44"/>
      <c r="Q925" s="44"/>
      <c r="R925" s="44"/>
      <c r="S925" s="44"/>
      <c r="T925" s="44"/>
      <c r="U925" s="44"/>
      <c r="V925" s="5"/>
      <c r="W925" s="5"/>
      <c r="Y925" s="44"/>
    </row>
    <row r="926" spans="3:25" ht="15.75" customHeight="1">
      <c r="C926" s="5"/>
      <c r="D926" s="5"/>
      <c r="E926" s="5"/>
      <c r="F926" s="5"/>
      <c r="G926" s="44"/>
      <c r="H926" s="5"/>
      <c r="I926" s="44"/>
      <c r="J926" s="44"/>
      <c r="K926" s="44"/>
      <c r="L926" s="5"/>
      <c r="M926" s="5"/>
      <c r="N926" s="5"/>
      <c r="O926" s="5"/>
      <c r="P926" s="44"/>
      <c r="Q926" s="44"/>
      <c r="R926" s="44"/>
      <c r="S926" s="44"/>
      <c r="T926" s="44"/>
      <c r="U926" s="44"/>
      <c r="V926" s="5"/>
      <c r="W926" s="5"/>
      <c r="Y926" s="44"/>
    </row>
    <row r="927" spans="3:25" ht="15.75" customHeight="1">
      <c r="C927" s="5"/>
      <c r="D927" s="5"/>
      <c r="E927" s="5"/>
      <c r="F927" s="5"/>
      <c r="G927" s="44"/>
      <c r="H927" s="5"/>
      <c r="I927" s="44"/>
      <c r="J927" s="44"/>
      <c r="K927" s="44"/>
      <c r="L927" s="5"/>
      <c r="M927" s="5"/>
      <c r="N927" s="5"/>
      <c r="O927" s="5"/>
      <c r="P927" s="44"/>
      <c r="Q927" s="44"/>
      <c r="R927" s="44"/>
      <c r="S927" s="44"/>
      <c r="T927" s="44"/>
      <c r="U927" s="44"/>
      <c r="V927" s="5"/>
      <c r="W927" s="5"/>
      <c r="Y927" s="44"/>
    </row>
    <row r="928" spans="3:25" ht="15.75" customHeight="1">
      <c r="C928" s="5"/>
      <c r="D928" s="5"/>
      <c r="E928" s="5"/>
      <c r="F928" s="5"/>
      <c r="G928" s="44"/>
      <c r="H928" s="5"/>
      <c r="I928" s="44"/>
      <c r="J928" s="44"/>
      <c r="K928" s="44"/>
      <c r="L928" s="5"/>
      <c r="M928" s="5"/>
      <c r="N928" s="5"/>
      <c r="O928" s="5"/>
      <c r="P928" s="44"/>
      <c r="Q928" s="44"/>
      <c r="R928" s="44"/>
      <c r="S928" s="44"/>
      <c r="T928" s="44"/>
      <c r="U928" s="44"/>
      <c r="V928" s="5"/>
      <c r="W928" s="5"/>
      <c r="Y928" s="44"/>
    </row>
    <row r="929" spans="3:25" ht="15.75" customHeight="1">
      <c r="C929" s="5"/>
      <c r="D929" s="5"/>
      <c r="E929" s="5"/>
      <c r="F929" s="5"/>
      <c r="G929" s="44"/>
      <c r="H929" s="5"/>
      <c r="I929" s="44"/>
      <c r="J929" s="44"/>
      <c r="K929" s="44"/>
      <c r="L929" s="5"/>
      <c r="M929" s="5"/>
      <c r="N929" s="5"/>
      <c r="O929" s="5"/>
      <c r="P929" s="44"/>
      <c r="Q929" s="44"/>
      <c r="R929" s="44"/>
      <c r="S929" s="44"/>
      <c r="T929" s="44"/>
      <c r="U929" s="44"/>
      <c r="V929" s="5"/>
      <c r="W929" s="5"/>
      <c r="Y929" s="44"/>
    </row>
    <row r="930" spans="3:25" ht="15.75" customHeight="1">
      <c r="C930" s="5"/>
      <c r="D930" s="5"/>
      <c r="E930" s="5"/>
      <c r="F930" s="5"/>
      <c r="G930" s="44"/>
      <c r="H930" s="5"/>
      <c r="I930" s="44"/>
      <c r="J930" s="44"/>
      <c r="K930" s="44"/>
      <c r="L930" s="5"/>
      <c r="M930" s="5"/>
      <c r="N930" s="5"/>
      <c r="O930" s="5"/>
      <c r="P930" s="44"/>
      <c r="Q930" s="44"/>
      <c r="R930" s="44"/>
      <c r="S930" s="44"/>
      <c r="T930" s="44"/>
      <c r="U930" s="44"/>
      <c r="V930" s="5"/>
      <c r="W930" s="5"/>
      <c r="Y930" s="44"/>
    </row>
    <row r="931" spans="3:25" ht="15.75" customHeight="1">
      <c r="C931" s="5"/>
      <c r="D931" s="5"/>
      <c r="E931" s="5"/>
      <c r="F931" s="5"/>
      <c r="G931" s="44"/>
      <c r="H931" s="5"/>
      <c r="I931" s="44"/>
      <c r="J931" s="44"/>
      <c r="K931" s="44"/>
      <c r="L931" s="5"/>
      <c r="M931" s="5"/>
      <c r="N931" s="5"/>
      <c r="O931" s="5"/>
      <c r="P931" s="44"/>
      <c r="Q931" s="44"/>
      <c r="R931" s="44"/>
      <c r="S931" s="44"/>
      <c r="T931" s="44"/>
      <c r="U931" s="44"/>
      <c r="V931" s="5"/>
      <c r="W931" s="5"/>
      <c r="Y931" s="44"/>
    </row>
    <row r="932" spans="3:25" ht="15.75" customHeight="1">
      <c r="C932" s="5"/>
      <c r="D932" s="5"/>
      <c r="E932" s="5"/>
      <c r="F932" s="5"/>
      <c r="G932" s="44"/>
      <c r="H932" s="5"/>
      <c r="I932" s="44"/>
      <c r="J932" s="44"/>
      <c r="K932" s="44"/>
      <c r="L932" s="5"/>
      <c r="M932" s="5"/>
      <c r="N932" s="5"/>
      <c r="O932" s="5"/>
      <c r="P932" s="44"/>
      <c r="Q932" s="44"/>
      <c r="R932" s="44"/>
      <c r="S932" s="44"/>
      <c r="T932" s="44"/>
      <c r="U932" s="44"/>
      <c r="V932" s="5"/>
      <c r="W932" s="5"/>
      <c r="Y932" s="44"/>
    </row>
    <row r="933" spans="3:25" ht="15.75" customHeight="1">
      <c r="C933" s="5"/>
      <c r="D933" s="5"/>
      <c r="E933" s="5"/>
      <c r="F933" s="5"/>
      <c r="G933" s="44"/>
      <c r="H933" s="5"/>
      <c r="I933" s="44"/>
      <c r="J933" s="44"/>
      <c r="K933" s="44"/>
      <c r="L933" s="5"/>
      <c r="M933" s="5"/>
      <c r="N933" s="5"/>
      <c r="O933" s="5"/>
      <c r="P933" s="44"/>
      <c r="Q933" s="44"/>
      <c r="R933" s="44"/>
      <c r="S933" s="44"/>
      <c r="T933" s="44"/>
      <c r="U933" s="44"/>
      <c r="V933" s="5"/>
      <c r="W933" s="5"/>
      <c r="Y933" s="44"/>
    </row>
    <row r="934" spans="3:25" ht="15.75" customHeight="1">
      <c r="C934" s="5"/>
      <c r="D934" s="5"/>
      <c r="E934" s="5"/>
      <c r="F934" s="5"/>
      <c r="G934" s="44"/>
      <c r="H934" s="5"/>
      <c r="I934" s="44"/>
      <c r="J934" s="44"/>
      <c r="K934" s="44"/>
      <c r="L934" s="5"/>
      <c r="M934" s="5"/>
      <c r="N934" s="5"/>
      <c r="O934" s="5"/>
      <c r="P934" s="44"/>
      <c r="Q934" s="44"/>
      <c r="R934" s="44"/>
      <c r="S934" s="44"/>
      <c r="T934" s="44"/>
      <c r="U934" s="44"/>
      <c r="V934" s="5"/>
      <c r="W934" s="5"/>
      <c r="Y934" s="44"/>
    </row>
    <row r="935" spans="3:25" ht="15.75" customHeight="1">
      <c r="C935" s="5"/>
      <c r="D935" s="5"/>
      <c r="E935" s="5"/>
      <c r="F935" s="5"/>
      <c r="G935" s="44"/>
      <c r="H935" s="5"/>
      <c r="I935" s="44"/>
      <c r="J935" s="44"/>
      <c r="K935" s="44"/>
      <c r="L935" s="5"/>
      <c r="M935" s="5"/>
      <c r="N935" s="5"/>
      <c r="O935" s="5"/>
      <c r="P935" s="44"/>
      <c r="Q935" s="44"/>
      <c r="R935" s="44"/>
      <c r="S935" s="44"/>
      <c r="T935" s="44"/>
      <c r="U935" s="44"/>
      <c r="V935" s="5"/>
      <c r="W935" s="5"/>
      <c r="Y935" s="44"/>
    </row>
    <row r="936" spans="3:25" ht="15.75" customHeight="1">
      <c r="C936" s="5"/>
      <c r="D936" s="5"/>
      <c r="E936" s="5"/>
      <c r="F936" s="5"/>
      <c r="G936" s="44"/>
      <c r="H936" s="5"/>
      <c r="I936" s="44"/>
      <c r="J936" s="44"/>
      <c r="K936" s="44"/>
      <c r="L936" s="5"/>
      <c r="M936" s="5"/>
      <c r="N936" s="5"/>
      <c r="O936" s="5"/>
      <c r="P936" s="44"/>
      <c r="Q936" s="44"/>
      <c r="R936" s="44"/>
      <c r="S936" s="44"/>
      <c r="T936" s="44"/>
      <c r="U936" s="44"/>
      <c r="V936" s="5"/>
      <c r="W936" s="5"/>
      <c r="Y936" s="44"/>
    </row>
    <row r="937" spans="3:25" ht="15.75" customHeight="1">
      <c r="C937" s="5"/>
      <c r="D937" s="5"/>
      <c r="E937" s="5"/>
      <c r="F937" s="5"/>
      <c r="G937" s="44"/>
      <c r="H937" s="5"/>
      <c r="I937" s="44"/>
      <c r="J937" s="44"/>
      <c r="K937" s="44"/>
      <c r="L937" s="5"/>
      <c r="M937" s="5"/>
      <c r="N937" s="5"/>
      <c r="O937" s="5"/>
      <c r="P937" s="44"/>
      <c r="Q937" s="44"/>
      <c r="R937" s="44"/>
      <c r="S937" s="44"/>
      <c r="T937" s="44"/>
      <c r="U937" s="44"/>
      <c r="V937" s="5"/>
      <c r="W937" s="5"/>
      <c r="Y937" s="44"/>
    </row>
    <row r="938" spans="3:25" ht="15.75" customHeight="1">
      <c r="C938" s="5"/>
      <c r="D938" s="5"/>
      <c r="E938" s="5"/>
      <c r="F938" s="5"/>
      <c r="G938" s="44"/>
      <c r="H938" s="5"/>
      <c r="I938" s="44"/>
      <c r="J938" s="44"/>
      <c r="K938" s="44"/>
      <c r="L938" s="5"/>
      <c r="M938" s="5"/>
      <c r="N938" s="5"/>
      <c r="O938" s="5"/>
      <c r="P938" s="44"/>
      <c r="Q938" s="44"/>
      <c r="R938" s="44"/>
      <c r="S938" s="44"/>
      <c r="T938" s="44"/>
      <c r="U938" s="44"/>
      <c r="V938" s="5"/>
      <c r="W938" s="5"/>
      <c r="Y938" s="44"/>
    </row>
    <row r="939" spans="3:25" ht="15.75" customHeight="1">
      <c r="C939" s="5"/>
      <c r="D939" s="5"/>
      <c r="E939" s="5"/>
      <c r="F939" s="5"/>
      <c r="G939" s="44"/>
      <c r="H939" s="5"/>
      <c r="I939" s="44"/>
      <c r="J939" s="44"/>
      <c r="K939" s="44"/>
      <c r="L939" s="5"/>
      <c r="M939" s="5"/>
      <c r="N939" s="5"/>
      <c r="O939" s="5"/>
      <c r="P939" s="44"/>
      <c r="Q939" s="44"/>
      <c r="R939" s="44"/>
      <c r="S939" s="44"/>
      <c r="T939" s="44"/>
      <c r="U939" s="44"/>
      <c r="V939" s="5"/>
      <c r="W939" s="5"/>
      <c r="Y939" s="44"/>
    </row>
    <row r="940" spans="3:25" ht="15.75" customHeight="1">
      <c r="C940" s="5"/>
      <c r="D940" s="5"/>
      <c r="E940" s="5"/>
      <c r="F940" s="5"/>
      <c r="G940" s="44"/>
      <c r="H940" s="5"/>
      <c r="I940" s="44"/>
      <c r="J940" s="44"/>
      <c r="K940" s="44"/>
      <c r="L940" s="5"/>
      <c r="M940" s="5"/>
      <c r="N940" s="5"/>
      <c r="O940" s="5"/>
      <c r="P940" s="44"/>
      <c r="Q940" s="44"/>
      <c r="R940" s="44"/>
      <c r="S940" s="44"/>
      <c r="T940" s="44"/>
      <c r="U940" s="44"/>
      <c r="V940" s="5"/>
      <c r="W940" s="5"/>
      <c r="Y940" s="44"/>
    </row>
    <row r="941" spans="3:25" ht="15.75" customHeight="1">
      <c r="C941" s="5"/>
      <c r="D941" s="5"/>
      <c r="E941" s="5"/>
      <c r="F941" s="5"/>
      <c r="G941" s="44"/>
      <c r="H941" s="5"/>
      <c r="I941" s="44"/>
      <c r="J941" s="44"/>
      <c r="K941" s="44"/>
      <c r="L941" s="5"/>
      <c r="M941" s="5"/>
      <c r="N941" s="5"/>
      <c r="O941" s="5"/>
      <c r="P941" s="44"/>
      <c r="Q941" s="44"/>
      <c r="R941" s="44"/>
      <c r="S941" s="44"/>
      <c r="T941" s="44"/>
      <c r="U941" s="44"/>
      <c r="V941" s="5"/>
      <c r="W941" s="5"/>
      <c r="Y941" s="44"/>
    </row>
    <row r="942" spans="3:25" ht="15.75" customHeight="1">
      <c r="C942" s="5"/>
      <c r="D942" s="5"/>
      <c r="E942" s="5"/>
      <c r="F942" s="5"/>
      <c r="G942" s="44"/>
      <c r="H942" s="5"/>
      <c r="I942" s="44"/>
      <c r="J942" s="44"/>
      <c r="K942" s="44"/>
      <c r="L942" s="5"/>
      <c r="M942" s="5"/>
      <c r="N942" s="5"/>
      <c r="O942" s="5"/>
      <c r="P942" s="44"/>
      <c r="Q942" s="44"/>
      <c r="R942" s="44"/>
      <c r="S942" s="44"/>
      <c r="T942" s="44"/>
      <c r="U942" s="44"/>
      <c r="V942" s="5"/>
      <c r="W942" s="5"/>
      <c r="Y942" s="44"/>
    </row>
    <row r="943" spans="3:25" ht="15.75" customHeight="1">
      <c r="C943" s="5"/>
      <c r="D943" s="5"/>
      <c r="E943" s="5"/>
      <c r="F943" s="5"/>
      <c r="G943" s="44"/>
      <c r="H943" s="5"/>
      <c r="I943" s="44"/>
      <c r="J943" s="44"/>
      <c r="K943" s="44"/>
      <c r="L943" s="5"/>
      <c r="M943" s="5"/>
      <c r="N943" s="5"/>
      <c r="O943" s="5"/>
      <c r="P943" s="44"/>
      <c r="Q943" s="44"/>
      <c r="R943" s="44"/>
      <c r="S943" s="44"/>
      <c r="T943" s="44"/>
      <c r="U943" s="44"/>
      <c r="V943" s="5"/>
      <c r="W943" s="5"/>
      <c r="Y943" s="44"/>
    </row>
    <row r="944" spans="3:25" ht="15.75" customHeight="1">
      <c r="C944" s="5"/>
      <c r="D944" s="5"/>
      <c r="E944" s="5"/>
      <c r="F944" s="5"/>
      <c r="G944" s="44"/>
      <c r="H944" s="5"/>
      <c r="I944" s="44"/>
      <c r="J944" s="44"/>
      <c r="K944" s="44"/>
      <c r="L944" s="5"/>
      <c r="M944" s="5"/>
      <c r="N944" s="5"/>
      <c r="O944" s="5"/>
      <c r="P944" s="44"/>
      <c r="Q944" s="44"/>
      <c r="R944" s="44"/>
      <c r="S944" s="44"/>
      <c r="T944" s="44"/>
      <c r="U944" s="44"/>
      <c r="V944" s="5"/>
      <c r="W944" s="5"/>
      <c r="Y944" s="44"/>
    </row>
    <row r="945" spans="3:25" ht="15.75" customHeight="1">
      <c r="C945" s="5"/>
      <c r="D945" s="5"/>
      <c r="E945" s="5"/>
      <c r="F945" s="5"/>
      <c r="G945" s="44"/>
      <c r="H945" s="5"/>
      <c r="I945" s="44"/>
      <c r="J945" s="44"/>
      <c r="K945" s="44"/>
      <c r="L945" s="5"/>
      <c r="M945" s="5"/>
      <c r="N945" s="5"/>
      <c r="O945" s="5"/>
      <c r="P945" s="44"/>
      <c r="Q945" s="44"/>
      <c r="R945" s="44"/>
      <c r="S945" s="44"/>
      <c r="T945" s="44"/>
      <c r="U945" s="44"/>
      <c r="V945" s="5"/>
      <c r="W945" s="5"/>
      <c r="Y945" s="44"/>
    </row>
    <row r="946" spans="3:25" ht="15.75" customHeight="1">
      <c r="C946" s="5"/>
      <c r="D946" s="5"/>
      <c r="E946" s="5"/>
      <c r="F946" s="5"/>
      <c r="G946" s="44"/>
      <c r="H946" s="5"/>
      <c r="I946" s="44"/>
      <c r="J946" s="44"/>
      <c r="K946" s="44"/>
      <c r="L946" s="5"/>
      <c r="M946" s="5"/>
      <c r="N946" s="5"/>
      <c r="O946" s="5"/>
      <c r="P946" s="44"/>
      <c r="Q946" s="44"/>
      <c r="R946" s="44"/>
      <c r="S946" s="44"/>
      <c r="T946" s="44"/>
      <c r="U946" s="44"/>
      <c r="V946" s="5"/>
      <c r="W946" s="5"/>
      <c r="Y946" s="44"/>
    </row>
    <row r="947" spans="3:25" ht="15.75" customHeight="1">
      <c r="C947" s="5"/>
      <c r="D947" s="5"/>
      <c r="E947" s="5"/>
      <c r="F947" s="5"/>
      <c r="G947" s="44"/>
      <c r="H947" s="5"/>
      <c r="I947" s="44"/>
      <c r="J947" s="44"/>
      <c r="K947" s="44"/>
      <c r="L947" s="5"/>
      <c r="M947" s="5"/>
      <c r="N947" s="5"/>
      <c r="O947" s="5"/>
      <c r="P947" s="44"/>
      <c r="Q947" s="44"/>
      <c r="R947" s="44"/>
      <c r="S947" s="44"/>
      <c r="T947" s="44"/>
      <c r="U947" s="44"/>
      <c r="V947" s="5"/>
      <c r="W947" s="5"/>
      <c r="Y947" s="44"/>
    </row>
    <row r="948" spans="3:25" ht="15.75" customHeight="1">
      <c r="C948" s="5"/>
      <c r="D948" s="5"/>
      <c r="E948" s="5"/>
      <c r="F948" s="5"/>
      <c r="G948" s="44"/>
      <c r="H948" s="5"/>
      <c r="I948" s="44"/>
      <c r="J948" s="44"/>
      <c r="K948" s="44"/>
      <c r="L948" s="5"/>
      <c r="M948" s="5"/>
      <c r="N948" s="5"/>
      <c r="O948" s="5"/>
      <c r="P948" s="44"/>
      <c r="Q948" s="44"/>
      <c r="R948" s="44"/>
      <c r="S948" s="44"/>
      <c r="T948" s="44"/>
      <c r="U948" s="44"/>
      <c r="V948" s="5"/>
      <c r="W948" s="5"/>
      <c r="Y948" s="44"/>
    </row>
    <row r="949" spans="3:25" ht="15.75" customHeight="1">
      <c r="C949" s="5"/>
      <c r="D949" s="5"/>
      <c r="E949" s="5"/>
      <c r="F949" s="5"/>
      <c r="G949" s="44"/>
      <c r="H949" s="5"/>
      <c r="I949" s="44"/>
      <c r="J949" s="44"/>
      <c r="K949" s="44"/>
      <c r="L949" s="5"/>
      <c r="M949" s="5"/>
      <c r="N949" s="5"/>
      <c r="O949" s="5"/>
      <c r="P949" s="44"/>
      <c r="Q949" s="44"/>
      <c r="R949" s="44"/>
      <c r="S949" s="44"/>
      <c r="T949" s="44"/>
      <c r="U949" s="44"/>
      <c r="V949" s="5"/>
      <c r="W949" s="5"/>
      <c r="Y949" s="44"/>
    </row>
    <row r="950" spans="3:25" ht="15.75" customHeight="1">
      <c r="C950" s="5"/>
      <c r="D950" s="5"/>
      <c r="E950" s="5"/>
      <c r="F950" s="5"/>
      <c r="G950" s="44"/>
      <c r="H950" s="5"/>
      <c r="I950" s="44"/>
      <c r="J950" s="44"/>
      <c r="K950" s="44"/>
      <c r="L950" s="5"/>
      <c r="M950" s="5"/>
      <c r="N950" s="5"/>
      <c r="O950" s="5"/>
      <c r="P950" s="44"/>
      <c r="Q950" s="44"/>
      <c r="R950" s="44"/>
      <c r="S950" s="44"/>
      <c r="T950" s="44"/>
      <c r="U950" s="44"/>
      <c r="V950" s="5"/>
      <c r="W950" s="5"/>
      <c r="Y950" s="44"/>
    </row>
    <row r="951" spans="3:25" ht="15.75" customHeight="1">
      <c r="C951" s="5"/>
      <c r="D951" s="5"/>
      <c r="E951" s="5"/>
      <c r="F951" s="5"/>
      <c r="G951" s="44"/>
      <c r="H951" s="5"/>
      <c r="I951" s="44"/>
      <c r="J951" s="44"/>
      <c r="K951" s="44"/>
      <c r="L951" s="5"/>
      <c r="M951" s="5"/>
      <c r="N951" s="5"/>
      <c r="O951" s="5"/>
      <c r="P951" s="44"/>
      <c r="Q951" s="44"/>
      <c r="R951" s="44"/>
      <c r="S951" s="44"/>
      <c r="T951" s="44"/>
      <c r="U951" s="44"/>
      <c r="V951" s="5"/>
      <c r="W951" s="5"/>
      <c r="Y951" s="44"/>
    </row>
    <row r="952" spans="3:25" ht="15.75" customHeight="1">
      <c r="C952" s="5"/>
      <c r="D952" s="5"/>
      <c r="E952" s="5"/>
      <c r="F952" s="5"/>
      <c r="G952" s="44"/>
      <c r="H952" s="5"/>
      <c r="I952" s="44"/>
      <c r="J952" s="44"/>
      <c r="K952" s="44"/>
      <c r="L952" s="5"/>
      <c r="M952" s="5"/>
      <c r="N952" s="5"/>
      <c r="O952" s="5"/>
      <c r="P952" s="44"/>
      <c r="Q952" s="44"/>
      <c r="R952" s="44"/>
      <c r="S952" s="44"/>
      <c r="T952" s="44"/>
      <c r="U952" s="44"/>
      <c r="V952" s="5"/>
      <c r="W952" s="5"/>
      <c r="Y952" s="44"/>
    </row>
    <row r="953" spans="3:25" ht="15.75" customHeight="1">
      <c r="C953" s="5"/>
      <c r="D953" s="5"/>
      <c r="E953" s="5"/>
      <c r="F953" s="5"/>
      <c r="G953" s="44"/>
      <c r="H953" s="5"/>
      <c r="I953" s="44"/>
      <c r="J953" s="44"/>
      <c r="K953" s="44"/>
      <c r="L953" s="5"/>
      <c r="M953" s="5"/>
      <c r="N953" s="5"/>
      <c r="O953" s="5"/>
      <c r="P953" s="44"/>
      <c r="Q953" s="44"/>
      <c r="R953" s="44"/>
      <c r="S953" s="44"/>
      <c r="T953" s="44"/>
      <c r="U953" s="44"/>
      <c r="V953" s="5"/>
      <c r="W953" s="5"/>
      <c r="Y953" s="44"/>
    </row>
    <row r="954" spans="3:25" ht="15.75" customHeight="1">
      <c r="C954" s="5"/>
      <c r="D954" s="5"/>
      <c r="E954" s="5"/>
      <c r="F954" s="5"/>
      <c r="G954" s="44"/>
      <c r="H954" s="5"/>
      <c r="I954" s="44"/>
      <c r="J954" s="44"/>
      <c r="K954" s="44"/>
      <c r="L954" s="5"/>
      <c r="M954" s="5"/>
      <c r="N954" s="5"/>
      <c r="O954" s="5"/>
      <c r="P954" s="44"/>
      <c r="Q954" s="44"/>
      <c r="R954" s="44"/>
      <c r="S954" s="44"/>
      <c r="T954" s="44"/>
      <c r="U954" s="44"/>
      <c r="V954" s="5"/>
      <c r="W954" s="5"/>
      <c r="Y954" s="44"/>
    </row>
    <row r="955" spans="3:25" ht="15.75" customHeight="1">
      <c r="C955" s="5"/>
      <c r="D955" s="5"/>
      <c r="E955" s="5"/>
      <c r="F955" s="5"/>
      <c r="G955" s="44"/>
      <c r="H955" s="5"/>
      <c r="I955" s="44"/>
      <c r="J955" s="44"/>
      <c r="K955" s="44"/>
      <c r="L955" s="5"/>
      <c r="M955" s="5"/>
      <c r="N955" s="5"/>
      <c r="O955" s="5"/>
      <c r="P955" s="44"/>
      <c r="Q955" s="44"/>
      <c r="R955" s="44"/>
      <c r="S955" s="44"/>
      <c r="T955" s="44"/>
      <c r="U955" s="44"/>
      <c r="V955" s="5"/>
      <c r="W955" s="5"/>
      <c r="Y955" s="44"/>
    </row>
    <row r="956" spans="3:25" ht="15.75" customHeight="1">
      <c r="C956" s="5"/>
      <c r="D956" s="5"/>
      <c r="E956" s="5"/>
      <c r="F956" s="5"/>
      <c r="G956" s="44"/>
      <c r="H956" s="5"/>
      <c r="I956" s="44"/>
      <c r="J956" s="44"/>
      <c r="K956" s="44"/>
      <c r="L956" s="5"/>
      <c r="M956" s="5"/>
      <c r="N956" s="5"/>
      <c r="O956" s="5"/>
      <c r="P956" s="44"/>
      <c r="Q956" s="44"/>
      <c r="R956" s="44"/>
      <c r="S956" s="44"/>
      <c r="T956" s="44"/>
      <c r="U956" s="44"/>
      <c r="V956" s="5"/>
      <c r="W956" s="5"/>
      <c r="Y956" s="44"/>
    </row>
    <row r="957" spans="3:25" ht="15.75" customHeight="1">
      <c r="C957" s="5"/>
      <c r="D957" s="5"/>
      <c r="E957" s="5"/>
      <c r="F957" s="5"/>
      <c r="G957" s="44"/>
      <c r="H957" s="5"/>
      <c r="I957" s="44"/>
      <c r="J957" s="44"/>
      <c r="K957" s="44"/>
      <c r="L957" s="5"/>
      <c r="M957" s="5"/>
      <c r="N957" s="5"/>
      <c r="O957" s="5"/>
      <c r="P957" s="44"/>
      <c r="Q957" s="44"/>
      <c r="R957" s="44"/>
      <c r="S957" s="44"/>
      <c r="T957" s="44"/>
      <c r="U957" s="44"/>
      <c r="V957" s="5"/>
      <c r="W957" s="5"/>
      <c r="Y957" s="44"/>
    </row>
    <row r="958" spans="3:25" ht="15.75" customHeight="1">
      <c r="C958" s="5"/>
      <c r="D958" s="5"/>
      <c r="E958" s="5"/>
      <c r="F958" s="5"/>
      <c r="G958" s="44"/>
      <c r="H958" s="5"/>
      <c r="I958" s="44"/>
      <c r="J958" s="44"/>
      <c r="K958" s="44"/>
      <c r="L958" s="5"/>
      <c r="M958" s="5"/>
      <c r="N958" s="5"/>
      <c r="O958" s="5"/>
      <c r="P958" s="44"/>
      <c r="Q958" s="44"/>
      <c r="R958" s="44"/>
      <c r="S958" s="44"/>
      <c r="T958" s="44"/>
      <c r="U958" s="44"/>
      <c r="V958" s="5"/>
      <c r="W958" s="5"/>
      <c r="Y958" s="44"/>
    </row>
    <row r="959" spans="3:25" ht="15.75" customHeight="1">
      <c r="C959" s="5"/>
      <c r="D959" s="5"/>
      <c r="E959" s="5"/>
      <c r="F959" s="5"/>
      <c r="G959" s="44"/>
      <c r="H959" s="5"/>
      <c r="I959" s="44"/>
      <c r="J959" s="44"/>
      <c r="K959" s="44"/>
      <c r="L959" s="5"/>
      <c r="M959" s="5"/>
      <c r="N959" s="5"/>
      <c r="O959" s="5"/>
      <c r="P959" s="44"/>
      <c r="Q959" s="44"/>
      <c r="R959" s="44"/>
      <c r="S959" s="44"/>
      <c r="T959" s="44"/>
      <c r="U959" s="44"/>
      <c r="V959" s="5"/>
      <c r="W959" s="5"/>
      <c r="Y959" s="44"/>
    </row>
    <row r="960" spans="3:25" ht="15.75" customHeight="1">
      <c r="C960" s="5"/>
      <c r="D960" s="5"/>
      <c r="E960" s="5"/>
      <c r="F960" s="5"/>
      <c r="G960" s="44"/>
      <c r="H960" s="5"/>
      <c r="I960" s="44"/>
      <c r="J960" s="44"/>
      <c r="K960" s="44"/>
      <c r="L960" s="5"/>
      <c r="M960" s="5"/>
      <c r="N960" s="5"/>
      <c r="O960" s="5"/>
      <c r="P960" s="44"/>
      <c r="Q960" s="44"/>
      <c r="R960" s="44"/>
      <c r="S960" s="44"/>
      <c r="T960" s="44"/>
      <c r="U960" s="44"/>
      <c r="V960" s="5"/>
      <c r="W960" s="5"/>
      <c r="Y960" s="44"/>
    </row>
    <row r="961" spans="3:25" ht="15.75" customHeight="1">
      <c r="C961" s="5"/>
      <c r="D961" s="5"/>
      <c r="E961" s="5"/>
      <c r="F961" s="5"/>
      <c r="G961" s="44"/>
      <c r="H961" s="5"/>
      <c r="I961" s="44"/>
      <c r="J961" s="44"/>
      <c r="K961" s="44"/>
      <c r="L961" s="5"/>
      <c r="M961" s="5"/>
      <c r="N961" s="5"/>
      <c r="O961" s="5"/>
      <c r="P961" s="44"/>
      <c r="Q961" s="44"/>
      <c r="R961" s="44"/>
      <c r="S961" s="44"/>
      <c r="T961" s="44"/>
      <c r="U961" s="44"/>
      <c r="V961" s="5"/>
      <c r="W961" s="5"/>
      <c r="Y961" s="44"/>
    </row>
    <row r="962" spans="3:25" ht="15.75" customHeight="1">
      <c r="C962" s="5"/>
      <c r="D962" s="5"/>
      <c r="E962" s="5"/>
      <c r="F962" s="5"/>
      <c r="G962" s="44"/>
      <c r="H962" s="5"/>
      <c r="I962" s="44"/>
      <c r="J962" s="44"/>
      <c r="K962" s="44"/>
      <c r="L962" s="5"/>
      <c r="M962" s="5"/>
      <c r="N962" s="5"/>
      <c r="O962" s="5"/>
      <c r="P962" s="44"/>
      <c r="Q962" s="44"/>
      <c r="R962" s="44"/>
      <c r="S962" s="44"/>
      <c r="T962" s="44"/>
      <c r="U962" s="44"/>
      <c r="V962" s="5"/>
      <c r="W962" s="5"/>
      <c r="Y962" s="44"/>
    </row>
    <row r="963" spans="3:25" ht="15.75" customHeight="1">
      <c r="C963" s="5"/>
      <c r="D963" s="5"/>
      <c r="E963" s="5"/>
      <c r="F963" s="5"/>
      <c r="G963" s="44"/>
      <c r="H963" s="5"/>
      <c r="I963" s="44"/>
      <c r="J963" s="44"/>
      <c r="K963" s="44"/>
      <c r="L963" s="5"/>
      <c r="M963" s="5"/>
      <c r="N963" s="5"/>
      <c r="O963" s="5"/>
      <c r="P963" s="44"/>
      <c r="Q963" s="44"/>
      <c r="R963" s="44"/>
      <c r="S963" s="44"/>
      <c r="T963" s="44"/>
      <c r="U963" s="44"/>
      <c r="V963" s="5"/>
      <c r="W963" s="5"/>
      <c r="Y963" s="44"/>
    </row>
    <row r="964" spans="3:25" ht="15.75" customHeight="1">
      <c r="C964" s="5"/>
      <c r="D964" s="5"/>
      <c r="E964" s="5"/>
      <c r="F964" s="5"/>
      <c r="G964" s="44"/>
      <c r="H964" s="5"/>
      <c r="I964" s="44"/>
      <c r="J964" s="44"/>
      <c r="K964" s="44"/>
      <c r="L964" s="5"/>
      <c r="M964" s="5"/>
      <c r="N964" s="5"/>
      <c r="O964" s="5"/>
      <c r="P964" s="44"/>
      <c r="Q964" s="44"/>
      <c r="R964" s="44"/>
      <c r="S964" s="44"/>
      <c r="T964" s="44"/>
      <c r="U964" s="44"/>
      <c r="V964" s="5"/>
      <c r="W964" s="5"/>
      <c r="Y964" s="44"/>
    </row>
    <row r="965" spans="3:25" ht="15.75" customHeight="1">
      <c r="C965" s="5"/>
      <c r="D965" s="5"/>
      <c r="E965" s="5"/>
      <c r="F965" s="5"/>
      <c r="G965" s="44"/>
      <c r="H965" s="5"/>
      <c r="I965" s="44"/>
      <c r="J965" s="44"/>
      <c r="K965" s="44"/>
      <c r="L965" s="5"/>
      <c r="M965" s="5"/>
      <c r="N965" s="5"/>
      <c r="O965" s="5"/>
      <c r="P965" s="44"/>
      <c r="Q965" s="44"/>
      <c r="R965" s="44"/>
      <c r="S965" s="44"/>
      <c r="T965" s="44"/>
      <c r="U965" s="44"/>
      <c r="V965" s="5"/>
      <c r="W965" s="5"/>
      <c r="Y965" s="44"/>
    </row>
    <row r="966" spans="3:25" ht="15.75" customHeight="1">
      <c r="C966" s="5"/>
      <c r="D966" s="5"/>
      <c r="E966" s="5"/>
      <c r="F966" s="5"/>
      <c r="G966" s="44"/>
      <c r="H966" s="5"/>
      <c r="I966" s="44"/>
      <c r="J966" s="44"/>
      <c r="K966" s="44"/>
      <c r="L966" s="5"/>
      <c r="M966" s="5"/>
      <c r="N966" s="5"/>
      <c r="O966" s="5"/>
      <c r="P966" s="44"/>
      <c r="Q966" s="44"/>
      <c r="R966" s="44"/>
      <c r="S966" s="44"/>
      <c r="T966" s="44"/>
      <c r="U966" s="44"/>
      <c r="V966" s="5"/>
      <c r="W966" s="5"/>
      <c r="Y966" s="44"/>
    </row>
    <row r="967" spans="3:25" ht="15.75" customHeight="1">
      <c r="C967" s="5"/>
      <c r="D967" s="5"/>
      <c r="E967" s="5"/>
      <c r="F967" s="5"/>
      <c r="G967" s="44"/>
      <c r="H967" s="5"/>
      <c r="I967" s="44"/>
      <c r="J967" s="44"/>
      <c r="K967" s="44"/>
      <c r="L967" s="5"/>
      <c r="M967" s="5"/>
      <c r="N967" s="5"/>
      <c r="O967" s="5"/>
      <c r="P967" s="44"/>
      <c r="Q967" s="44"/>
      <c r="R967" s="44"/>
      <c r="S967" s="44"/>
      <c r="T967" s="44"/>
      <c r="U967" s="44"/>
      <c r="V967" s="5"/>
      <c r="W967" s="5"/>
      <c r="Y967" s="44"/>
    </row>
    <row r="968" spans="3:25" ht="15.75" customHeight="1">
      <c r="C968" s="5"/>
      <c r="D968" s="5"/>
      <c r="E968" s="5"/>
      <c r="F968" s="5"/>
      <c r="G968" s="44"/>
      <c r="H968" s="5"/>
      <c r="I968" s="44"/>
      <c r="J968" s="44"/>
      <c r="K968" s="44"/>
      <c r="L968" s="5"/>
      <c r="M968" s="5"/>
      <c r="N968" s="5"/>
      <c r="O968" s="5"/>
      <c r="P968" s="44"/>
      <c r="Q968" s="44"/>
      <c r="R968" s="44"/>
      <c r="S968" s="44"/>
      <c r="T968" s="44"/>
      <c r="U968" s="44"/>
      <c r="V968" s="5"/>
      <c r="W968" s="5"/>
      <c r="Y968" s="44"/>
    </row>
    <row r="969" spans="3:25" ht="15.75" customHeight="1">
      <c r="C969" s="5"/>
      <c r="D969" s="5"/>
      <c r="E969" s="5"/>
      <c r="F969" s="5"/>
      <c r="G969" s="44"/>
      <c r="H969" s="5"/>
      <c r="I969" s="44"/>
      <c r="J969" s="44"/>
      <c r="K969" s="44"/>
      <c r="L969" s="5"/>
      <c r="M969" s="5"/>
      <c r="N969" s="5"/>
      <c r="O969" s="5"/>
      <c r="P969" s="44"/>
      <c r="Q969" s="44"/>
      <c r="R969" s="44"/>
      <c r="S969" s="44"/>
      <c r="T969" s="44"/>
      <c r="U969" s="44"/>
      <c r="V969" s="5"/>
      <c r="W969" s="5"/>
      <c r="Y969" s="44"/>
    </row>
    <row r="970" spans="3:25" ht="15.75" customHeight="1">
      <c r="C970" s="5"/>
      <c r="D970" s="5"/>
      <c r="E970" s="5"/>
      <c r="F970" s="5"/>
      <c r="G970" s="44"/>
      <c r="H970" s="5"/>
      <c r="I970" s="44"/>
      <c r="J970" s="44"/>
      <c r="K970" s="44"/>
      <c r="L970" s="5"/>
      <c r="M970" s="5"/>
      <c r="N970" s="5"/>
      <c r="O970" s="5"/>
      <c r="P970" s="44"/>
      <c r="Q970" s="44"/>
      <c r="R970" s="44"/>
      <c r="S970" s="44"/>
      <c r="T970" s="44"/>
      <c r="U970" s="44"/>
      <c r="V970" s="5"/>
      <c r="W970" s="5"/>
      <c r="Y970" s="44"/>
    </row>
    <row r="971" spans="3:25" ht="15.75" customHeight="1">
      <c r="C971" s="5"/>
      <c r="D971" s="5"/>
      <c r="E971" s="5"/>
      <c r="F971" s="5"/>
      <c r="G971" s="44"/>
      <c r="H971" s="5"/>
      <c r="I971" s="44"/>
      <c r="J971" s="44"/>
      <c r="K971" s="44"/>
      <c r="L971" s="5"/>
      <c r="M971" s="5"/>
      <c r="N971" s="5"/>
      <c r="O971" s="5"/>
      <c r="P971" s="44"/>
      <c r="Q971" s="44"/>
      <c r="R971" s="44"/>
      <c r="S971" s="44"/>
      <c r="T971" s="44"/>
      <c r="U971" s="44"/>
      <c r="V971" s="5"/>
      <c r="W971" s="5"/>
      <c r="Y971" s="44"/>
    </row>
    <row r="972" spans="3:25" ht="15.75" customHeight="1">
      <c r="C972" s="5"/>
      <c r="D972" s="5"/>
      <c r="E972" s="5"/>
      <c r="F972" s="5"/>
      <c r="G972" s="44"/>
      <c r="H972" s="5"/>
      <c r="I972" s="44"/>
      <c r="J972" s="44"/>
      <c r="K972" s="44"/>
      <c r="L972" s="5"/>
      <c r="M972" s="5"/>
      <c r="N972" s="5"/>
      <c r="O972" s="5"/>
      <c r="P972" s="44"/>
      <c r="Q972" s="44"/>
      <c r="R972" s="44"/>
      <c r="S972" s="44"/>
      <c r="T972" s="44"/>
      <c r="U972" s="44"/>
      <c r="V972" s="5"/>
      <c r="W972" s="5"/>
      <c r="Y972" s="44"/>
    </row>
    <row r="973" spans="3:25" ht="15.75" customHeight="1">
      <c r="C973" s="5"/>
      <c r="D973" s="5"/>
      <c r="E973" s="5"/>
      <c r="F973" s="5"/>
      <c r="G973" s="44"/>
      <c r="H973" s="5"/>
      <c r="I973" s="44"/>
      <c r="J973" s="44"/>
      <c r="K973" s="44"/>
      <c r="L973" s="5"/>
      <c r="M973" s="5"/>
      <c r="N973" s="5"/>
      <c r="O973" s="5"/>
      <c r="P973" s="44"/>
      <c r="Q973" s="44"/>
      <c r="R973" s="44"/>
      <c r="S973" s="44"/>
      <c r="T973" s="44"/>
      <c r="U973" s="44"/>
      <c r="V973" s="5"/>
      <c r="W973" s="5"/>
      <c r="Y973" s="44"/>
    </row>
    <row r="974" spans="3:25" ht="15.75" customHeight="1">
      <c r="C974" s="5"/>
      <c r="D974" s="5"/>
      <c r="E974" s="5"/>
      <c r="F974" s="5"/>
      <c r="G974" s="44"/>
      <c r="H974" s="5"/>
      <c r="I974" s="44"/>
      <c r="J974" s="44"/>
      <c r="K974" s="44"/>
      <c r="L974" s="5"/>
      <c r="M974" s="5"/>
      <c r="N974" s="5"/>
      <c r="O974" s="5"/>
      <c r="P974" s="44"/>
      <c r="Q974" s="44"/>
      <c r="R974" s="44"/>
      <c r="S974" s="44"/>
      <c r="T974" s="44"/>
      <c r="U974" s="44"/>
      <c r="V974" s="5"/>
      <c r="W974" s="5"/>
      <c r="Y974" s="44"/>
    </row>
    <row r="975" spans="3:25" ht="15.75" customHeight="1">
      <c r="C975" s="5"/>
      <c r="D975" s="5"/>
      <c r="E975" s="5"/>
      <c r="F975" s="5"/>
      <c r="G975" s="44"/>
      <c r="H975" s="5"/>
      <c r="I975" s="44"/>
      <c r="J975" s="44"/>
      <c r="K975" s="44"/>
      <c r="L975" s="5"/>
      <c r="M975" s="5"/>
      <c r="N975" s="5"/>
      <c r="O975" s="5"/>
      <c r="P975" s="44"/>
      <c r="Q975" s="44"/>
      <c r="R975" s="44"/>
      <c r="S975" s="44"/>
      <c r="T975" s="44"/>
      <c r="U975" s="44"/>
      <c r="V975" s="5"/>
      <c r="W975" s="5"/>
      <c r="Y975" s="44"/>
    </row>
    <row r="976" spans="3:25" ht="15.75" customHeight="1">
      <c r="C976" s="5"/>
      <c r="D976" s="5"/>
      <c r="E976" s="5"/>
      <c r="F976" s="5"/>
      <c r="G976" s="44"/>
      <c r="H976" s="5"/>
      <c r="I976" s="44"/>
      <c r="J976" s="44"/>
      <c r="K976" s="44"/>
      <c r="L976" s="5"/>
      <c r="M976" s="5"/>
      <c r="N976" s="5"/>
      <c r="O976" s="5"/>
      <c r="P976" s="44"/>
      <c r="Q976" s="44"/>
      <c r="R976" s="44"/>
      <c r="S976" s="44"/>
      <c r="T976" s="44"/>
      <c r="U976" s="44"/>
      <c r="V976" s="5"/>
      <c r="W976" s="5"/>
      <c r="Y976" s="44"/>
    </row>
    <row r="977" spans="3:25" ht="15.75" customHeight="1">
      <c r="C977" s="5"/>
      <c r="D977" s="5"/>
      <c r="E977" s="5"/>
      <c r="F977" s="5"/>
      <c r="G977" s="44"/>
      <c r="H977" s="5"/>
      <c r="I977" s="44"/>
      <c r="J977" s="44"/>
      <c r="K977" s="44"/>
      <c r="L977" s="5"/>
      <c r="M977" s="5"/>
      <c r="N977" s="5"/>
      <c r="O977" s="5"/>
      <c r="P977" s="44"/>
      <c r="Q977" s="44"/>
      <c r="R977" s="44"/>
      <c r="S977" s="44"/>
      <c r="T977" s="44"/>
      <c r="U977" s="44"/>
      <c r="V977" s="5"/>
      <c r="W977" s="5"/>
      <c r="Y977" s="44"/>
    </row>
    <row r="978" spans="3:25" ht="15.75" customHeight="1">
      <c r="C978" s="5"/>
      <c r="D978" s="5"/>
      <c r="E978" s="5"/>
      <c r="F978" s="5"/>
      <c r="G978" s="44"/>
      <c r="H978" s="5"/>
      <c r="I978" s="44"/>
      <c r="J978" s="44"/>
      <c r="K978" s="44"/>
      <c r="L978" s="5"/>
      <c r="M978" s="5"/>
      <c r="N978" s="5"/>
      <c r="O978" s="5"/>
      <c r="P978" s="44"/>
      <c r="Q978" s="44"/>
      <c r="R978" s="44"/>
      <c r="S978" s="44"/>
      <c r="T978" s="44"/>
      <c r="U978" s="44"/>
      <c r="V978" s="5"/>
      <c r="W978" s="5"/>
      <c r="Y978" s="44"/>
    </row>
    <row r="979" spans="3:25" ht="15.75" customHeight="1">
      <c r="C979" s="5"/>
      <c r="D979" s="5"/>
      <c r="E979" s="5"/>
      <c r="F979" s="5"/>
      <c r="G979" s="44"/>
      <c r="H979" s="5"/>
      <c r="I979" s="44"/>
      <c r="J979" s="44"/>
      <c r="K979" s="44"/>
      <c r="L979" s="5"/>
      <c r="M979" s="5"/>
      <c r="N979" s="5"/>
      <c r="O979" s="5"/>
      <c r="P979" s="44"/>
      <c r="Q979" s="44"/>
      <c r="R979" s="44"/>
      <c r="S979" s="44"/>
      <c r="T979" s="44"/>
      <c r="U979" s="44"/>
      <c r="V979" s="5"/>
      <c r="W979" s="5"/>
      <c r="Y979" s="44"/>
    </row>
    <row r="980" spans="3:25" ht="15.75" customHeight="1">
      <c r="C980" s="5"/>
      <c r="D980" s="5"/>
      <c r="E980" s="5"/>
      <c r="F980" s="5"/>
      <c r="G980" s="44"/>
      <c r="H980" s="5"/>
      <c r="I980" s="44"/>
      <c r="J980" s="44"/>
      <c r="K980" s="44"/>
      <c r="L980" s="5"/>
      <c r="M980" s="5"/>
      <c r="N980" s="5"/>
      <c r="O980" s="5"/>
      <c r="P980" s="44"/>
      <c r="Q980" s="44"/>
      <c r="R980" s="44"/>
      <c r="S980" s="44"/>
      <c r="T980" s="44"/>
      <c r="U980" s="44"/>
      <c r="V980" s="5"/>
      <c r="W980" s="5"/>
      <c r="Y980" s="44"/>
    </row>
    <row r="981" spans="3:25" ht="15.75" customHeight="1">
      <c r="C981" s="5"/>
      <c r="D981" s="5"/>
      <c r="E981" s="5"/>
      <c r="F981" s="5"/>
      <c r="G981" s="44"/>
      <c r="H981" s="5"/>
      <c r="I981" s="44"/>
      <c r="J981" s="44"/>
      <c r="K981" s="44"/>
      <c r="L981" s="5"/>
      <c r="M981" s="5"/>
      <c r="N981" s="5"/>
      <c r="O981" s="5"/>
      <c r="P981" s="44"/>
      <c r="Q981" s="44"/>
      <c r="R981" s="44"/>
      <c r="S981" s="44"/>
      <c r="T981" s="44"/>
      <c r="U981" s="44"/>
      <c r="V981" s="5"/>
      <c r="W981" s="5"/>
      <c r="Y981" s="44"/>
    </row>
    <row r="982" spans="3:25" ht="15.75" customHeight="1">
      <c r="C982" s="5"/>
      <c r="D982" s="5"/>
      <c r="E982" s="5"/>
      <c r="F982" s="5"/>
      <c r="G982" s="44"/>
      <c r="H982" s="5"/>
      <c r="I982" s="44"/>
      <c r="J982" s="44"/>
      <c r="K982" s="44"/>
      <c r="L982" s="5"/>
      <c r="M982" s="5"/>
      <c r="N982" s="5"/>
      <c r="O982" s="5"/>
      <c r="P982" s="44"/>
      <c r="Q982" s="44"/>
      <c r="R982" s="44"/>
      <c r="S982" s="44"/>
      <c r="T982" s="44"/>
      <c r="U982" s="44"/>
      <c r="V982" s="5"/>
      <c r="W982" s="5"/>
      <c r="Y982" s="44"/>
    </row>
    <row r="983" spans="3:25" ht="15.75" customHeight="1">
      <c r="C983" s="5"/>
      <c r="D983" s="5"/>
      <c r="E983" s="5"/>
      <c r="F983" s="5"/>
      <c r="G983" s="44"/>
      <c r="H983" s="5"/>
      <c r="I983" s="44"/>
      <c r="J983" s="44"/>
      <c r="K983" s="44"/>
      <c r="L983" s="5"/>
      <c r="M983" s="5"/>
      <c r="N983" s="5"/>
      <c r="O983" s="5"/>
      <c r="P983" s="44"/>
      <c r="Q983" s="44"/>
      <c r="R983" s="44"/>
      <c r="S983" s="44"/>
      <c r="T983" s="44"/>
      <c r="U983" s="44"/>
      <c r="V983" s="5"/>
      <c r="W983" s="5"/>
      <c r="Y983" s="44"/>
    </row>
    <row r="984" spans="3:25" ht="15.75" customHeight="1">
      <c r="C984" s="5"/>
      <c r="D984" s="5"/>
      <c r="E984" s="5"/>
      <c r="F984" s="5"/>
      <c r="G984" s="44"/>
      <c r="H984" s="5"/>
      <c r="I984" s="44"/>
      <c r="J984" s="44"/>
      <c r="K984" s="44"/>
      <c r="L984" s="5"/>
      <c r="M984" s="5"/>
      <c r="N984" s="5"/>
      <c r="O984" s="5"/>
      <c r="P984" s="44"/>
      <c r="Q984" s="44"/>
      <c r="R984" s="44"/>
      <c r="S984" s="44"/>
      <c r="T984" s="44"/>
      <c r="U984" s="44"/>
      <c r="V984" s="5"/>
      <c r="W984" s="5"/>
      <c r="Y984" s="44"/>
    </row>
    <row r="985" spans="3:25" ht="15.75" customHeight="1">
      <c r="C985" s="5"/>
      <c r="D985" s="5"/>
      <c r="E985" s="5"/>
      <c r="F985" s="5"/>
      <c r="G985" s="44"/>
      <c r="H985" s="5"/>
      <c r="I985" s="44"/>
      <c r="J985" s="44"/>
      <c r="K985" s="44"/>
      <c r="L985" s="5"/>
      <c r="M985" s="5"/>
      <c r="N985" s="5"/>
      <c r="O985" s="5"/>
      <c r="P985" s="44"/>
      <c r="Q985" s="44"/>
      <c r="R985" s="44"/>
      <c r="S985" s="44"/>
      <c r="T985" s="44"/>
      <c r="U985" s="44"/>
      <c r="V985" s="5"/>
      <c r="W985" s="5"/>
      <c r="Y985" s="44"/>
    </row>
    <row r="986" spans="3:25" ht="15.75" customHeight="1">
      <c r="C986" s="5"/>
      <c r="D986" s="5"/>
      <c r="E986" s="5"/>
      <c r="F986" s="5"/>
      <c r="G986" s="44"/>
      <c r="H986" s="5"/>
      <c r="I986" s="44"/>
      <c r="J986" s="44"/>
      <c r="K986" s="44"/>
      <c r="L986" s="5"/>
      <c r="M986" s="5"/>
      <c r="N986" s="5"/>
      <c r="O986" s="5"/>
      <c r="P986" s="44"/>
      <c r="Q986" s="44"/>
      <c r="R986" s="44"/>
      <c r="S986" s="44"/>
      <c r="T986" s="44"/>
      <c r="U986" s="44"/>
      <c r="V986" s="5"/>
      <c r="W986" s="5"/>
      <c r="Y986" s="44"/>
    </row>
    <row r="987" spans="3:25" ht="15.75" customHeight="1">
      <c r="C987" s="5"/>
      <c r="D987" s="5"/>
      <c r="E987" s="5"/>
      <c r="F987" s="5"/>
      <c r="G987" s="44"/>
      <c r="H987" s="5"/>
      <c r="I987" s="44"/>
      <c r="J987" s="44"/>
      <c r="K987" s="44"/>
      <c r="L987" s="5"/>
      <c r="M987" s="5"/>
      <c r="N987" s="5"/>
      <c r="O987" s="5"/>
      <c r="P987" s="44"/>
      <c r="Q987" s="44"/>
      <c r="R987" s="44"/>
      <c r="S987" s="44"/>
      <c r="T987" s="44"/>
      <c r="U987" s="44"/>
      <c r="V987" s="5"/>
      <c r="W987" s="5"/>
      <c r="Y987" s="44"/>
    </row>
    <row r="988" spans="3:25" ht="15.75" customHeight="1">
      <c r="C988" s="5"/>
      <c r="D988" s="5"/>
      <c r="E988" s="5"/>
      <c r="F988" s="5"/>
      <c r="G988" s="44"/>
      <c r="H988" s="5"/>
      <c r="I988" s="44"/>
      <c r="J988" s="44"/>
      <c r="K988" s="44"/>
      <c r="L988" s="5"/>
      <c r="M988" s="5"/>
      <c r="N988" s="5"/>
      <c r="O988" s="5"/>
      <c r="P988" s="44"/>
      <c r="Q988" s="44"/>
      <c r="R988" s="44"/>
      <c r="S988" s="44"/>
      <c r="T988" s="44"/>
      <c r="U988" s="44"/>
      <c r="V988" s="5"/>
      <c r="W988" s="5"/>
      <c r="Y988" s="44"/>
    </row>
    <row r="989" spans="3:25" ht="15.75" customHeight="1">
      <c r="C989" s="5"/>
      <c r="D989" s="5"/>
      <c r="E989" s="5"/>
      <c r="F989" s="5"/>
      <c r="G989" s="44"/>
      <c r="H989" s="5"/>
      <c r="I989" s="44"/>
      <c r="J989" s="44"/>
      <c r="K989" s="44"/>
      <c r="L989" s="5"/>
      <c r="M989" s="5"/>
      <c r="N989" s="5"/>
      <c r="O989" s="5"/>
      <c r="P989" s="44"/>
      <c r="Q989" s="44"/>
      <c r="R989" s="44"/>
      <c r="S989" s="44"/>
      <c r="T989" s="44"/>
      <c r="U989" s="44"/>
      <c r="V989" s="5"/>
      <c r="W989" s="5"/>
      <c r="Y989" s="44"/>
    </row>
    <row r="990" spans="3:25" ht="15.75" customHeight="1">
      <c r="C990" s="5"/>
      <c r="D990" s="5"/>
      <c r="E990" s="5"/>
      <c r="F990" s="5"/>
      <c r="G990" s="44"/>
      <c r="H990" s="5"/>
      <c r="I990" s="44"/>
      <c r="J990" s="44"/>
      <c r="K990" s="44"/>
      <c r="L990" s="5"/>
      <c r="M990" s="5"/>
      <c r="N990" s="5"/>
      <c r="O990" s="5"/>
      <c r="P990" s="44"/>
      <c r="Q990" s="44"/>
      <c r="R990" s="44"/>
      <c r="S990" s="44"/>
      <c r="T990" s="44"/>
      <c r="U990" s="44"/>
      <c r="V990" s="5"/>
      <c r="W990" s="5"/>
      <c r="Y990" s="44"/>
    </row>
    <row r="991" spans="3:25" ht="15.75" customHeight="1">
      <c r="C991" s="5"/>
      <c r="D991" s="5"/>
      <c r="E991" s="5"/>
      <c r="F991" s="5"/>
      <c r="G991" s="44"/>
      <c r="H991" s="5"/>
      <c r="I991" s="44"/>
      <c r="J991" s="44"/>
      <c r="K991" s="44"/>
      <c r="L991" s="5"/>
      <c r="M991" s="5"/>
      <c r="N991" s="5"/>
      <c r="O991" s="5"/>
      <c r="P991" s="44"/>
      <c r="Q991" s="44"/>
      <c r="R991" s="44"/>
      <c r="S991" s="44"/>
      <c r="T991" s="44"/>
      <c r="U991" s="44"/>
      <c r="V991" s="5"/>
      <c r="W991" s="5"/>
      <c r="Y991" s="44"/>
    </row>
    <row r="992" spans="3:25" ht="15.75" customHeight="1">
      <c r="C992" s="5"/>
      <c r="D992" s="5"/>
      <c r="E992" s="5"/>
      <c r="F992" s="5"/>
      <c r="G992" s="44"/>
      <c r="H992" s="5"/>
      <c r="I992" s="44"/>
      <c r="J992" s="44"/>
      <c r="K992" s="44"/>
      <c r="L992" s="5"/>
      <c r="M992" s="5"/>
      <c r="N992" s="5"/>
      <c r="O992" s="5"/>
      <c r="P992" s="44"/>
      <c r="Q992" s="44"/>
      <c r="R992" s="44"/>
      <c r="S992" s="44"/>
      <c r="T992" s="44"/>
      <c r="U992" s="44"/>
      <c r="V992" s="5"/>
      <c r="W992" s="5"/>
      <c r="Y992" s="44"/>
    </row>
    <row r="993" spans="3:25" ht="15.75" customHeight="1">
      <c r="C993" s="5"/>
      <c r="D993" s="5"/>
      <c r="E993" s="5"/>
      <c r="F993" s="5"/>
      <c r="G993" s="44"/>
      <c r="H993" s="5"/>
      <c r="I993" s="44"/>
      <c r="J993" s="44"/>
      <c r="K993" s="44"/>
      <c r="L993" s="5"/>
      <c r="M993" s="5"/>
      <c r="N993" s="5"/>
      <c r="O993" s="5"/>
      <c r="P993" s="44"/>
      <c r="Q993" s="44"/>
      <c r="R993" s="44"/>
      <c r="S993" s="44"/>
      <c r="T993" s="44"/>
      <c r="U993" s="44"/>
      <c r="V993" s="5"/>
      <c r="W993" s="5"/>
      <c r="Y993" s="44"/>
    </row>
    <row r="994" spans="3:25" ht="15.75" customHeight="1">
      <c r="C994" s="5"/>
      <c r="D994" s="5"/>
      <c r="E994" s="5"/>
      <c r="F994" s="5"/>
      <c r="G994" s="44"/>
      <c r="H994" s="5"/>
      <c r="I994" s="44"/>
      <c r="J994" s="44"/>
      <c r="K994" s="44"/>
      <c r="L994" s="5"/>
      <c r="M994" s="5"/>
      <c r="N994" s="5"/>
      <c r="O994" s="5"/>
      <c r="P994" s="44"/>
      <c r="Q994" s="44"/>
      <c r="R994" s="44"/>
      <c r="S994" s="44"/>
      <c r="T994" s="44"/>
      <c r="U994" s="44"/>
      <c r="V994" s="5"/>
      <c r="W994" s="5"/>
      <c r="Y994" s="44"/>
    </row>
    <row r="995" spans="3:25" ht="15.75" customHeight="1">
      <c r="C995" s="5"/>
      <c r="D995" s="5"/>
      <c r="E995" s="5"/>
      <c r="F995" s="5"/>
      <c r="G995" s="44"/>
      <c r="H995" s="5"/>
      <c r="I995" s="44"/>
      <c r="J995" s="44"/>
      <c r="K995" s="44"/>
      <c r="L995" s="5"/>
      <c r="M995" s="5"/>
      <c r="N995" s="5"/>
      <c r="O995" s="5"/>
      <c r="P995" s="44"/>
      <c r="Q995" s="44"/>
      <c r="R995" s="44"/>
      <c r="S995" s="44"/>
      <c r="T995" s="44"/>
      <c r="U995" s="44"/>
      <c r="V995" s="5"/>
      <c r="W995" s="5"/>
      <c r="Y995" s="44"/>
    </row>
    <row r="996" spans="3:25" ht="15.75" customHeight="1">
      <c r="C996" s="5"/>
      <c r="D996" s="5"/>
      <c r="E996" s="5"/>
      <c r="F996" s="5"/>
      <c r="G996" s="44"/>
      <c r="H996" s="5"/>
      <c r="I996" s="44"/>
      <c r="J996" s="44"/>
      <c r="K996" s="44"/>
      <c r="L996" s="5"/>
      <c r="M996" s="5"/>
      <c r="N996" s="5"/>
      <c r="O996" s="5"/>
      <c r="P996" s="44"/>
      <c r="Q996" s="44"/>
      <c r="R996" s="44"/>
      <c r="S996" s="44"/>
      <c r="T996" s="44"/>
      <c r="U996" s="44"/>
      <c r="V996" s="5"/>
      <c r="W996" s="5"/>
      <c r="Y996" s="44"/>
    </row>
    <row r="997" spans="3:25" ht="15.75" customHeight="1">
      <c r="C997" s="5"/>
      <c r="D997" s="5"/>
      <c r="E997" s="5"/>
      <c r="F997" s="5"/>
      <c r="G997" s="44"/>
      <c r="H997" s="5"/>
      <c r="I997" s="44"/>
      <c r="J997" s="44"/>
      <c r="K997" s="44"/>
      <c r="L997" s="5"/>
      <c r="M997" s="5"/>
      <c r="N997" s="5"/>
      <c r="O997" s="5"/>
      <c r="P997" s="44"/>
      <c r="Q997" s="44"/>
      <c r="R997" s="44"/>
      <c r="S997" s="44"/>
      <c r="T997" s="44"/>
      <c r="U997" s="44"/>
      <c r="V997" s="5"/>
      <c r="W997" s="5"/>
      <c r="Y997" s="44"/>
    </row>
    <row r="998" spans="3:25" ht="15.75" customHeight="1">
      <c r="C998" s="5"/>
      <c r="D998" s="5"/>
      <c r="E998" s="5"/>
      <c r="F998" s="5"/>
      <c r="G998" s="44"/>
      <c r="H998" s="5"/>
      <c r="I998" s="44"/>
      <c r="J998" s="44"/>
      <c r="K998" s="44"/>
      <c r="L998" s="5"/>
      <c r="M998" s="5"/>
      <c r="N998" s="5"/>
      <c r="O998" s="5"/>
      <c r="P998" s="44"/>
      <c r="Q998" s="44"/>
      <c r="R998" s="44"/>
      <c r="S998" s="44"/>
      <c r="T998" s="44"/>
      <c r="U998" s="44"/>
      <c r="V998" s="5"/>
      <c r="W998" s="5"/>
      <c r="Y998" s="44"/>
    </row>
    <row r="999" spans="3:25" ht="15.75" customHeight="1">
      <c r="C999" s="5"/>
      <c r="D999" s="5"/>
      <c r="E999" s="5"/>
      <c r="F999" s="5"/>
      <c r="G999" s="44"/>
      <c r="H999" s="5"/>
      <c r="I999" s="44"/>
      <c r="J999" s="44"/>
      <c r="K999" s="44"/>
      <c r="L999" s="5"/>
      <c r="M999" s="5"/>
      <c r="N999" s="5"/>
      <c r="O999" s="5"/>
      <c r="P999" s="44"/>
      <c r="Q999" s="44"/>
      <c r="R999" s="44"/>
      <c r="S999" s="44"/>
      <c r="T999" s="44"/>
      <c r="U999" s="44"/>
      <c r="V999" s="5"/>
      <c r="W999" s="5"/>
      <c r="Y999" s="44"/>
    </row>
    <row r="1000" spans="3:25" ht="15.75" customHeight="1">
      <c r="C1000" s="5"/>
      <c r="D1000" s="5"/>
      <c r="E1000" s="5"/>
      <c r="F1000" s="5"/>
      <c r="G1000" s="44"/>
      <c r="H1000" s="5"/>
      <c r="I1000" s="44"/>
      <c r="J1000" s="44"/>
      <c r="K1000" s="44"/>
      <c r="L1000" s="5"/>
      <c r="M1000" s="5"/>
      <c r="N1000" s="5"/>
      <c r="O1000" s="5"/>
      <c r="P1000" s="44"/>
      <c r="Q1000" s="44"/>
      <c r="R1000" s="44"/>
      <c r="S1000" s="44"/>
      <c r="T1000" s="44"/>
      <c r="U1000" s="44"/>
      <c r="V1000" s="5"/>
      <c r="W1000" s="5"/>
      <c r="Y1000" s="44"/>
    </row>
  </sheetData>
  <pageMargins left="0.7" right="0.7" top="0.75" bottom="0.75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51"/>
  <sheetViews>
    <sheetView topLeftCell="A461" zoomScaleNormal="100" workbookViewId="0">
      <selection activeCell="B477" sqref="B477"/>
    </sheetView>
  </sheetViews>
  <sheetFormatPr defaultColWidth="14.42578125" defaultRowHeight="15"/>
  <cols>
    <col min="1" max="1" width="26.140625" customWidth="1"/>
    <col min="2" max="2" width="39.85546875" customWidth="1"/>
    <col min="3" max="4" width="15.28515625" customWidth="1"/>
    <col min="5" max="5" width="11.7109375" style="36" customWidth="1"/>
    <col min="6" max="6" width="20.42578125" style="44" customWidth="1"/>
    <col min="7" max="7" width="22.28515625" customWidth="1"/>
    <col min="8" max="8" width="14" customWidth="1"/>
    <col min="9" max="9" width="12.140625" customWidth="1"/>
    <col min="10" max="10" width="11.7109375" customWidth="1"/>
    <col min="11" max="11" width="32" customWidth="1"/>
    <col min="12" max="12" width="20.85546875" customWidth="1"/>
    <col min="13" max="13" width="25.28515625" customWidth="1"/>
    <col min="14" max="27" width="11.7109375" customWidth="1"/>
  </cols>
  <sheetData>
    <row r="1" spans="1:13" s="1" customFormat="1">
      <c r="A1" s="4" t="s">
        <v>697</v>
      </c>
      <c r="B1" s="31" t="s">
        <v>698</v>
      </c>
      <c r="C1" s="17">
        <v>43631</v>
      </c>
      <c r="D1" s="17">
        <v>43631</v>
      </c>
      <c r="E1" s="32">
        <f>D1-C1</f>
        <v>0</v>
      </c>
      <c r="F1" s="16" t="s">
        <v>699</v>
      </c>
      <c r="G1" s="12"/>
      <c r="H1" s="12"/>
      <c r="I1" s="12"/>
      <c r="J1" s="10"/>
      <c r="K1" s="10"/>
    </row>
    <row r="2" spans="1:13" s="1" customFormat="1">
      <c r="A2" s="18" t="s">
        <v>1521</v>
      </c>
      <c r="B2" s="18" t="s">
        <v>1522</v>
      </c>
      <c r="C2" s="17">
        <v>44219</v>
      </c>
      <c r="D2" s="28">
        <v>44219</v>
      </c>
      <c r="E2" s="29">
        <f>D2-C2</f>
        <v>0</v>
      </c>
      <c r="F2" s="16" t="s">
        <v>0</v>
      </c>
      <c r="G2" s="27"/>
      <c r="H2" s="27"/>
      <c r="I2" s="12" t="s">
        <v>3</v>
      </c>
      <c r="J2" s="18"/>
      <c r="K2" s="18"/>
      <c r="L2" s="18"/>
      <c r="M2" s="18"/>
    </row>
    <row r="3" spans="1:13" s="1" customFormat="1">
      <c r="A3" s="10" t="s">
        <v>381</v>
      </c>
      <c r="B3" s="31" t="s">
        <v>377</v>
      </c>
      <c r="C3" s="17">
        <v>43352</v>
      </c>
      <c r="D3" s="28">
        <v>43353</v>
      </c>
      <c r="E3" s="29">
        <f>D3-C3</f>
        <v>1</v>
      </c>
      <c r="F3" s="44"/>
      <c r="G3" s="44"/>
      <c r="H3" s="44"/>
      <c r="I3" s="44"/>
    </row>
    <row r="4" spans="1:13" s="1" customFormat="1">
      <c r="A4" s="4" t="s">
        <v>494</v>
      </c>
      <c r="B4" s="31" t="s">
        <v>495</v>
      </c>
      <c r="C4" s="17">
        <v>43497</v>
      </c>
      <c r="D4" s="17">
        <v>43498</v>
      </c>
      <c r="E4" s="32">
        <f>D4-C4</f>
        <v>1</v>
      </c>
      <c r="F4" s="12" t="s">
        <v>2831</v>
      </c>
      <c r="G4" s="12"/>
      <c r="H4" s="12"/>
      <c r="I4" s="12"/>
      <c r="J4" s="10"/>
      <c r="K4" s="10"/>
    </row>
    <row r="5" spans="1:13" s="1" customFormat="1">
      <c r="A5" s="13" t="s">
        <v>732</v>
      </c>
      <c r="B5" s="31" t="s">
        <v>733</v>
      </c>
      <c r="C5" s="17">
        <v>43665</v>
      </c>
      <c r="D5" s="17">
        <v>43666</v>
      </c>
      <c r="E5" s="32">
        <f>D5-C5</f>
        <v>1</v>
      </c>
      <c r="F5" s="16" t="s">
        <v>734</v>
      </c>
      <c r="G5" s="44"/>
      <c r="H5" s="44"/>
      <c r="I5" s="44"/>
    </row>
    <row r="6" spans="1:13" s="1" customFormat="1">
      <c r="A6" s="4" t="s">
        <v>1007</v>
      </c>
      <c r="B6" s="10" t="s">
        <v>1008</v>
      </c>
      <c r="C6" s="17">
        <v>43862</v>
      </c>
      <c r="D6" s="17">
        <v>43863</v>
      </c>
      <c r="E6" s="29">
        <v>1</v>
      </c>
      <c r="F6" s="16" t="s">
        <v>0</v>
      </c>
      <c r="G6" s="12"/>
      <c r="H6" s="12"/>
      <c r="I6" s="12"/>
      <c r="J6" s="10"/>
      <c r="K6" s="10"/>
      <c r="L6" s="10"/>
      <c r="M6" s="10"/>
    </row>
    <row r="7" spans="1:13" s="1" customFormat="1">
      <c r="A7" s="21" t="s">
        <v>1867</v>
      </c>
      <c r="B7" s="116" t="s">
        <v>1868</v>
      </c>
      <c r="C7" s="2">
        <v>44489</v>
      </c>
      <c r="D7" s="14">
        <v>44490</v>
      </c>
      <c r="E7" s="29">
        <f>D7-C7</f>
        <v>1</v>
      </c>
      <c r="F7" s="5" t="s">
        <v>196</v>
      </c>
      <c r="G7" s="27"/>
      <c r="H7" s="27"/>
      <c r="I7" s="27"/>
      <c r="J7" s="21"/>
      <c r="K7" s="21"/>
      <c r="L7" s="21"/>
      <c r="M7" s="21"/>
    </row>
    <row r="8" spans="1:13" s="1" customFormat="1">
      <c r="A8" s="4" t="s">
        <v>376</v>
      </c>
      <c r="B8" s="31" t="s">
        <v>377</v>
      </c>
      <c r="C8" s="17">
        <v>43345</v>
      </c>
      <c r="D8" s="28">
        <v>43347</v>
      </c>
      <c r="E8" s="29">
        <f>D8-C8</f>
        <v>2</v>
      </c>
      <c r="F8" s="44"/>
      <c r="G8" s="44"/>
      <c r="H8" s="44"/>
      <c r="I8" s="44"/>
    </row>
    <row r="9" spans="1:13" s="1" customFormat="1">
      <c r="A9" s="4" t="s">
        <v>411</v>
      </c>
      <c r="B9" s="31" t="s">
        <v>377</v>
      </c>
      <c r="C9" s="17">
        <v>43379</v>
      </c>
      <c r="D9" s="28">
        <v>43381</v>
      </c>
      <c r="E9" s="29">
        <f>D9-C9</f>
        <v>2</v>
      </c>
      <c r="F9" s="44"/>
      <c r="G9" s="44"/>
      <c r="H9" s="44"/>
      <c r="I9" s="44"/>
    </row>
    <row r="10" spans="1:13" s="1" customFormat="1">
      <c r="A10" s="10" t="s">
        <v>1108</v>
      </c>
      <c r="B10" s="10" t="s">
        <v>1109</v>
      </c>
      <c r="C10" s="17">
        <v>43923</v>
      </c>
      <c r="D10" s="17">
        <v>43925</v>
      </c>
      <c r="E10" s="32">
        <f>D10-C10</f>
        <v>2</v>
      </c>
      <c r="F10" s="16" t="s">
        <v>0</v>
      </c>
      <c r="G10" s="12" t="s">
        <v>312</v>
      </c>
      <c r="H10" s="12"/>
      <c r="I10" s="12"/>
      <c r="J10" s="4"/>
      <c r="K10" s="4"/>
      <c r="L10" s="4"/>
      <c r="M10" s="4"/>
    </row>
    <row r="11" spans="1:13" s="1" customFormat="1">
      <c r="A11" s="10" t="s">
        <v>1165</v>
      </c>
      <c r="B11" s="10" t="s">
        <v>1166</v>
      </c>
      <c r="C11" s="17">
        <v>43938</v>
      </c>
      <c r="D11" s="28">
        <v>43940</v>
      </c>
      <c r="E11" s="29">
        <f>D11-C11</f>
        <v>2</v>
      </c>
      <c r="F11" s="11" t="s">
        <v>1027</v>
      </c>
      <c r="G11" s="12"/>
      <c r="H11" s="12"/>
      <c r="I11" s="12"/>
      <c r="J11" s="4"/>
      <c r="K11" s="4"/>
      <c r="L11" s="4"/>
      <c r="M11" s="4"/>
    </row>
    <row r="12" spans="1:13" s="1" customFormat="1">
      <c r="A12" s="30" t="s">
        <v>1624</v>
      </c>
      <c r="B12" s="18" t="s">
        <v>1625</v>
      </c>
      <c r="C12" s="17">
        <v>44318</v>
      </c>
      <c r="D12" s="28">
        <v>44320</v>
      </c>
      <c r="E12" s="29">
        <f>D12-C12</f>
        <v>2</v>
      </c>
      <c r="F12" s="16" t="s">
        <v>0</v>
      </c>
      <c r="G12" s="27"/>
      <c r="H12" s="27"/>
      <c r="I12" s="27"/>
      <c r="J12" s="21"/>
      <c r="K12" s="21"/>
      <c r="L12" s="21"/>
      <c r="M12" s="21"/>
    </row>
    <row r="13" spans="1:13" s="1" customFormat="1">
      <c r="A13" s="116" t="s">
        <v>1787</v>
      </c>
      <c r="B13" s="116" t="s">
        <v>1788</v>
      </c>
      <c r="C13" s="2">
        <v>44436</v>
      </c>
      <c r="D13" s="14">
        <v>44438</v>
      </c>
      <c r="E13" s="29">
        <f>D13-C13</f>
        <v>2</v>
      </c>
      <c r="F13" s="11" t="s">
        <v>1789</v>
      </c>
      <c r="G13" s="27"/>
      <c r="H13" s="27"/>
      <c r="I13" s="27"/>
      <c r="J13" s="21"/>
      <c r="K13" s="21"/>
      <c r="L13" s="21"/>
      <c r="M13" s="21"/>
    </row>
    <row r="14" spans="1:13" s="1" customFormat="1">
      <c r="A14" s="10" t="s">
        <v>378</v>
      </c>
      <c r="B14" s="31" t="s">
        <v>377</v>
      </c>
      <c r="C14" s="17">
        <v>43346</v>
      </c>
      <c r="D14" s="28">
        <v>43349</v>
      </c>
      <c r="E14" s="29">
        <f>D14-C14</f>
        <v>3</v>
      </c>
      <c r="F14" s="44"/>
      <c r="G14" s="44"/>
      <c r="H14" s="44"/>
      <c r="I14" s="44"/>
    </row>
    <row r="15" spans="1:13" s="1" customFormat="1">
      <c r="A15" s="4" t="s">
        <v>613</v>
      </c>
      <c r="B15" s="31" t="s">
        <v>614</v>
      </c>
      <c r="C15" s="17">
        <v>43572</v>
      </c>
      <c r="D15" s="17">
        <v>43575</v>
      </c>
      <c r="E15" s="32">
        <f>D15-C15</f>
        <v>3</v>
      </c>
      <c r="F15" s="16" t="s">
        <v>0</v>
      </c>
      <c r="G15" s="12"/>
      <c r="H15" s="12"/>
      <c r="I15" s="12"/>
      <c r="J15" s="10"/>
      <c r="K15" s="10"/>
    </row>
    <row r="16" spans="1:13" s="1" customFormat="1">
      <c r="A16" s="13" t="s">
        <v>851</v>
      </c>
      <c r="B16" s="150" t="s">
        <v>852</v>
      </c>
      <c r="C16" s="17">
        <v>43739</v>
      </c>
      <c r="D16" s="17">
        <v>43742</v>
      </c>
      <c r="E16" s="32">
        <f>D16-C16</f>
        <v>3</v>
      </c>
      <c r="F16" s="16" t="s">
        <v>853</v>
      </c>
      <c r="G16" s="12"/>
      <c r="H16" s="12"/>
      <c r="I16" s="12"/>
      <c r="J16" s="10"/>
      <c r="K16" s="10"/>
    </row>
    <row r="17" spans="1:13" s="1" customFormat="1">
      <c r="A17" s="4" t="s">
        <v>957</v>
      </c>
      <c r="B17" s="10" t="s">
        <v>958</v>
      </c>
      <c r="C17" s="17">
        <v>43818</v>
      </c>
      <c r="D17" s="17">
        <v>43821</v>
      </c>
      <c r="E17" s="32">
        <f>D17-C17</f>
        <v>3</v>
      </c>
      <c r="F17" s="27" t="s">
        <v>959</v>
      </c>
      <c r="G17" s="12"/>
      <c r="H17" s="12"/>
      <c r="I17" s="12"/>
      <c r="J17" s="10"/>
      <c r="K17" s="10"/>
      <c r="L17" s="10"/>
      <c r="M17" s="10"/>
    </row>
    <row r="18" spans="1:13" s="1" customFormat="1">
      <c r="A18" s="10" t="s">
        <v>2832</v>
      </c>
      <c r="B18" s="10" t="s">
        <v>1438</v>
      </c>
      <c r="C18" s="17">
        <v>44132</v>
      </c>
      <c r="D18" s="17">
        <v>44135</v>
      </c>
      <c r="E18" s="29">
        <f>D18-C18</f>
        <v>3</v>
      </c>
      <c r="F18" s="16" t="s">
        <v>0</v>
      </c>
      <c r="G18" s="27"/>
      <c r="H18" s="27"/>
      <c r="I18" s="27"/>
      <c r="J18" s="4"/>
      <c r="K18" s="4"/>
      <c r="L18" s="4"/>
      <c r="M18" s="4"/>
    </row>
    <row r="19" spans="1:13" s="1" customFormat="1">
      <c r="A19" s="21" t="s">
        <v>2833</v>
      </c>
      <c r="B19" s="18" t="s">
        <v>1526</v>
      </c>
      <c r="C19" s="17">
        <v>44219</v>
      </c>
      <c r="D19" s="28">
        <v>44222</v>
      </c>
      <c r="E19" s="29">
        <f>D19-C19</f>
        <v>3</v>
      </c>
      <c r="F19" s="16" t="s">
        <v>1527</v>
      </c>
      <c r="G19" s="12" t="s">
        <v>1528</v>
      </c>
      <c r="H19" s="27"/>
      <c r="I19" s="12" t="s">
        <v>21</v>
      </c>
      <c r="J19" s="21"/>
      <c r="K19" s="21"/>
      <c r="L19" s="21"/>
      <c r="M19" s="21"/>
    </row>
    <row r="20" spans="1:13" s="1" customFormat="1">
      <c r="A20" s="21" t="s">
        <v>2257</v>
      </c>
      <c r="B20" s="116" t="s">
        <v>2258</v>
      </c>
      <c r="C20" s="2">
        <v>44769</v>
      </c>
      <c r="D20" s="28">
        <v>44772</v>
      </c>
      <c r="E20" s="29">
        <f>D20-C20</f>
        <v>3</v>
      </c>
      <c r="F20" s="16" t="s">
        <v>0</v>
      </c>
      <c r="G20" s="27"/>
      <c r="H20" s="5" t="s">
        <v>11</v>
      </c>
      <c r="I20" s="27"/>
      <c r="J20" s="21"/>
      <c r="K20" s="21"/>
      <c r="L20" s="21"/>
      <c r="M20" s="21"/>
    </row>
    <row r="21" spans="1:13" s="1" customFormat="1" ht="15.75" customHeight="1">
      <c r="A21" s="4" t="s">
        <v>382</v>
      </c>
      <c r="B21" s="31" t="s">
        <v>383</v>
      </c>
      <c r="C21" s="17">
        <v>43349</v>
      </c>
      <c r="D21" s="28">
        <v>43353</v>
      </c>
      <c r="E21" s="29">
        <f>D21-C21</f>
        <v>4</v>
      </c>
      <c r="F21" s="44"/>
      <c r="G21" s="44"/>
      <c r="H21" s="44"/>
      <c r="I21" s="44"/>
    </row>
    <row r="22" spans="1:13" s="1" customFormat="1" ht="15.75" customHeight="1">
      <c r="A22" s="4" t="s">
        <v>390</v>
      </c>
      <c r="B22" s="31" t="s">
        <v>377</v>
      </c>
      <c r="C22" s="17">
        <v>43352</v>
      </c>
      <c r="D22" s="28">
        <v>43356</v>
      </c>
      <c r="E22" s="29">
        <f>D22-C22</f>
        <v>4</v>
      </c>
      <c r="F22" s="44"/>
      <c r="G22" s="44"/>
      <c r="H22" s="44"/>
      <c r="I22" s="44"/>
    </row>
    <row r="23" spans="1:13" s="1" customFormat="1" ht="15.75" customHeight="1">
      <c r="A23" s="4" t="s">
        <v>405</v>
      </c>
      <c r="B23" s="31" t="s">
        <v>406</v>
      </c>
      <c r="C23" s="17">
        <v>43365</v>
      </c>
      <c r="D23" s="28">
        <v>43369</v>
      </c>
      <c r="E23" s="29">
        <f>D23-C23</f>
        <v>4</v>
      </c>
      <c r="F23" s="44"/>
      <c r="G23" s="44"/>
      <c r="H23" s="44"/>
      <c r="I23" s="44"/>
    </row>
    <row r="24" spans="1:13" s="1" customFormat="1" ht="15.75" customHeight="1">
      <c r="A24" s="10" t="s">
        <v>407</v>
      </c>
      <c r="B24" s="31" t="s">
        <v>408</v>
      </c>
      <c r="C24" s="17">
        <v>43375</v>
      </c>
      <c r="D24" s="28">
        <v>43379</v>
      </c>
      <c r="E24" s="29">
        <f>D24-C24</f>
        <v>4</v>
      </c>
      <c r="F24" s="44"/>
      <c r="G24" s="44"/>
      <c r="H24" s="44"/>
      <c r="I24" s="44"/>
    </row>
    <row r="25" spans="1:13" s="1" customFormat="1" ht="15.75" customHeight="1">
      <c r="A25" s="10" t="s">
        <v>2834</v>
      </c>
      <c r="B25" s="31" t="s">
        <v>415</v>
      </c>
      <c r="C25" s="17">
        <v>43379</v>
      </c>
      <c r="D25" s="28">
        <v>43383</v>
      </c>
      <c r="E25" s="29">
        <f>D25-C25</f>
        <v>4</v>
      </c>
      <c r="F25" s="44"/>
      <c r="G25" s="44"/>
      <c r="H25" s="44"/>
      <c r="I25" s="44"/>
    </row>
    <row r="26" spans="1:13" s="1" customFormat="1" ht="15.75" customHeight="1">
      <c r="A26" s="10" t="s">
        <v>491</v>
      </c>
      <c r="B26" s="31" t="s">
        <v>492</v>
      </c>
      <c r="C26" s="17">
        <v>43493</v>
      </c>
      <c r="D26" s="17">
        <v>43497</v>
      </c>
      <c r="E26" s="32">
        <f>D26-C26</f>
        <v>4</v>
      </c>
      <c r="F26" s="12" t="s">
        <v>2831</v>
      </c>
      <c r="G26" s="12"/>
      <c r="H26" s="12"/>
      <c r="I26" s="12"/>
      <c r="J26" s="10"/>
      <c r="K26" s="10"/>
    </row>
    <row r="27" spans="1:13" s="1" customFormat="1" ht="15.75" customHeight="1">
      <c r="A27" s="4" t="s">
        <v>574</v>
      </c>
      <c r="B27" s="31" t="s">
        <v>575</v>
      </c>
      <c r="C27" s="17">
        <v>43544</v>
      </c>
      <c r="D27" s="28">
        <v>43548</v>
      </c>
      <c r="E27" s="29">
        <f>D27-C27</f>
        <v>4</v>
      </c>
      <c r="F27" s="16" t="s">
        <v>0</v>
      </c>
      <c r="G27" s="12"/>
      <c r="H27" s="12"/>
      <c r="I27" s="12"/>
      <c r="J27" s="10"/>
      <c r="K27" s="10"/>
    </row>
    <row r="28" spans="1:13" s="1" customFormat="1" ht="15.75" customHeight="1">
      <c r="A28" s="10" t="s">
        <v>677</v>
      </c>
      <c r="B28" s="31" t="s">
        <v>678</v>
      </c>
      <c r="C28" s="17">
        <v>43613</v>
      </c>
      <c r="D28" s="17">
        <v>43617</v>
      </c>
      <c r="E28" s="32">
        <f>D28-C28</f>
        <v>4</v>
      </c>
      <c r="F28" s="16" t="s">
        <v>0</v>
      </c>
      <c r="G28" s="12"/>
      <c r="H28" s="12"/>
      <c r="I28" s="12"/>
      <c r="J28" s="10"/>
      <c r="K28" s="10"/>
    </row>
    <row r="29" spans="1:13" s="1" customFormat="1" ht="15.75" customHeight="1">
      <c r="A29" s="4" t="s">
        <v>833</v>
      </c>
      <c r="B29" s="150" t="s">
        <v>834</v>
      </c>
      <c r="C29" s="17">
        <v>43731</v>
      </c>
      <c r="D29" s="17">
        <v>43735</v>
      </c>
      <c r="E29" s="32">
        <f>D29-C29</f>
        <v>4</v>
      </c>
      <c r="F29" s="16" t="s">
        <v>813</v>
      </c>
      <c r="G29" s="12"/>
      <c r="H29" s="12"/>
      <c r="I29" s="12"/>
      <c r="J29" s="10"/>
      <c r="K29" s="10"/>
    </row>
    <row r="30" spans="1:13" s="1" customFormat="1" ht="15.75" customHeight="1">
      <c r="A30" s="10" t="s">
        <v>668</v>
      </c>
      <c r="B30" s="31" t="s">
        <v>669</v>
      </c>
      <c r="C30" s="17">
        <v>44218</v>
      </c>
      <c r="D30" s="28">
        <v>44222</v>
      </c>
      <c r="E30" s="29">
        <f>D30-C30</f>
        <v>4</v>
      </c>
      <c r="F30" s="16" t="s">
        <v>0</v>
      </c>
      <c r="G30" s="12" t="s">
        <v>33</v>
      </c>
      <c r="H30" s="27"/>
      <c r="I30" s="27"/>
      <c r="J30" s="18"/>
      <c r="K30" s="18"/>
      <c r="L30" s="18"/>
      <c r="M30" s="18"/>
    </row>
    <row r="31" spans="1:13" s="1" customFormat="1" ht="15.75" customHeight="1">
      <c r="A31" s="1" t="s">
        <v>305</v>
      </c>
      <c r="B31" s="1" t="s">
        <v>306</v>
      </c>
      <c r="C31" s="2">
        <v>44866</v>
      </c>
      <c r="D31" s="14">
        <v>44870</v>
      </c>
      <c r="E31" s="29">
        <f>D31-C31</f>
        <v>4</v>
      </c>
      <c r="F31" s="16" t="s">
        <v>0</v>
      </c>
      <c r="G31" s="44"/>
      <c r="H31" s="5" t="s">
        <v>11</v>
      </c>
      <c r="I31" s="44" t="s">
        <v>125</v>
      </c>
    </row>
    <row r="32" spans="1:13" s="1" customFormat="1" ht="15.75" customHeight="1">
      <c r="A32" s="10" t="s">
        <v>379</v>
      </c>
      <c r="B32" s="31" t="s">
        <v>380</v>
      </c>
      <c r="C32" s="17">
        <v>43345</v>
      </c>
      <c r="D32" s="28">
        <v>43350</v>
      </c>
      <c r="E32" s="29">
        <f>D32-C32</f>
        <v>5</v>
      </c>
      <c r="F32" s="44"/>
      <c r="G32" s="44"/>
      <c r="H32" s="44"/>
      <c r="I32" s="44"/>
    </row>
    <row r="33" spans="1:13" s="1" customFormat="1" ht="15.75" customHeight="1">
      <c r="A33" s="10" t="s">
        <v>388</v>
      </c>
      <c r="B33" s="31" t="s">
        <v>389</v>
      </c>
      <c r="C33" s="17">
        <v>43349</v>
      </c>
      <c r="D33" s="28">
        <v>43354</v>
      </c>
      <c r="E33" s="29">
        <f>D33-C33</f>
        <v>5</v>
      </c>
      <c r="F33" s="44"/>
      <c r="G33" s="44"/>
      <c r="H33" s="44"/>
      <c r="I33" s="44"/>
    </row>
    <row r="34" spans="1:13" s="1" customFormat="1" ht="15.75" customHeight="1">
      <c r="A34" s="4" t="s">
        <v>397</v>
      </c>
      <c r="B34" s="31" t="s">
        <v>398</v>
      </c>
      <c r="C34" s="17">
        <v>43359</v>
      </c>
      <c r="D34" s="28">
        <v>43364</v>
      </c>
      <c r="E34" s="29">
        <f>D34-C34</f>
        <v>5</v>
      </c>
      <c r="F34" s="44"/>
      <c r="G34" s="44"/>
      <c r="H34" s="44"/>
      <c r="I34" s="44"/>
    </row>
    <row r="35" spans="1:13" s="1" customFormat="1" ht="15.75" customHeight="1">
      <c r="A35" s="4" t="s">
        <v>416</v>
      </c>
      <c r="B35" s="31" t="s">
        <v>417</v>
      </c>
      <c r="C35" s="17">
        <v>43379</v>
      </c>
      <c r="D35" s="28">
        <v>43384</v>
      </c>
      <c r="E35" s="29">
        <f>D35-C35</f>
        <v>5</v>
      </c>
      <c r="F35" s="44"/>
      <c r="G35" s="44"/>
      <c r="H35" s="44"/>
      <c r="I35" s="44"/>
    </row>
    <row r="36" spans="1:13" s="1" customFormat="1" ht="15.75" customHeight="1">
      <c r="A36" s="4" t="s">
        <v>541</v>
      </c>
      <c r="B36" s="31" t="s">
        <v>542</v>
      </c>
      <c r="C36" s="17">
        <v>43527</v>
      </c>
      <c r="D36" s="17">
        <v>43532</v>
      </c>
      <c r="E36" s="32">
        <f>D36-C36</f>
        <v>5</v>
      </c>
      <c r="F36" s="11" t="s">
        <v>534</v>
      </c>
      <c r="G36" s="12" t="s">
        <v>1</v>
      </c>
      <c r="H36" s="12"/>
      <c r="I36" s="12"/>
      <c r="J36" s="10"/>
      <c r="K36" s="10"/>
    </row>
    <row r="37" spans="1:13" s="1" customFormat="1" ht="15.75" customHeight="1">
      <c r="A37" s="4" t="s">
        <v>654</v>
      </c>
      <c r="B37" s="31" t="s">
        <v>655</v>
      </c>
      <c r="C37" s="17">
        <v>43605</v>
      </c>
      <c r="D37" s="17">
        <v>43610</v>
      </c>
      <c r="E37" s="32">
        <f>D37-C37</f>
        <v>5</v>
      </c>
      <c r="F37" s="16" t="s">
        <v>0</v>
      </c>
      <c r="G37" s="12" t="s">
        <v>106</v>
      </c>
      <c r="H37" s="12"/>
      <c r="I37" s="44"/>
    </row>
    <row r="38" spans="1:13" s="1" customFormat="1" ht="15.75" customHeight="1">
      <c r="A38" s="13" t="s">
        <v>823</v>
      </c>
      <c r="B38" s="150" t="s">
        <v>824</v>
      </c>
      <c r="C38" s="17">
        <v>43725</v>
      </c>
      <c r="D38" s="17">
        <v>43730</v>
      </c>
      <c r="E38" s="32">
        <f>D38-C38</f>
        <v>5</v>
      </c>
      <c r="F38" s="16" t="s">
        <v>825</v>
      </c>
      <c r="G38" s="12" t="s">
        <v>826</v>
      </c>
      <c r="H38" s="12"/>
      <c r="I38" s="12"/>
      <c r="J38" s="10"/>
      <c r="K38" s="10"/>
    </row>
    <row r="39" spans="1:13" s="1" customFormat="1" ht="15.75" customHeight="1">
      <c r="A39" s="4" t="s">
        <v>865</v>
      </c>
      <c r="B39" s="150" t="s">
        <v>866</v>
      </c>
      <c r="C39" s="17">
        <v>43745</v>
      </c>
      <c r="D39" s="17">
        <v>43750</v>
      </c>
      <c r="E39" s="32">
        <f>D39-C39</f>
        <v>5</v>
      </c>
      <c r="F39" s="16" t="s">
        <v>0</v>
      </c>
      <c r="G39" s="12"/>
      <c r="H39" s="12"/>
      <c r="I39" s="12"/>
      <c r="J39" s="10"/>
      <c r="K39" s="10"/>
    </row>
    <row r="40" spans="1:13" s="1" customFormat="1" ht="15.75" customHeight="1">
      <c r="A40" s="4" t="s">
        <v>899</v>
      </c>
      <c r="B40" s="31" t="s">
        <v>900</v>
      </c>
      <c r="C40" s="17">
        <v>43780</v>
      </c>
      <c r="D40" s="17">
        <v>43785</v>
      </c>
      <c r="E40" s="32">
        <f>D40-C40</f>
        <v>5</v>
      </c>
      <c r="F40" s="16" t="s">
        <v>689</v>
      </c>
      <c r="G40" s="12" t="s">
        <v>436</v>
      </c>
      <c r="H40" s="12"/>
      <c r="I40" s="44"/>
    </row>
    <row r="41" spans="1:13" s="1" customFormat="1" ht="15.75" customHeight="1">
      <c r="A41" s="10" t="s">
        <v>1052</v>
      </c>
      <c r="B41" s="10" t="s">
        <v>1053</v>
      </c>
      <c r="C41" s="17">
        <v>43886</v>
      </c>
      <c r="D41" s="28">
        <v>43891</v>
      </c>
      <c r="E41" s="29">
        <f>D41-C41</f>
        <v>5</v>
      </c>
      <c r="F41" s="16" t="s">
        <v>0</v>
      </c>
      <c r="G41" s="12"/>
      <c r="H41" s="12"/>
      <c r="I41" s="12"/>
      <c r="J41" s="10"/>
      <c r="K41" s="10"/>
      <c r="L41" s="10"/>
      <c r="M41" s="10"/>
    </row>
    <row r="42" spans="1:13" ht="15.75" customHeight="1">
      <c r="A42" s="57" t="s">
        <v>789</v>
      </c>
      <c r="B42" s="52" t="s">
        <v>790</v>
      </c>
      <c r="C42" s="39">
        <v>44333</v>
      </c>
      <c r="D42" s="40">
        <v>44338</v>
      </c>
      <c r="E42" s="41">
        <f>D42-C42</f>
        <v>5</v>
      </c>
      <c r="F42" s="43" t="s">
        <v>0</v>
      </c>
      <c r="G42" s="45" t="s">
        <v>33</v>
      </c>
      <c r="H42" s="46"/>
      <c r="I42" s="46"/>
      <c r="J42" s="37"/>
      <c r="K42" s="37"/>
      <c r="L42" s="77"/>
      <c r="M42" s="77"/>
    </row>
    <row r="43" spans="1:13" s="1" customFormat="1" ht="15.75" customHeight="1">
      <c r="A43" s="21" t="s">
        <v>1836</v>
      </c>
      <c r="B43" s="116" t="s">
        <v>1837</v>
      </c>
      <c r="C43" s="2">
        <v>44462</v>
      </c>
      <c r="D43" s="28">
        <v>44467</v>
      </c>
      <c r="E43" s="29">
        <f>D43-C43</f>
        <v>5</v>
      </c>
      <c r="F43" s="5" t="s">
        <v>1838</v>
      </c>
      <c r="G43" s="27"/>
      <c r="H43" s="27"/>
      <c r="I43" s="27"/>
      <c r="J43" s="21"/>
      <c r="K43" s="21"/>
      <c r="L43" s="21"/>
      <c r="M43" s="21"/>
    </row>
    <row r="44" spans="1:13" s="1" customFormat="1" ht="15.75" customHeight="1">
      <c r="A44" s="1" t="s">
        <v>2293</v>
      </c>
      <c r="B44" s="1" t="s">
        <v>2294</v>
      </c>
      <c r="C44" s="2">
        <v>44835</v>
      </c>
      <c r="D44" s="14">
        <v>44840</v>
      </c>
      <c r="E44" s="29">
        <f>D44-C44</f>
        <v>5</v>
      </c>
      <c r="F44" s="5" t="s">
        <v>2835</v>
      </c>
      <c r="G44" s="44"/>
      <c r="H44" s="5" t="s">
        <v>11</v>
      </c>
      <c r="I44" s="44"/>
    </row>
    <row r="45" spans="1:13" s="1" customFormat="1" ht="15.75" customHeight="1">
      <c r="A45" s="10" t="s">
        <v>395</v>
      </c>
      <c r="B45" s="31" t="s">
        <v>396</v>
      </c>
      <c r="C45" s="17">
        <v>43354</v>
      </c>
      <c r="D45" s="28">
        <v>43360</v>
      </c>
      <c r="E45" s="29">
        <f>D45-C45</f>
        <v>6</v>
      </c>
      <c r="F45" s="16"/>
      <c r="G45" s="12"/>
      <c r="H45" s="12"/>
      <c r="I45" s="12"/>
      <c r="J45" s="10"/>
      <c r="K45" s="10"/>
    </row>
    <row r="46" spans="1:13" ht="15.75" customHeight="1">
      <c r="A46" s="42" t="s">
        <v>1445</v>
      </c>
      <c r="B46" s="42" t="s">
        <v>1446</v>
      </c>
      <c r="C46" s="39">
        <v>44131</v>
      </c>
      <c r="D46" s="40">
        <v>44137</v>
      </c>
      <c r="E46" s="41">
        <f>D46-C46</f>
        <v>6</v>
      </c>
      <c r="F46" s="43" t="s">
        <v>0</v>
      </c>
      <c r="G46" s="45" t="s">
        <v>487</v>
      </c>
      <c r="H46" s="46"/>
      <c r="I46" s="46"/>
      <c r="J46" s="37"/>
      <c r="K46" s="37"/>
      <c r="L46" s="37"/>
      <c r="M46" s="37"/>
    </row>
    <row r="47" spans="1:13" s="1" customFormat="1" ht="15.75" customHeight="1">
      <c r="A47" s="4" t="s">
        <v>1295</v>
      </c>
      <c r="B47" s="10" t="s">
        <v>1296</v>
      </c>
      <c r="C47" s="17">
        <v>44213</v>
      </c>
      <c r="D47" s="28">
        <v>44219</v>
      </c>
      <c r="E47" s="29">
        <f>D47-C47</f>
        <v>6</v>
      </c>
      <c r="F47" s="16" t="s">
        <v>0</v>
      </c>
      <c r="G47" s="27"/>
      <c r="H47" s="27"/>
      <c r="I47" s="27"/>
      <c r="J47" s="4"/>
      <c r="K47" s="4"/>
      <c r="L47" s="4"/>
      <c r="M47" s="4"/>
    </row>
    <row r="48" spans="1:13" ht="15.75" customHeight="1">
      <c r="A48" s="75" t="s">
        <v>1566</v>
      </c>
      <c r="B48" s="74" t="s">
        <v>1567</v>
      </c>
      <c r="C48" s="39">
        <v>44269</v>
      </c>
      <c r="D48" s="40">
        <v>44275</v>
      </c>
      <c r="E48" s="41">
        <f>D48-C48</f>
        <v>6</v>
      </c>
      <c r="F48" s="45" t="s">
        <v>263</v>
      </c>
      <c r="G48" s="46"/>
      <c r="H48" s="46"/>
      <c r="I48" s="46"/>
      <c r="J48" s="77"/>
      <c r="K48" s="77"/>
      <c r="L48" s="77"/>
      <c r="M48" s="77"/>
    </row>
    <row r="49" spans="1:13" ht="15.75" customHeight="1">
      <c r="A49" s="77" t="s">
        <v>1642</v>
      </c>
      <c r="B49" s="75" t="s">
        <v>1643</v>
      </c>
      <c r="C49" s="39">
        <v>44325</v>
      </c>
      <c r="D49" s="39">
        <v>44331</v>
      </c>
      <c r="E49" s="41">
        <f>D49-C49</f>
        <v>6</v>
      </c>
      <c r="F49" s="43" t="s">
        <v>74</v>
      </c>
      <c r="G49" s="46"/>
      <c r="H49" s="46"/>
      <c r="I49" s="46"/>
      <c r="J49" s="77"/>
      <c r="K49" s="77"/>
      <c r="L49" s="77"/>
      <c r="M49" s="77"/>
    </row>
    <row r="50" spans="1:13" ht="15.75" customHeight="1">
      <c r="A50" s="77" t="s">
        <v>1825</v>
      </c>
      <c r="B50" s="82" t="s">
        <v>1826</v>
      </c>
      <c r="C50" s="79">
        <v>44451</v>
      </c>
      <c r="D50" s="80">
        <v>44457</v>
      </c>
      <c r="E50" s="41">
        <f>D50-C50</f>
        <v>6</v>
      </c>
      <c r="F50" s="48" t="s">
        <v>1570</v>
      </c>
      <c r="G50" s="46"/>
      <c r="H50" s="46"/>
      <c r="I50" s="46"/>
      <c r="J50" s="77"/>
      <c r="K50" s="77"/>
      <c r="L50" s="77"/>
      <c r="M50" s="77"/>
    </row>
    <row r="51" spans="1:13" ht="15.75" customHeight="1">
      <c r="A51" s="82" t="s">
        <v>1900</v>
      </c>
      <c r="B51" s="82" t="s">
        <v>1901</v>
      </c>
      <c r="C51" s="79">
        <v>44500</v>
      </c>
      <c r="D51" s="80">
        <v>44506</v>
      </c>
      <c r="E51" s="41">
        <f>D51-C51</f>
        <v>6</v>
      </c>
      <c r="F51" s="43" t="s">
        <v>0</v>
      </c>
      <c r="G51" s="46"/>
      <c r="H51" s="46"/>
      <c r="I51" s="46"/>
      <c r="J51" s="77"/>
      <c r="K51" s="77"/>
      <c r="L51" s="77"/>
      <c r="M51" s="77"/>
    </row>
    <row r="52" spans="1:13" ht="15.75" customHeight="1">
      <c r="A52" s="82" t="s">
        <v>2040</v>
      </c>
      <c r="B52" s="82" t="s">
        <v>2041</v>
      </c>
      <c r="C52" s="79">
        <v>44605</v>
      </c>
      <c r="D52" s="80">
        <v>44611</v>
      </c>
      <c r="E52" s="41">
        <f>D52-C52</f>
        <v>6</v>
      </c>
      <c r="F52" s="43" t="s">
        <v>0</v>
      </c>
      <c r="G52" s="46"/>
      <c r="H52" s="83" t="s">
        <v>11</v>
      </c>
      <c r="I52" s="46"/>
      <c r="J52" s="77"/>
      <c r="K52" s="77"/>
      <c r="L52" s="77"/>
      <c r="M52" s="77"/>
    </row>
    <row r="53" spans="1:13" ht="15.75" customHeight="1">
      <c r="A53" s="77" t="s">
        <v>2134</v>
      </c>
      <c r="B53" s="82" t="s">
        <v>2135</v>
      </c>
      <c r="C53" s="79">
        <v>44653</v>
      </c>
      <c r="D53" s="80">
        <v>44659</v>
      </c>
      <c r="E53" s="41">
        <f>D53-C53</f>
        <v>6</v>
      </c>
      <c r="F53" s="81" t="s">
        <v>2136</v>
      </c>
      <c r="G53" s="46"/>
      <c r="H53" s="83" t="s">
        <v>11</v>
      </c>
      <c r="I53" s="46"/>
      <c r="J53" s="77"/>
      <c r="K53" s="77"/>
      <c r="L53" s="77"/>
      <c r="M53" s="77"/>
    </row>
    <row r="54" spans="1:13" ht="15.75" customHeight="1">
      <c r="A54" s="37" t="s">
        <v>384</v>
      </c>
      <c r="B54" s="38" t="s">
        <v>385</v>
      </c>
      <c r="C54" s="39">
        <v>43346</v>
      </c>
      <c r="D54" s="40">
        <v>43353</v>
      </c>
      <c r="E54" s="41">
        <f>D54-C54</f>
        <v>7</v>
      </c>
      <c r="G54" s="44"/>
      <c r="H54" s="44"/>
      <c r="I54" s="44"/>
      <c r="J54" s="1"/>
      <c r="K54" s="1"/>
    </row>
    <row r="55" spans="1:13" ht="15.75" customHeight="1">
      <c r="A55" s="42" t="s">
        <v>465</v>
      </c>
      <c r="B55" s="38" t="s">
        <v>465</v>
      </c>
      <c r="C55" s="39">
        <v>43443</v>
      </c>
      <c r="D55" s="39">
        <v>43450</v>
      </c>
      <c r="E55" s="41">
        <f>D55-C55</f>
        <v>7</v>
      </c>
      <c r="F55" s="45" t="s">
        <v>466</v>
      </c>
      <c r="G55" s="45" t="s">
        <v>280</v>
      </c>
      <c r="H55" s="45"/>
      <c r="I55" s="44"/>
      <c r="J55" s="1"/>
      <c r="K55" s="1"/>
    </row>
    <row r="56" spans="1:13" ht="15.75" customHeight="1">
      <c r="A56" s="37" t="s">
        <v>578</v>
      </c>
      <c r="B56" s="38" t="s">
        <v>579</v>
      </c>
      <c r="C56" s="39">
        <v>43544</v>
      </c>
      <c r="D56" s="40">
        <v>43551</v>
      </c>
      <c r="E56" s="47">
        <f>D56-C56</f>
        <v>7</v>
      </c>
      <c r="F56" s="43" t="s">
        <v>0</v>
      </c>
      <c r="G56" s="45"/>
      <c r="H56" s="45"/>
      <c r="I56" s="45"/>
      <c r="J56" s="42"/>
      <c r="K56" s="42"/>
    </row>
    <row r="57" spans="1:13" ht="15.75" customHeight="1">
      <c r="A57" s="37" t="s">
        <v>766</v>
      </c>
      <c r="B57" s="38" t="s">
        <v>767</v>
      </c>
      <c r="C57" s="39">
        <v>43688</v>
      </c>
      <c r="D57" s="39">
        <v>43695</v>
      </c>
      <c r="E57" s="47">
        <f>D57-C57</f>
        <v>7</v>
      </c>
      <c r="F57" s="43" t="s">
        <v>54</v>
      </c>
      <c r="G57" s="45"/>
      <c r="H57" s="45"/>
      <c r="I57" s="45"/>
      <c r="J57" s="42"/>
      <c r="K57" s="42"/>
    </row>
    <row r="58" spans="1:13" ht="15.75" customHeight="1">
      <c r="A58" s="65" t="s">
        <v>937</v>
      </c>
      <c r="B58" s="38" t="s">
        <v>938</v>
      </c>
      <c r="C58" s="39">
        <v>43806</v>
      </c>
      <c r="D58" s="39">
        <v>43813</v>
      </c>
      <c r="E58" s="47">
        <f>D58-C58</f>
        <v>7</v>
      </c>
      <c r="F58" s="43" t="s">
        <v>939</v>
      </c>
      <c r="G58" s="42"/>
      <c r="H58" s="42"/>
      <c r="I58" s="45" t="s">
        <v>940</v>
      </c>
      <c r="J58" s="42"/>
      <c r="K58" s="42"/>
      <c r="L58" s="42"/>
      <c r="M58" s="42"/>
    </row>
    <row r="59" spans="1:13" ht="15.75" customHeight="1">
      <c r="A59" s="57" t="s">
        <v>758</v>
      </c>
      <c r="B59" s="52" t="s">
        <v>962</v>
      </c>
      <c r="C59" s="39">
        <v>43962</v>
      </c>
      <c r="D59" s="40">
        <v>43969</v>
      </c>
      <c r="E59" s="47">
        <f>D59-C59</f>
        <v>7</v>
      </c>
      <c r="F59" s="43" t="s">
        <v>0</v>
      </c>
      <c r="G59" s="45"/>
      <c r="H59" s="45"/>
      <c r="I59" s="45"/>
      <c r="J59" s="37"/>
      <c r="K59" s="37"/>
      <c r="L59" s="37"/>
      <c r="M59" s="37"/>
    </row>
    <row r="60" spans="1:13" ht="15.75" customHeight="1">
      <c r="A60" s="75" t="s">
        <v>1576</v>
      </c>
      <c r="B60" s="75" t="s">
        <v>1577</v>
      </c>
      <c r="C60" s="39">
        <v>44269</v>
      </c>
      <c r="D60" s="40">
        <v>44276</v>
      </c>
      <c r="E60" s="41">
        <f>D60-C60</f>
        <v>7</v>
      </c>
      <c r="F60" s="43" t="s">
        <v>0</v>
      </c>
      <c r="G60" s="46"/>
      <c r="H60" s="46"/>
      <c r="I60" s="46"/>
      <c r="J60" s="77"/>
      <c r="K60" s="77"/>
      <c r="L60" s="77"/>
      <c r="M60" s="77"/>
    </row>
    <row r="61" spans="1:13" ht="15.75" customHeight="1">
      <c r="A61" s="42" t="s">
        <v>2820</v>
      </c>
      <c r="B61" s="38" t="s">
        <v>387</v>
      </c>
      <c r="C61" s="39">
        <v>43345</v>
      </c>
      <c r="D61" s="40">
        <v>43353</v>
      </c>
      <c r="E61" s="41">
        <f>D61-C61</f>
        <v>8</v>
      </c>
      <c r="G61" s="44"/>
      <c r="H61" s="44"/>
      <c r="I61" s="44"/>
      <c r="J61" s="1"/>
      <c r="K61" s="1"/>
    </row>
    <row r="62" spans="1:13" ht="15.75" customHeight="1">
      <c r="A62" s="37" t="s">
        <v>399</v>
      </c>
      <c r="B62" s="38" t="s">
        <v>400</v>
      </c>
      <c r="C62" s="39">
        <v>43359</v>
      </c>
      <c r="D62" s="40">
        <v>43367</v>
      </c>
      <c r="E62" s="41">
        <f>D62-C62</f>
        <v>8</v>
      </c>
      <c r="G62" s="44"/>
      <c r="H62" s="44"/>
      <c r="I62" s="44"/>
      <c r="J62" s="1"/>
      <c r="K62" s="1"/>
    </row>
    <row r="63" spans="1:13" ht="15.75" customHeight="1">
      <c r="A63" s="37" t="s">
        <v>1122</v>
      </c>
      <c r="B63" s="42" t="s">
        <v>1123</v>
      </c>
      <c r="C63" s="39">
        <v>43918</v>
      </c>
      <c r="D63" s="40">
        <v>43926</v>
      </c>
      <c r="E63" s="41">
        <f>D63-C63</f>
        <v>8</v>
      </c>
      <c r="F63" s="43" t="s">
        <v>923</v>
      </c>
      <c r="G63" s="45" t="s">
        <v>1</v>
      </c>
      <c r="H63" s="45"/>
      <c r="I63" s="45"/>
      <c r="J63" s="37"/>
      <c r="K63" s="37"/>
      <c r="L63" s="37"/>
      <c r="M63" s="37"/>
    </row>
    <row r="64" spans="1:13" ht="15.75" customHeight="1">
      <c r="A64" s="37" t="s">
        <v>1238</v>
      </c>
      <c r="B64" s="42" t="s">
        <v>1239</v>
      </c>
      <c r="C64" s="39">
        <v>43967</v>
      </c>
      <c r="D64" s="40">
        <v>43975</v>
      </c>
      <c r="E64" s="41">
        <f>D64-C64</f>
        <v>8</v>
      </c>
      <c r="F64" s="43" t="s">
        <v>0</v>
      </c>
      <c r="G64" s="45"/>
      <c r="H64" s="45"/>
      <c r="I64" s="45"/>
      <c r="J64" s="37"/>
      <c r="K64" s="37"/>
      <c r="L64" s="37"/>
      <c r="M64" s="37"/>
    </row>
    <row r="65" spans="1:13" ht="15.75" customHeight="1">
      <c r="A65" s="77" t="s">
        <v>1697</v>
      </c>
      <c r="B65" s="82" t="s">
        <v>1698</v>
      </c>
      <c r="C65" s="39">
        <v>44358</v>
      </c>
      <c r="D65" s="39">
        <v>44366</v>
      </c>
      <c r="E65" s="41">
        <f>D65-C65</f>
        <v>8</v>
      </c>
      <c r="F65" s="83" t="s">
        <v>853</v>
      </c>
      <c r="G65" s="46"/>
      <c r="H65" s="46"/>
      <c r="I65" s="46"/>
      <c r="J65" s="77"/>
      <c r="K65" s="77"/>
      <c r="L65" s="77"/>
      <c r="M65" s="77"/>
    </row>
    <row r="66" spans="1:13" ht="15.75" customHeight="1">
      <c r="A66" s="82" t="s">
        <v>1821</v>
      </c>
      <c r="B66" s="82" t="s">
        <v>1822</v>
      </c>
      <c r="C66" s="79">
        <v>44446</v>
      </c>
      <c r="D66" s="80">
        <v>44454</v>
      </c>
      <c r="E66" s="41">
        <f>D66-C66</f>
        <v>8</v>
      </c>
      <c r="F66" s="83" t="s">
        <v>144</v>
      </c>
      <c r="G66" s="46"/>
      <c r="H66" s="46"/>
      <c r="I66" s="46"/>
      <c r="J66" s="77"/>
      <c r="K66" s="77"/>
      <c r="L66" s="77"/>
      <c r="M66" s="77"/>
    </row>
    <row r="67" spans="1:13" ht="15.75" customHeight="1">
      <c r="A67" s="82" t="s">
        <v>1902</v>
      </c>
      <c r="B67" s="82" t="s">
        <v>1903</v>
      </c>
      <c r="C67" s="79">
        <v>44498</v>
      </c>
      <c r="D67" s="80">
        <v>44506</v>
      </c>
      <c r="E67" s="41">
        <f>D67-C67</f>
        <v>8</v>
      </c>
      <c r="F67" s="43" t="s">
        <v>0</v>
      </c>
      <c r="G67" s="46"/>
      <c r="H67" s="46"/>
      <c r="I67" s="46"/>
      <c r="J67" s="77"/>
      <c r="K67" s="77"/>
      <c r="L67" s="77"/>
      <c r="M67" s="77"/>
    </row>
    <row r="68" spans="1:13" s="1" customFormat="1" ht="15.75" customHeight="1">
      <c r="A68" s="1" t="s">
        <v>2399</v>
      </c>
      <c r="B68" s="1" t="s">
        <v>2400</v>
      </c>
      <c r="C68" s="2">
        <v>44916</v>
      </c>
      <c r="D68" s="14">
        <v>44924</v>
      </c>
      <c r="E68" s="29">
        <f>D68-C68</f>
        <v>8</v>
      </c>
      <c r="F68" s="16" t="s">
        <v>0</v>
      </c>
      <c r="G68" s="44"/>
      <c r="H68" s="5" t="s">
        <v>11</v>
      </c>
      <c r="I68" s="44"/>
    </row>
    <row r="69" spans="1:13" ht="15.75" customHeight="1">
      <c r="A69" s="37" t="s">
        <v>401</v>
      </c>
      <c r="B69" s="38" t="s">
        <v>402</v>
      </c>
      <c r="C69" s="39">
        <v>43358</v>
      </c>
      <c r="D69" s="40">
        <v>43367</v>
      </c>
      <c r="E69" s="41">
        <f>D69-C69</f>
        <v>9</v>
      </c>
      <c r="G69" s="44"/>
      <c r="H69" s="44"/>
      <c r="I69" s="44"/>
      <c r="J69" s="1"/>
      <c r="K69" s="1"/>
    </row>
    <row r="70" spans="1:13" s="1" customFormat="1" ht="15.75" customHeight="1">
      <c r="A70" s="4" t="s">
        <v>1099</v>
      </c>
      <c r="B70" s="10" t="s">
        <v>1100</v>
      </c>
      <c r="C70" s="17">
        <v>43911</v>
      </c>
      <c r="D70" s="28">
        <v>43920</v>
      </c>
      <c r="E70" s="29">
        <f>D70-C70</f>
        <v>9</v>
      </c>
      <c r="F70" s="16" t="s">
        <v>810</v>
      </c>
      <c r="G70" s="12"/>
      <c r="H70" s="12"/>
      <c r="I70" s="12"/>
      <c r="J70" s="4"/>
      <c r="K70" s="4"/>
      <c r="L70" s="4"/>
      <c r="M70" s="4"/>
    </row>
    <row r="71" spans="1:13" s="126" customFormat="1" ht="15.75" customHeight="1">
      <c r="A71" s="134" t="s">
        <v>1199</v>
      </c>
      <c r="B71" s="134" t="s">
        <v>1200</v>
      </c>
      <c r="C71" s="130">
        <v>43944</v>
      </c>
      <c r="D71" s="131">
        <v>43953</v>
      </c>
      <c r="E71" s="123">
        <f>D71-C71</f>
        <v>9</v>
      </c>
      <c r="F71" s="132" t="s">
        <v>174</v>
      </c>
      <c r="G71" s="133"/>
      <c r="H71" s="133"/>
      <c r="I71" s="133"/>
      <c r="J71" s="135"/>
      <c r="K71" s="135"/>
      <c r="L71" s="135"/>
      <c r="M71" s="135"/>
    </row>
    <row r="72" spans="1:13" s="1" customFormat="1" ht="15.75" customHeight="1">
      <c r="A72" s="116" t="s">
        <v>1849</v>
      </c>
      <c r="B72" s="116" t="s">
        <v>1849</v>
      </c>
      <c r="C72" s="2">
        <v>44469</v>
      </c>
      <c r="D72" s="14">
        <v>44478</v>
      </c>
      <c r="E72" s="29">
        <f>D72-C72</f>
        <v>9</v>
      </c>
      <c r="F72" s="5" t="s">
        <v>196</v>
      </c>
      <c r="G72" s="27"/>
      <c r="H72" s="27"/>
      <c r="I72" s="27"/>
      <c r="J72" s="21"/>
      <c r="K72" s="21"/>
      <c r="L72" s="21"/>
      <c r="M72" s="21"/>
    </row>
    <row r="73" spans="1:13" ht="15.75" customHeight="1">
      <c r="A73" s="82" t="s">
        <v>1879</v>
      </c>
      <c r="B73" s="82" t="s">
        <v>1880</v>
      </c>
      <c r="C73" s="79">
        <v>44628</v>
      </c>
      <c r="D73" s="39">
        <v>44637</v>
      </c>
      <c r="E73" s="41">
        <f>D73-C73</f>
        <v>9</v>
      </c>
      <c r="F73" s="43" t="s">
        <v>0</v>
      </c>
      <c r="G73" s="46"/>
      <c r="H73" s="41" t="s">
        <v>11</v>
      </c>
      <c r="I73" s="46"/>
      <c r="J73" s="77"/>
      <c r="K73" s="77"/>
      <c r="L73" s="77"/>
      <c r="M73" s="77"/>
    </row>
    <row r="74" spans="1:13" s="1" customFormat="1" ht="15.75" customHeight="1">
      <c r="A74" s="10" t="s">
        <v>409</v>
      </c>
      <c r="B74" s="31" t="s">
        <v>410</v>
      </c>
      <c r="C74" s="17">
        <v>43369</v>
      </c>
      <c r="D74" s="28">
        <v>43379</v>
      </c>
      <c r="E74" s="29">
        <f>D74-C74</f>
        <v>10</v>
      </c>
      <c r="F74" s="44"/>
      <c r="G74" s="44"/>
      <c r="H74" s="44"/>
      <c r="I74" s="44"/>
    </row>
    <row r="75" spans="1:13" s="1" customFormat="1" ht="15.75" customHeight="1">
      <c r="A75" s="4" t="s">
        <v>879</v>
      </c>
      <c r="B75" s="31" t="s">
        <v>880</v>
      </c>
      <c r="C75" s="17">
        <v>43761</v>
      </c>
      <c r="D75" s="17">
        <v>43771</v>
      </c>
      <c r="E75" s="32">
        <f>D75-C75</f>
        <v>10</v>
      </c>
      <c r="F75" s="188" t="s">
        <v>881</v>
      </c>
      <c r="G75" s="12"/>
      <c r="H75" s="12"/>
      <c r="I75" s="12"/>
      <c r="J75" s="10"/>
      <c r="K75" s="10"/>
    </row>
    <row r="76" spans="1:13" s="126" customFormat="1" ht="15.75" customHeight="1">
      <c r="A76" s="134" t="s">
        <v>1110</v>
      </c>
      <c r="B76" s="134" t="s">
        <v>1111</v>
      </c>
      <c r="C76" s="130">
        <v>43915</v>
      </c>
      <c r="D76" s="130">
        <v>43925</v>
      </c>
      <c r="E76" s="136">
        <f>D76-C76</f>
        <v>10</v>
      </c>
      <c r="F76" s="127" t="s">
        <v>0</v>
      </c>
      <c r="G76" s="133" t="s">
        <v>33</v>
      </c>
      <c r="H76" s="128"/>
      <c r="I76" s="128"/>
      <c r="K76" s="137" t="s">
        <v>1112</v>
      </c>
    </row>
    <row r="77" spans="1:13" ht="15.75" customHeight="1">
      <c r="A77" s="77" t="s">
        <v>1724</v>
      </c>
      <c r="B77" s="82" t="s">
        <v>1725</v>
      </c>
      <c r="C77" s="79">
        <v>44370</v>
      </c>
      <c r="D77" s="80">
        <v>44380</v>
      </c>
      <c r="E77" s="41">
        <f>D77-C77</f>
        <v>10</v>
      </c>
      <c r="F77" s="46" t="s">
        <v>1570</v>
      </c>
      <c r="G77" s="46"/>
      <c r="H77" s="46"/>
      <c r="I77" s="46"/>
      <c r="J77" s="77"/>
      <c r="K77" s="77"/>
      <c r="L77" s="77"/>
      <c r="M77" s="77"/>
    </row>
    <row r="78" spans="1:13" s="1" customFormat="1" ht="15.75" customHeight="1">
      <c r="A78" s="116" t="s">
        <v>1869</v>
      </c>
      <c r="B78" s="116" t="s">
        <v>1870</v>
      </c>
      <c r="C78" s="2">
        <v>44480</v>
      </c>
      <c r="D78" s="14">
        <v>44490</v>
      </c>
      <c r="E78" s="29">
        <f>D78-C78</f>
        <v>10</v>
      </c>
      <c r="F78" s="16" t="s">
        <v>0</v>
      </c>
      <c r="G78" s="27"/>
      <c r="H78" s="27"/>
      <c r="I78" s="27"/>
      <c r="J78" s="21"/>
      <c r="K78" s="21"/>
      <c r="L78" s="21"/>
      <c r="M78" s="21"/>
    </row>
    <row r="79" spans="1:13" s="1" customFormat="1" ht="15.75" customHeight="1">
      <c r="A79" s="116" t="s">
        <v>2055</v>
      </c>
      <c r="B79" s="116" t="s">
        <v>2055</v>
      </c>
      <c r="C79" s="2">
        <v>44615</v>
      </c>
      <c r="D79" s="14">
        <v>44625</v>
      </c>
      <c r="E79" s="29">
        <f>D79-C79</f>
        <v>10</v>
      </c>
      <c r="F79" s="11" t="s">
        <v>2056</v>
      </c>
      <c r="G79" s="27"/>
      <c r="H79" s="5" t="s">
        <v>11</v>
      </c>
      <c r="I79" s="27"/>
      <c r="J79" s="21"/>
      <c r="K79" s="21"/>
      <c r="L79" s="21"/>
      <c r="M79" s="21"/>
    </row>
    <row r="80" spans="1:13" s="1" customFormat="1" ht="15.75" customHeight="1">
      <c r="A80" s="21" t="s">
        <v>2189</v>
      </c>
      <c r="B80" s="116" t="s">
        <v>2190</v>
      </c>
      <c r="C80" s="2">
        <v>44699</v>
      </c>
      <c r="D80" s="14">
        <v>44709</v>
      </c>
      <c r="E80" s="29">
        <f>D80-C80</f>
        <v>10</v>
      </c>
      <c r="F80" s="5" t="s">
        <v>144</v>
      </c>
      <c r="G80" s="27"/>
      <c r="H80" s="5" t="s">
        <v>2</v>
      </c>
      <c r="I80" s="27"/>
      <c r="J80" s="21"/>
      <c r="K80" s="21"/>
      <c r="L80" s="21"/>
      <c r="M80" s="21"/>
    </row>
    <row r="81" spans="1:13" ht="15.75" customHeight="1">
      <c r="A81" s="37" t="s">
        <v>391</v>
      </c>
      <c r="B81" s="38" t="s">
        <v>392</v>
      </c>
      <c r="C81" s="39">
        <v>43345</v>
      </c>
      <c r="D81" s="40">
        <v>43356</v>
      </c>
      <c r="E81" s="41">
        <f>D81-C81</f>
        <v>11</v>
      </c>
      <c r="G81" s="44"/>
      <c r="H81" s="44"/>
      <c r="I81" s="44"/>
      <c r="J81" s="1"/>
      <c r="K81" s="1"/>
    </row>
    <row r="82" spans="1:13" s="1" customFormat="1" ht="15.75" customHeight="1">
      <c r="A82" s="4" t="s">
        <v>587</v>
      </c>
      <c r="B82" s="31" t="s">
        <v>588</v>
      </c>
      <c r="C82" s="17">
        <v>43573</v>
      </c>
      <c r="D82" s="17">
        <v>43584</v>
      </c>
      <c r="E82" s="32">
        <f>D82-C82</f>
        <v>11</v>
      </c>
      <c r="F82" s="16" t="s">
        <v>0</v>
      </c>
      <c r="G82" s="12" t="s">
        <v>33</v>
      </c>
      <c r="H82" s="12"/>
      <c r="I82" s="12"/>
      <c r="J82" s="10"/>
      <c r="K82" s="10"/>
    </row>
    <row r="83" spans="1:13" s="1" customFormat="1" ht="15.75" customHeight="1">
      <c r="A83" s="4" t="s">
        <v>1439</v>
      </c>
      <c r="B83" s="10" t="s">
        <v>1440</v>
      </c>
      <c r="C83" s="17">
        <v>44124</v>
      </c>
      <c r="D83" s="17">
        <v>44135</v>
      </c>
      <c r="E83" s="29">
        <f>D83-C83</f>
        <v>11</v>
      </c>
      <c r="F83" s="16" t="s">
        <v>0</v>
      </c>
      <c r="G83" s="27"/>
      <c r="H83" s="27"/>
      <c r="I83" s="27"/>
      <c r="J83" s="4"/>
      <c r="K83" s="4"/>
      <c r="L83" s="4"/>
      <c r="M83" s="4"/>
    </row>
    <row r="84" spans="1:13" s="1" customFormat="1" ht="15.75" customHeight="1">
      <c r="A84" s="116" t="s">
        <v>1813</v>
      </c>
      <c r="B84" s="116" t="s">
        <v>1814</v>
      </c>
      <c r="C84" s="2">
        <v>44439</v>
      </c>
      <c r="D84" s="14">
        <v>44450</v>
      </c>
      <c r="E84" s="29">
        <f>D84-C84</f>
        <v>11</v>
      </c>
      <c r="F84" s="11" t="s">
        <v>1362</v>
      </c>
      <c r="G84" s="27"/>
      <c r="H84" s="27"/>
      <c r="I84" s="27"/>
      <c r="J84" s="21"/>
      <c r="K84" s="21"/>
      <c r="L84" s="21"/>
      <c r="M84" s="21"/>
    </row>
    <row r="85" spans="1:13" s="1" customFormat="1" ht="15.75" customHeight="1">
      <c r="A85" s="10" t="s">
        <v>479</v>
      </c>
      <c r="B85" s="31" t="s">
        <v>480</v>
      </c>
      <c r="C85" s="17">
        <v>43464</v>
      </c>
      <c r="D85" s="17">
        <v>43476</v>
      </c>
      <c r="E85" s="32">
        <f>D85-C85</f>
        <v>12</v>
      </c>
      <c r="F85" s="12" t="s">
        <v>481</v>
      </c>
      <c r="G85" s="10"/>
      <c r="H85" s="10"/>
      <c r="I85" s="12"/>
      <c r="J85" s="10"/>
      <c r="K85" s="10"/>
    </row>
    <row r="86" spans="1:13" s="1" customFormat="1" ht="15.75" customHeight="1">
      <c r="A86" s="116" t="s">
        <v>1753</v>
      </c>
      <c r="B86" s="116" t="s">
        <v>1753</v>
      </c>
      <c r="C86" s="17">
        <v>44387</v>
      </c>
      <c r="D86" s="14">
        <v>44399</v>
      </c>
      <c r="E86" s="29">
        <f>D86-C86</f>
        <v>12</v>
      </c>
      <c r="F86" s="27" t="s">
        <v>1272</v>
      </c>
      <c r="G86" s="44" t="s">
        <v>280</v>
      </c>
      <c r="H86" s="27"/>
      <c r="I86" s="27"/>
      <c r="J86" s="21"/>
      <c r="K86" s="21"/>
      <c r="L86" s="21"/>
      <c r="M86" s="21"/>
    </row>
    <row r="87" spans="1:13" ht="15.75" customHeight="1">
      <c r="A87" s="42" t="s">
        <v>393</v>
      </c>
      <c r="B87" s="38" t="s">
        <v>394</v>
      </c>
      <c r="C87" s="39">
        <v>43345</v>
      </c>
      <c r="D87" s="40">
        <v>43358</v>
      </c>
      <c r="E87" s="41">
        <f>D87-C87</f>
        <v>13</v>
      </c>
      <c r="G87" s="45" t="s">
        <v>312</v>
      </c>
      <c r="H87" s="45"/>
      <c r="I87" s="44"/>
      <c r="J87" s="1"/>
      <c r="K87" s="1"/>
    </row>
    <row r="88" spans="1:13" s="1" customFormat="1" ht="15.75" customHeight="1">
      <c r="A88" s="10" t="s">
        <v>2836</v>
      </c>
      <c r="B88" s="31" t="s">
        <v>442</v>
      </c>
      <c r="C88" s="17">
        <v>43402</v>
      </c>
      <c r="D88" s="17">
        <v>43415</v>
      </c>
      <c r="E88" s="29">
        <f>D88-C88</f>
        <v>13</v>
      </c>
      <c r="F88" s="16"/>
      <c r="G88" s="44"/>
      <c r="H88" s="44"/>
      <c r="I88" s="44"/>
    </row>
    <row r="89" spans="1:13" ht="15.75" customHeight="1">
      <c r="A89" s="37" t="s">
        <v>401</v>
      </c>
      <c r="B89" s="38" t="s">
        <v>402</v>
      </c>
      <c r="C89" s="39">
        <v>43408</v>
      </c>
      <c r="D89" s="39">
        <v>43421</v>
      </c>
      <c r="E89" s="41">
        <f>D89-C89</f>
        <v>13</v>
      </c>
      <c r="F89" s="43" t="s">
        <v>445</v>
      </c>
      <c r="G89" s="42"/>
      <c r="H89" s="42"/>
      <c r="I89" s="44"/>
      <c r="J89" s="1"/>
      <c r="K89" s="1"/>
    </row>
    <row r="90" spans="1:13" ht="15.75" customHeight="1">
      <c r="A90" s="37" t="s">
        <v>768</v>
      </c>
      <c r="B90" s="38" t="s">
        <v>769</v>
      </c>
      <c r="C90" s="39">
        <v>43682</v>
      </c>
      <c r="D90" s="39">
        <v>43695</v>
      </c>
      <c r="E90" s="47">
        <f>D90-C90</f>
        <v>13</v>
      </c>
      <c r="F90" s="48" t="s">
        <v>770</v>
      </c>
      <c r="G90" s="45"/>
      <c r="H90" s="45"/>
      <c r="I90" s="45"/>
      <c r="J90" s="42"/>
      <c r="K90" s="42"/>
    </row>
    <row r="91" spans="1:13" ht="15.75" customHeight="1">
      <c r="A91" s="37" t="s">
        <v>835</v>
      </c>
      <c r="B91" s="51" t="s">
        <v>836</v>
      </c>
      <c r="C91" s="39">
        <v>43722</v>
      </c>
      <c r="D91" s="39">
        <v>43735</v>
      </c>
      <c r="E91" s="47">
        <f>D91-C91</f>
        <v>13</v>
      </c>
      <c r="F91" s="48" t="s">
        <v>816</v>
      </c>
      <c r="G91" s="45"/>
      <c r="H91" s="45"/>
      <c r="I91" s="45"/>
      <c r="J91" s="42"/>
      <c r="K91" s="42"/>
    </row>
    <row r="92" spans="1:13" s="1" customFormat="1" ht="15.75" customHeight="1">
      <c r="A92" s="6" t="s">
        <v>909</v>
      </c>
      <c r="B92" s="31" t="s">
        <v>910</v>
      </c>
      <c r="C92" s="17">
        <v>43779</v>
      </c>
      <c r="D92" s="17">
        <v>43792</v>
      </c>
      <c r="E92" s="32">
        <f>D92-C92</f>
        <v>13</v>
      </c>
      <c r="F92" s="16" t="s">
        <v>0</v>
      </c>
      <c r="G92" s="12"/>
      <c r="H92" s="12"/>
      <c r="I92" s="12"/>
      <c r="J92" s="10"/>
      <c r="K92" s="10"/>
    </row>
    <row r="93" spans="1:13" s="1" customFormat="1" ht="15.75" customHeight="1">
      <c r="A93" s="10" t="s">
        <v>1015</v>
      </c>
      <c r="B93" s="10" t="s">
        <v>1016</v>
      </c>
      <c r="C93" s="17">
        <v>43863</v>
      </c>
      <c r="D93" s="28">
        <v>43876</v>
      </c>
      <c r="E93" s="29">
        <f>D93-C93</f>
        <v>13</v>
      </c>
      <c r="F93" s="16" t="s">
        <v>1017</v>
      </c>
      <c r="G93" s="44"/>
      <c r="H93" s="44"/>
      <c r="I93" s="44"/>
    </row>
    <row r="94" spans="1:13" s="1" customFormat="1" ht="15.75" customHeight="1">
      <c r="A94" s="4" t="s">
        <v>1025</v>
      </c>
      <c r="B94" s="10" t="s">
        <v>1026</v>
      </c>
      <c r="C94" s="17">
        <v>43870</v>
      </c>
      <c r="D94" s="28">
        <v>43883</v>
      </c>
      <c r="E94" s="29">
        <f>D94-C94</f>
        <v>13</v>
      </c>
      <c r="F94" s="11" t="s">
        <v>1027</v>
      </c>
      <c r="G94" s="12"/>
      <c r="H94" s="12"/>
      <c r="I94" s="12"/>
      <c r="J94" s="10"/>
      <c r="K94" s="10"/>
      <c r="L94" s="10"/>
      <c r="M94" s="10"/>
    </row>
    <row r="95" spans="1:13" ht="15.75" customHeight="1">
      <c r="A95" s="42" t="s">
        <v>1385</v>
      </c>
      <c r="B95" s="42" t="s">
        <v>1386</v>
      </c>
      <c r="C95" s="39">
        <v>44078</v>
      </c>
      <c r="D95" s="40">
        <v>44091</v>
      </c>
      <c r="E95" s="41">
        <f>D95-C95</f>
        <v>13</v>
      </c>
      <c r="F95" s="43" t="s">
        <v>0</v>
      </c>
      <c r="G95" s="45" t="s">
        <v>182</v>
      </c>
      <c r="H95" s="46"/>
      <c r="I95" s="46"/>
      <c r="J95" s="37"/>
      <c r="K95" s="37"/>
      <c r="L95" s="37"/>
      <c r="M95" s="37"/>
    </row>
    <row r="96" spans="1:13" s="1" customFormat="1" ht="15.75" customHeight="1">
      <c r="A96" s="116" t="s">
        <v>1726</v>
      </c>
      <c r="B96" s="116" t="s">
        <v>1727</v>
      </c>
      <c r="C96" s="2">
        <v>44367</v>
      </c>
      <c r="D96" s="14">
        <v>44380</v>
      </c>
      <c r="E96" s="29">
        <f>D96-C96</f>
        <v>13</v>
      </c>
      <c r="F96" s="16" t="s">
        <v>0</v>
      </c>
      <c r="G96" s="27"/>
      <c r="H96" s="27"/>
      <c r="I96" s="27"/>
      <c r="J96" s="21"/>
      <c r="K96" s="21"/>
      <c r="L96" s="21"/>
      <c r="M96" s="21"/>
    </row>
    <row r="97" spans="1:13" ht="15.75" customHeight="1">
      <c r="A97" s="75" t="s">
        <v>1605</v>
      </c>
      <c r="B97" s="75" t="s">
        <v>1605</v>
      </c>
      <c r="C97" s="79">
        <v>44759</v>
      </c>
      <c r="D97" s="40">
        <v>44772</v>
      </c>
      <c r="E97" s="41">
        <f>D97-C97</f>
        <v>13</v>
      </c>
      <c r="F97" s="43" t="s">
        <v>0</v>
      </c>
      <c r="G97" s="45" t="s">
        <v>1</v>
      </c>
      <c r="H97" s="45" t="s">
        <v>2</v>
      </c>
      <c r="I97" s="46"/>
      <c r="J97" s="77"/>
      <c r="K97" s="76" t="s">
        <v>1606</v>
      </c>
      <c r="L97" s="77"/>
      <c r="M97" s="77"/>
    </row>
    <row r="98" spans="1:13" s="1" customFormat="1" ht="15.75" customHeight="1">
      <c r="A98" s="10" t="s">
        <v>554</v>
      </c>
      <c r="B98" s="31" t="s">
        <v>555</v>
      </c>
      <c r="C98" s="17">
        <v>43526</v>
      </c>
      <c r="D98" s="17">
        <v>43540</v>
      </c>
      <c r="E98" s="32">
        <f>D98-C98</f>
        <v>14</v>
      </c>
      <c r="F98" s="16" t="s">
        <v>556</v>
      </c>
      <c r="G98" s="12"/>
      <c r="H98" s="12"/>
      <c r="I98" s="12"/>
      <c r="J98" s="10"/>
      <c r="K98" s="10"/>
    </row>
    <row r="99" spans="1:13" s="126" customFormat="1" ht="15.75" customHeight="1">
      <c r="A99" s="134" t="s">
        <v>642</v>
      </c>
      <c r="B99" s="138" t="s">
        <v>643</v>
      </c>
      <c r="C99" s="130">
        <v>43577</v>
      </c>
      <c r="D99" s="130">
        <v>43591</v>
      </c>
      <c r="E99" s="136">
        <f>D99-C99</f>
        <v>14</v>
      </c>
      <c r="F99" s="127" t="s">
        <v>0</v>
      </c>
      <c r="G99" s="133" t="s">
        <v>644</v>
      </c>
      <c r="H99" s="133"/>
      <c r="I99" s="133"/>
      <c r="J99" s="134"/>
      <c r="K99" s="134"/>
    </row>
    <row r="100" spans="1:13" ht="15.75" customHeight="1">
      <c r="A100" s="37" t="s">
        <v>1038</v>
      </c>
      <c r="B100" s="42" t="s">
        <v>1039</v>
      </c>
      <c r="C100" s="39">
        <v>43871</v>
      </c>
      <c r="D100" s="40">
        <v>43885</v>
      </c>
      <c r="E100" s="47">
        <f>D100-C100</f>
        <v>14</v>
      </c>
      <c r="F100" s="43" t="s">
        <v>1017</v>
      </c>
      <c r="G100" s="45"/>
      <c r="H100" s="45"/>
      <c r="I100" s="45"/>
      <c r="J100" s="42"/>
      <c r="K100" s="42"/>
      <c r="L100" s="42"/>
      <c r="M100" s="42"/>
    </row>
    <row r="101" spans="1:13" s="182" customFormat="1" ht="15.75" customHeight="1">
      <c r="A101" s="181" t="s">
        <v>1228</v>
      </c>
      <c r="B101" s="181" t="s">
        <v>1229</v>
      </c>
      <c r="C101" s="177">
        <v>43951</v>
      </c>
      <c r="D101" s="186">
        <v>43965</v>
      </c>
      <c r="E101" s="187">
        <f>D101-C101</f>
        <v>14</v>
      </c>
      <c r="F101" s="185" t="s">
        <v>174</v>
      </c>
      <c r="G101" s="180" t="s">
        <v>33</v>
      </c>
      <c r="H101" s="180"/>
      <c r="I101" s="180"/>
      <c r="J101" s="183"/>
      <c r="K101" s="183"/>
      <c r="L101" s="183"/>
      <c r="M101" s="183"/>
    </row>
    <row r="102" spans="1:13" ht="15.75" customHeight="1">
      <c r="A102" s="42" t="s">
        <v>1498</v>
      </c>
      <c r="B102" s="42" t="s">
        <v>1498</v>
      </c>
      <c r="C102" s="39">
        <v>44184</v>
      </c>
      <c r="D102" s="40">
        <v>44198</v>
      </c>
      <c r="E102" s="41">
        <f>D102-C102</f>
        <v>14</v>
      </c>
      <c r="F102" s="43" t="s">
        <v>0</v>
      </c>
      <c r="G102" s="45" t="s">
        <v>230</v>
      </c>
      <c r="H102" s="46"/>
      <c r="I102" s="46"/>
      <c r="J102" s="37"/>
      <c r="K102" s="37"/>
      <c r="L102" s="37"/>
      <c r="M102" s="37"/>
    </row>
    <row r="103" spans="1:13" ht="15.75" customHeight="1">
      <c r="A103" s="37" t="s">
        <v>1374</v>
      </c>
      <c r="B103" s="42" t="s">
        <v>1728</v>
      </c>
      <c r="C103" s="79">
        <v>44366</v>
      </c>
      <c r="D103" s="80">
        <v>44380</v>
      </c>
      <c r="E103" s="41">
        <f>D103-C103</f>
        <v>14</v>
      </c>
      <c r="F103" s="43" t="s">
        <v>0</v>
      </c>
      <c r="G103" s="81" t="s">
        <v>995</v>
      </c>
      <c r="H103" s="46"/>
      <c r="I103" s="46"/>
      <c r="J103" s="77"/>
      <c r="K103" s="77"/>
      <c r="L103" s="82" t="s">
        <v>1690</v>
      </c>
      <c r="M103" s="77"/>
    </row>
    <row r="104" spans="1:13" ht="15.75" customHeight="1">
      <c r="A104" s="77" t="s">
        <v>1799</v>
      </c>
      <c r="B104" s="82" t="s">
        <v>1800</v>
      </c>
      <c r="C104" s="79">
        <v>44429</v>
      </c>
      <c r="D104" s="80">
        <v>44443</v>
      </c>
      <c r="E104" s="41">
        <f>D104-C104</f>
        <v>14</v>
      </c>
      <c r="F104" s="48" t="s">
        <v>151</v>
      </c>
      <c r="G104" s="46"/>
      <c r="H104" s="46"/>
      <c r="I104" s="46"/>
      <c r="J104" s="77"/>
      <c r="K104" s="77"/>
      <c r="L104" s="77"/>
      <c r="M104" s="77"/>
    </row>
    <row r="105" spans="1:13" ht="15.75" customHeight="1">
      <c r="A105" s="42" t="s">
        <v>894</v>
      </c>
      <c r="B105" s="38" t="s">
        <v>1916</v>
      </c>
      <c r="C105" s="39">
        <v>44507</v>
      </c>
      <c r="D105" s="80">
        <v>44521</v>
      </c>
      <c r="E105" s="41">
        <f>D105-C105</f>
        <v>14</v>
      </c>
      <c r="F105" s="43" t="s">
        <v>0</v>
      </c>
      <c r="G105" s="45" t="s">
        <v>1</v>
      </c>
      <c r="H105" s="46"/>
      <c r="I105" s="46"/>
      <c r="J105" s="37"/>
      <c r="K105" s="37"/>
      <c r="L105" s="77"/>
      <c r="M105" s="77"/>
    </row>
    <row r="106" spans="1:13" ht="15.75" customHeight="1">
      <c r="A106" s="77" t="s">
        <v>2015</v>
      </c>
      <c r="B106" s="91" t="s">
        <v>2016</v>
      </c>
      <c r="C106" s="79">
        <v>44577</v>
      </c>
      <c r="D106" s="80">
        <v>44591</v>
      </c>
      <c r="E106" s="41">
        <f>D106-C106</f>
        <v>14</v>
      </c>
      <c r="F106" s="43" t="s">
        <v>0</v>
      </c>
      <c r="G106" s="46"/>
      <c r="H106" s="45" t="s">
        <v>11</v>
      </c>
      <c r="I106" s="46"/>
      <c r="J106" s="77"/>
      <c r="K106" s="77"/>
      <c r="L106" s="77"/>
      <c r="M106" s="77"/>
    </row>
    <row r="107" spans="1:13" ht="15.75" customHeight="1">
      <c r="A107" s="84" t="s">
        <v>1701</v>
      </c>
      <c r="B107" s="75" t="s">
        <v>1702</v>
      </c>
      <c r="C107" s="39">
        <v>44624</v>
      </c>
      <c r="D107" s="39">
        <v>44638</v>
      </c>
      <c r="E107" s="41">
        <f>D107-C107</f>
        <v>14</v>
      </c>
      <c r="F107" s="43" t="s">
        <v>0</v>
      </c>
      <c r="G107" s="46"/>
      <c r="H107" s="45" t="s">
        <v>2</v>
      </c>
      <c r="I107" s="46"/>
      <c r="J107" s="77"/>
      <c r="K107" s="77"/>
      <c r="L107" s="77"/>
      <c r="M107" s="77"/>
    </row>
    <row r="108" spans="1:13" ht="15.75" customHeight="1">
      <c r="A108" s="37" t="s">
        <v>443</v>
      </c>
      <c r="B108" s="38" t="s">
        <v>444</v>
      </c>
      <c r="C108" s="39">
        <v>43400</v>
      </c>
      <c r="D108" s="39">
        <v>43415</v>
      </c>
      <c r="E108" s="41">
        <f>D108-C108</f>
        <v>15</v>
      </c>
      <c r="F108" s="43"/>
      <c r="G108" s="44"/>
      <c r="H108" s="44"/>
      <c r="I108" s="44"/>
      <c r="J108" s="1"/>
      <c r="K108" s="1"/>
    </row>
    <row r="109" spans="1:13" ht="15.75" customHeight="1">
      <c r="A109" s="42" t="s">
        <v>522</v>
      </c>
      <c r="B109" s="38" t="s">
        <v>523</v>
      </c>
      <c r="C109" s="39">
        <v>43509</v>
      </c>
      <c r="D109" s="40">
        <v>43524</v>
      </c>
      <c r="E109" s="41">
        <f>D109-C109</f>
        <v>15</v>
      </c>
      <c r="F109" s="43" t="s">
        <v>524</v>
      </c>
      <c r="G109" s="42"/>
      <c r="H109" s="42"/>
      <c r="I109" s="45"/>
      <c r="J109" s="42"/>
      <c r="K109" s="42"/>
    </row>
    <row r="110" spans="1:13" s="248" customFormat="1" ht="15.75" customHeight="1">
      <c r="A110" s="254" t="s">
        <v>571</v>
      </c>
      <c r="B110" s="244" t="s">
        <v>572</v>
      </c>
      <c r="C110" s="245">
        <v>43532</v>
      </c>
      <c r="D110" s="245">
        <v>43547</v>
      </c>
      <c r="E110" s="249">
        <f>D110-C110</f>
        <v>15</v>
      </c>
      <c r="F110" s="255" t="s">
        <v>573</v>
      </c>
      <c r="G110" s="251"/>
      <c r="H110" s="251"/>
      <c r="I110" s="251"/>
      <c r="J110" s="243"/>
      <c r="K110" s="243"/>
    </row>
    <row r="111" spans="1:13" s="248" customFormat="1" ht="15.75" customHeight="1">
      <c r="A111" s="254" t="s">
        <v>658</v>
      </c>
      <c r="B111" s="244" t="s">
        <v>659</v>
      </c>
      <c r="C111" s="245">
        <v>43584</v>
      </c>
      <c r="D111" s="245">
        <v>43599</v>
      </c>
      <c r="E111" s="249">
        <f>D111-C111</f>
        <v>15</v>
      </c>
      <c r="F111" s="251" t="s">
        <v>637</v>
      </c>
      <c r="G111" s="251"/>
      <c r="H111" s="251"/>
      <c r="I111" s="251"/>
      <c r="J111" s="243"/>
      <c r="K111" s="243"/>
    </row>
    <row r="112" spans="1:13" ht="15.75" customHeight="1">
      <c r="A112" s="57" t="s">
        <v>712</v>
      </c>
      <c r="B112" s="58" t="s">
        <v>713</v>
      </c>
      <c r="C112" s="39">
        <v>43630</v>
      </c>
      <c r="D112" s="39">
        <v>43645</v>
      </c>
      <c r="E112" s="47">
        <f>D112-C112</f>
        <v>15</v>
      </c>
      <c r="F112" s="45" t="s">
        <v>714</v>
      </c>
      <c r="G112" s="45"/>
      <c r="H112" s="45"/>
      <c r="I112" s="45"/>
      <c r="J112" s="42"/>
      <c r="K112" s="42"/>
    </row>
    <row r="113" spans="1:13" ht="15.75" customHeight="1">
      <c r="A113" s="37" t="s">
        <v>814</v>
      </c>
      <c r="B113" s="51" t="s">
        <v>815</v>
      </c>
      <c r="C113" s="39">
        <v>43712</v>
      </c>
      <c r="D113" s="39">
        <v>43727</v>
      </c>
      <c r="E113" s="41">
        <f>D113-C113</f>
        <v>15</v>
      </c>
      <c r="F113" s="48" t="s">
        <v>816</v>
      </c>
      <c r="G113" s="45" t="s">
        <v>43</v>
      </c>
      <c r="H113" s="45"/>
      <c r="I113" s="55" t="s">
        <v>817</v>
      </c>
      <c r="J113" s="56"/>
      <c r="K113" s="56"/>
    </row>
    <row r="114" spans="1:13" ht="15.75" customHeight="1">
      <c r="A114" s="37" t="s">
        <v>818</v>
      </c>
      <c r="B114" s="51" t="s">
        <v>819</v>
      </c>
      <c r="C114" s="39">
        <v>43713</v>
      </c>
      <c r="D114" s="39">
        <v>43728</v>
      </c>
      <c r="E114" s="47">
        <f>D114-C114</f>
        <v>15</v>
      </c>
      <c r="F114" s="43" t="s">
        <v>820</v>
      </c>
      <c r="G114" s="44"/>
      <c r="H114" s="44"/>
      <c r="I114" s="44"/>
      <c r="J114" s="1"/>
      <c r="K114" s="1"/>
    </row>
    <row r="115" spans="1:13" ht="15.75" customHeight="1">
      <c r="A115" s="57" t="s">
        <v>2837</v>
      </c>
      <c r="B115" s="51" t="s">
        <v>850</v>
      </c>
      <c r="C115" s="39">
        <v>43726</v>
      </c>
      <c r="D115" s="39">
        <v>43741</v>
      </c>
      <c r="E115" s="47">
        <f>D115-C115</f>
        <v>15</v>
      </c>
      <c r="F115" s="45" t="s">
        <v>813</v>
      </c>
      <c r="G115" s="45" t="s">
        <v>512</v>
      </c>
      <c r="H115" s="45"/>
      <c r="I115" s="45"/>
      <c r="J115" s="42"/>
      <c r="K115" s="42"/>
    </row>
    <row r="116" spans="1:13" ht="15.75" customHeight="1">
      <c r="A116" s="37" t="s">
        <v>863</v>
      </c>
      <c r="B116" s="51" t="s">
        <v>864</v>
      </c>
      <c r="C116" s="39">
        <v>43731</v>
      </c>
      <c r="D116" s="39">
        <v>43746</v>
      </c>
      <c r="E116" s="47">
        <f>D116-C116</f>
        <v>15</v>
      </c>
      <c r="F116" s="48" t="s">
        <v>641</v>
      </c>
      <c r="G116" s="45"/>
      <c r="H116" s="45"/>
      <c r="I116" s="45"/>
      <c r="J116" s="42"/>
      <c r="K116" s="42"/>
    </row>
    <row r="117" spans="1:13" ht="15.75" customHeight="1">
      <c r="A117" s="42" t="s">
        <v>891</v>
      </c>
      <c r="B117" s="38" t="s">
        <v>892</v>
      </c>
      <c r="C117" s="39">
        <v>43758</v>
      </c>
      <c r="D117" s="39">
        <v>43773</v>
      </c>
      <c r="E117" s="47">
        <f>D117-C117</f>
        <v>15</v>
      </c>
      <c r="F117" s="46" t="s">
        <v>893</v>
      </c>
      <c r="G117" s="45" t="s">
        <v>33</v>
      </c>
      <c r="H117" s="45"/>
      <c r="I117" s="44"/>
      <c r="J117" s="1"/>
      <c r="K117" s="1"/>
    </row>
    <row r="118" spans="1:13" ht="15.75" customHeight="1">
      <c r="A118" s="65" t="s">
        <v>935</v>
      </c>
      <c r="B118" s="38" t="s">
        <v>936</v>
      </c>
      <c r="C118" s="39">
        <v>43796</v>
      </c>
      <c r="D118" s="39">
        <v>43811</v>
      </c>
      <c r="E118" s="47">
        <f>D118-C118</f>
        <v>15</v>
      </c>
      <c r="F118" s="43" t="s">
        <v>734</v>
      </c>
      <c r="G118" s="45"/>
      <c r="H118" s="45"/>
      <c r="I118" s="45"/>
      <c r="J118" s="42"/>
      <c r="K118" s="42"/>
      <c r="L118" s="42"/>
      <c r="M118" s="42"/>
    </row>
    <row r="119" spans="1:13" ht="15.75" customHeight="1">
      <c r="A119" s="42" t="s">
        <v>668</v>
      </c>
      <c r="B119" s="42" t="s">
        <v>669</v>
      </c>
      <c r="C119" s="39">
        <v>43808</v>
      </c>
      <c r="D119" s="39">
        <v>43823</v>
      </c>
      <c r="E119" s="47">
        <f>D119-C119</f>
        <v>15</v>
      </c>
      <c r="F119" s="43" t="s">
        <v>0</v>
      </c>
      <c r="G119" s="45" t="s">
        <v>33</v>
      </c>
      <c r="H119" s="45"/>
      <c r="I119" s="45"/>
      <c r="J119" s="42"/>
      <c r="K119" s="42"/>
      <c r="L119" s="42"/>
      <c r="M119" s="42"/>
    </row>
    <row r="120" spans="1:13" ht="15.75" customHeight="1">
      <c r="A120" s="38" t="s">
        <v>920</v>
      </c>
      <c r="B120" s="38" t="s">
        <v>920</v>
      </c>
      <c r="C120" s="39">
        <v>43921</v>
      </c>
      <c r="D120" s="40">
        <v>43936</v>
      </c>
      <c r="E120" s="41">
        <f>D120-C120</f>
        <v>15</v>
      </c>
      <c r="F120" s="43" t="s">
        <v>0</v>
      </c>
      <c r="G120" s="45"/>
      <c r="H120" s="45"/>
      <c r="I120" s="45"/>
      <c r="J120" s="37"/>
      <c r="K120" s="37"/>
      <c r="L120" s="37"/>
      <c r="M120" s="37"/>
    </row>
    <row r="121" spans="1:13" ht="15.75" customHeight="1">
      <c r="A121" s="37" t="s">
        <v>1155</v>
      </c>
      <c r="B121" s="42" t="s">
        <v>1156</v>
      </c>
      <c r="C121" s="39">
        <v>43924</v>
      </c>
      <c r="D121" s="40">
        <v>43939</v>
      </c>
      <c r="E121" s="41">
        <f>D121-C121</f>
        <v>15</v>
      </c>
      <c r="F121" s="43" t="s">
        <v>25</v>
      </c>
      <c r="G121" s="45"/>
      <c r="H121" s="45"/>
      <c r="I121" s="45"/>
      <c r="J121" s="37"/>
      <c r="K121" s="37"/>
      <c r="L121" s="37"/>
      <c r="M121" s="37"/>
    </row>
    <row r="122" spans="1:13" ht="15.75" customHeight="1">
      <c r="A122" s="82" t="s">
        <v>1719</v>
      </c>
      <c r="B122" s="82" t="s">
        <v>1720</v>
      </c>
      <c r="C122" s="79">
        <v>44359</v>
      </c>
      <c r="D122" s="80">
        <v>44374</v>
      </c>
      <c r="E122" s="41">
        <f>D122-C122</f>
        <v>15</v>
      </c>
      <c r="F122" s="43" t="s">
        <v>0</v>
      </c>
      <c r="G122" s="46"/>
      <c r="H122" s="46"/>
      <c r="I122" s="46"/>
      <c r="J122" s="77"/>
      <c r="K122" s="77"/>
      <c r="L122" s="77"/>
      <c r="M122" s="77"/>
    </row>
    <row r="123" spans="1:13" s="1" customFormat="1" ht="15.75" customHeight="1">
      <c r="A123" s="21" t="s">
        <v>1790</v>
      </c>
      <c r="B123" s="116" t="s">
        <v>1791</v>
      </c>
      <c r="C123" s="2">
        <v>44424</v>
      </c>
      <c r="D123" s="2">
        <v>44439</v>
      </c>
      <c r="E123" s="29">
        <f>D123-C123</f>
        <v>15</v>
      </c>
      <c r="F123" s="16" t="s">
        <v>0</v>
      </c>
      <c r="G123" s="27"/>
      <c r="H123" s="27"/>
      <c r="I123" s="27"/>
      <c r="J123" s="21"/>
      <c r="K123" s="21"/>
      <c r="L123" s="21"/>
      <c r="M123" s="21"/>
    </row>
    <row r="124" spans="1:13" ht="15.75" customHeight="1">
      <c r="A124" s="87" t="s">
        <v>2319</v>
      </c>
      <c r="B124" s="87" t="s">
        <v>2320</v>
      </c>
      <c r="C124" s="79">
        <v>44836</v>
      </c>
      <c r="D124" s="80">
        <v>44851</v>
      </c>
      <c r="E124" s="41">
        <f>D124-C124</f>
        <v>15</v>
      </c>
      <c r="F124" s="83" t="s">
        <v>2321</v>
      </c>
      <c r="G124" s="81"/>
      <c r="H124" s="83" t="s">
        <v>2</v>
      </c>
      <c r="I124" s="81"/>
      <c r="J124" s="87"/>
      <c r="K124" s="87"/>
      <c r="L124" s="87"/>
      <c r="M124" s="87"/>
    </row>
    <row r="125" spans="1:13" s="1" customFormat="1" ht="15.75" customHeight="1">
      <c r="A125" s="4" t="s">
        <v>710</v>
      </c>
      <c r="B125" s="31" t="s">
        <v>711</v>
      </c>
      <c r="C125" s="17">
        <v>43628</v>
      </c>
      <c r="D125" s="17">
        <v>43644</v>
      </c>
      <c r="E125" s="32">
        <f>D125-C125</f>
        <v>16</v>
      </c>
      <c r="F125" s="16" t="s">
        <v>54</v>
      </c>
      <c r="G125" s="44"/>
      <c r="H125" s="44"/>
      <c r="I125" s="44"/>
    </row>
    <row r="126" spans="1:13" s="1" customFormat="1" ht="15.75" customHeight="1">
      <c r="A126" s="13" t="s">
        <v>786</v>
      </c>
      <c r="B126" s="31" t="s">
        <v>787</v>
      </c>
      <c r="C126" s="17">
        <v>43685</v>
      </c>
      <c r="D126" s="17">
        <v>43701</v>
      </c>
      <c r="E126" s="32">
        <f>D126-C126</f>
        <v>16</v>
      </c>
      <c r="F126" s="16" t="s">
        <v>788</v>
      </c>
      <c r="G126" s="12" t="s">
        <v>1</v>
      </c>
      <c r="H126" s="12"/>
      <c r="I126" s="12"/>
      <c r="J126" s="10"/>
      <c r="K126" s="10"/>
    </row>
    <row r="127" spans="1:13" ht="15.75" customHeight="1">
      <c r="A127" s="57" t="s">
        <v>2838</v>
      </c>
      <c r="B127" s="51" t="s">
        <v>832</v>
      </c>
      <c r="C127" s="39">
        <v>43718</v>
      </c>
      <c r="D127" s="39">
        <v>43734</v>
      </c>
      <c r="E127" s="47">
        <f>D127-C127</f>
        <v>16</v>
      </c>
      <c r="F127" s="43" t="s">
        <v>0</v>
      </c>
      <c r="G127" s="55"/>
      <c r="H127" s="55"/>
      <c r="I127" s="55"/>
      <c r="J127" s="56"/>
      <c r="K127" s="56"/>
    </row>
    <row r="128" spans="1:13" s="182" customFormat="1" ht="15.75" customHeight="1">
      <c r="A128" s="181" t="s">
        <v>1023</v>
      </c>
      <c r="B128" s="181" t="s">
        <v>1024</v>
      </c>
      <c r="C128" s="177">
        <v>43863</v>
      </c>
      <c r="D128" s="186">
        <v>43879</v>
      </c>
      <c r="E128" s="187">
        <f>D128-C128</f>
        <v>16</v>
      </c>
      <c r="F128" s="179" t="s">
        <v>1017</v>
      </c>
      <c r="G128" s="180"/>
      <c r="H128" s="180"/>
      <c r="I128" s="180"/>
      <c r="J128" s="181"/>
      <c r="K128" s="181"/>
      <c r="L128" s="181"/>
      <c r="M128" s="181"/>
    </row>
    <row r="129" spans="1:13" s="182" customFormat="1" ht="15.75" customHeight="1">
      <c r="A129" s="234" t="s">
        <v>1551</v>
      </c>
      <c r="B129" s="234" t="s">
        <v>1552</v>
      </c>
      <c r="C129" s="177">
        <v>44241</v>
      </c>
      <c r="D129" s="186">
        <v>44257</v>
      </c>
      <c r="E129" s="187">
        <f>D129-C129</f>
        <v>16</v>
      </c>
      <c r="F129" s="179" t="s">
        <v>0</v>
      </c>
      <c r="G129" s="192"/>
      <c r="H129" s="192"/>
      <c r="I129" s="192"/>
      <c r="J129" s="193"/>
      <c r="K129" s="193"/>
      <c r="L129" s="193"/>
      <c r="M129" s="193"/>
    </row>
    <row r="130" spans="1:13" ht="15.75" customHeight="1">
      <c r="A130" s="75" t="s">
        <v>1703</v>
      </c>
      <c r="B130" s="75" t="s">
        <v>1704</v>
      </c>
      <c r="C130" s="39">
        <v>44351</v>
      </c>
      <c r="D130" s="40">
        <v>44367</v>
      </c>
      <c r="E130" s="41">
        <f>D130-C130</f>
        <v>16</v>
      </c>
      <c r="F130" s="43" t="s">
        <v>0</v>
      </c>
      <c r="G130" s="46"/>
      <c r="H130" s="46"/>
      <c r="I130" s="46"/>
      <c r="J130" s="77"/>
      <c r="K130" s="77"/>
      <c r="L130" s="77"/>
      <c r="M130" s="77"/>
    </row>
    <row r="131" spans="1:13" ht="15.75" customHeight="1">
      <c r="A131" s="82" t="s">
        <v>1958</v>
      </c>
      <c r="B131" s="82" t="s">
        <v>1959</v>
      </c>
      <c r="C131" s="79">
        <v>44547</v>
      </c>
      <c r="D131" s="80">
        <v>44563</v>
      </c>
      <c r="E131" s="41">
        <f>D131-C131</f>
        <v>16</v>
      </c>
      <c r="F131" s="83" t="s">
        <v>305</v>
      </c>
      <c r="G131" s="46"/>
      <c r="H131" s="81" t="s">
        <v>11</v>
      </c>
      <c r="I131" s="81" t="s">
        <v>125</v>
      </c>
      <c r="J131" s="77"/>
      <c r="K131" s="77"/>
      <c r="L131" s="77"/>
      <c r="M131" s="77"/>
    </row>
    <row r="132" spans="1:13" ht="15.75" customHeight="1">
      <c r="A132" s="77" t="s">
        <v>1978</v>
      </c>
      <c r="B132" s="82" t="s">
        <v>1979</v>
      </c>
      <c r="C132" s="79">
        <v>44555</v>
      </c>
      <c r="D132" s="80">
        <v>44571</v>
      </c>
      <c r="E132" s="41">
        <f>D132-C132</f>
        <v>16</v>
      </c>
      <c r="F132" s="48" t="s">
        <v>2839</v>
      </c>
      <c r="G132" s="46"/>
      <c r="H132" s="41" t="s">
        <v>2</v>
      </c>
      <c r="I132" s="46"/>
      <c r="J132" s="77"/>
      <c r="K132" s="76" t="s">
        <v>1981</v>
      </c>
      <c r="L132" s="77"/>
      <c r="M132" s="77"/>
    </row>
    <row r="133" spans="1:13" s="1" customFormat="1" ht="15.75" customHeight="1">
      <c r="A133" s="4" t="s">
        <v>2347</v>
      </c>
      <c r="B133" s="31" t="s">
        <v>2348</v>
      </c>
      <c r="C133" s="2">
        <v>44860</v>
      </c>
      <c r="D133" s="14">
        <v>44876</v>
      </c>
      <c r="E133" s="29">
        <f>D133-C133</f>
        <v>16</v>
      </c>
      <c r="F133" s="16" t="s">
        <v>0</v>
      </c>
      <c r="G133" s="12"/>
      <c r="H133" s="5" t="s">
        <v>2</v>
      </c>
      <c r="I133" s="27"/>
      <c r="J133" s="4"/>
      <c r="K133" s="7"/>
      <c r="L133" s="4"/>
      <c r="M133" s="4"/>
    </row>
    <row r="134" spans="1:13" ht="15.75" customHeight="1">
      <c r="A134" s="37" t="s">
        <v>557</v>
      </c>
      <c r="B134" s="38" t="s">
        <v>558</v>
      </c>
      <c r="C134" s="39">
        <v>43523</v>
      </c>
      <c r="D134" s="39">
        <v>43540</v>
      </c>
      <c r="E134" s="47">
        <f>D134-C134</f>
        <v>17</v>
      </c>
      <c r="F134" s="43" t="s">
        <v>0</v>
      </c>
      <c r="G134" s="45"/>
      <c r="H134" s="45"/>
      <c r="I134" s="45"/>
      <c r="J134" s="42"/>
      <c r="K134" s="42"/>
    </row>
    <row r="135" spans="1:13" s="1" customFormat="1" ht="15.75" customHeight="1">
      <c r="A135" s="10" t="s">
        <v>357</v>
      </c>
      <c r="B135" s="31" t="s">
        <v>586</v>
      </c>
      <c r="C135" s="17">
        <v>43544</v>
      </c>
      <c r="D135" s="17">
        <v>43561</v>
      </c>
      <c r="E135" s="32">
        <f>D135-C135</f>
        <v>17</v>
      </c>
      <c r="F135" s="16" t="s">
        <v>0</v>
      </c>
      <c r="G135" s="12"/>
      <c r="H135" s="12"/>
      <c r="I135" s="12"/>
      <c r="J135" s="10"/>
      <c r="K135" s="10"/>
    </row>
    <row r="136" spans="1:13" ht="15.75" customHeight="1">
      <c r="A136" s="42" t="s">
        <v>668</v>
      </c>
      <c r="B136" s="38" t="s">
        <v>669</v>
      </c>
      <c r="C136" s="39">
        <v>43587</v>
      </c>
      <c r="D136" s="39">
        <v>43604</v>
      </c>
      <c r="E136" s="47">
        <f>D136-C136</f>
        <v>17</v>
      </c>
      <c r="F136" s="43" t="s">
        <v>0</v>
      </c>
      <c r="G136" s="45"/>
      <c r="H136" s="45"/>
      <c r="I136" s="45"/>
      <c r="J136" s="42"/>
      <c r="K136" s="42"/>
    </row>
    <row r="137" spans="1:13" ht="15.75" customHeight="1">
      <c r="A137" s="42" t="s">
        <v>668</v>
      </c>
      <c r="B137" s="38" t="s">
        <v>669</v>
      </c>
      <c r="C137" s="39">
        <v>43970</v>
      </c>
      <c r="D137" s="40">
        <v>43987</v>
      </c>
      <c r="E137" s="41">
        <f>D137-C137</f>
        <v>17</v>
      </c>
      <c r="F137" s="43" t="s">
        <v>0</v>
      </c>
      <c r="G137" s="45"/>
      <c r="H137" s="45"/>
      <c r="I137" s="45"/>
      <c r="J137" s="37"/>
      <c r="K137" s="37"/>
      <c r="L137" s="37"/>
      <c r="M137" s="37"/>
    </row>
    <row r="138" spans="1:13" ht="15.75" customHeight="1">
      <c r="A138" s="75" t="s">
        <v>1518</v>
      </c>
      <c r="B138" s="75" t="s">
        <v>1518</v>
      </c>
      <c r="C138" s="39">
        <v>44200</v>
      </c>
      <c r="D138" s="40">
        <v>44217</v>
      </c>
      <c r="E138" s="41">
        <f>D138-C138</f>
        <v>17</v>
      </c>
      <c r="F138" s="45" t="s">
        <v>1117</v>
      </c>
      <c r="G138" s="75"/>
      <c r="H138" s="75"/>
      <c r="I138" s="46"/>
      <c r="J138" s="75"/>
      <c r="K138" s="75"/>
      <c r="L138" s="75"/>
      <c r="M138" s="75"/>
    </row>
    <row r="139" spans="1:13" s="164" customFormat="1" ht="15.75" customHeight="1">
      <c r="A139" s="189" t="s">
        <v>1618</v>
      </c>
      <c r="B139" s="189" t="s">
        <v>1619</v>
      </c>
      <c r="C139" s="169">
        <v>44298</v>
      </c>
      <c r="D139" s="170">
        <v>44315</v>
      </c>
      <c r="E139" s="160">
        <f>D139-C139</f>
        <v>17</v>
      </c>
      <c r="F139" s="165" t="s">
        <v>0</v>
      </c>
      <c r="G139" s="163"/>
      <c r="H139" s="163"/>
      <c r="I139" s="163"/>
      <c r="J139" s="156"/>
      <c r="K139" s="156"/>
      <c r="L139" s="156"/>
      <c r="M139" s="156"/>
    </row>
    <row r="140" spans="1:13" ht="15.75" customHeight="1">
      <c r="A140" s="82" t="s">
        <v>1694</v>
      </c>
      <c r="B140" s="82" t="s">
        <v>1695</v>
      </c>
      <c r="C140" s="79">
        <v>44345</v>
      </c>
      <c r="D140" s="80">
        <v>44362</v>
      </c>
      <c r="E140" s="41">
        <f>D140-C140</f>
        <v>17</v>
      </c>
      <c r="F140" s="83" t="s">
        <v>357</v>
      </c>
      <c r="G140" s="46"/>
      <c r="H140" s="46"/>
      <c r="I140" s="46"/>
      <c r="J140" s="77"/>
      <c r="K140" s="77"/>
      <c r="L140" s="77"/>
      <c r="M140" s="77"/>
    </row>
    <row r="141" spans="1:13" s="182" customFormat="1" ht="15.75" customHeight="1">
      <c r="A141" s="190" t="s">
        <v>1707</v>
      </c>
      <c r="B141" s="190" t="s">
        <v>1708</v>
      </c>
      <c r="C141" s="177">
        <v>44352</v>
      </c>
      <c r="D141" s="191">
        <v>44369</v>
      </c>
      <c r="E141" s="187">
        <f>D141-C141</f>
        <v>17</v>
      </c>
      <c r="F141" s="179" t="s">
        <v>0</v>
      </c>
      <c r="G141" s="192"/>
      <c r="H141" s="192"/>
      <c r="I141" s="192"/>
      <c r="J141" s="193"/>
      <c r="K141" s="193"/>
      <c r="L141" s="193"/>
      <c r="M141" s="193"/>
    </row>
    <row r="142" spans="1:13" s="1" customFormat="1" ht="15.75" customHeight="1">
      <c r="A142" s="10" t="s">
        <v>418</v>
      </c>
      <c r="B142" s="31" t="s">
        <v>419</v>
      </c>
      <c r="C142" s="17">
        <v>43368</v>
      </c>
      <c r="D142" s="17">
        <v>43386</v>
      </c>
      <c r="E142" s="29">
        <f>D142-C142</f>
        <v>18</v>
      </c>
      <c r="F142" s="44"/>
      <c r="G142" s="44"/>
      <c r="H142" s="44"/>
      <c r="I142" s="44"/>
    </row>
    <row r="143" spans="1:13" ht="15.75" customHeight="1">
      <c r="A143" s="42" t="s">
        <v>25</v>
      </c>
      <c r="B143" s="38" t="s">
        <v>504</v>
      </c>
      <c r="C143" s="39">
        <v>43619</v>
      </c>
      <c r="D143" s="39">
        <v>43637</v>
      </c>
      <c r="E143" s="47">
        <f>D143-C143</f>
        <v>18</v>
      </c>
      <c r="F143" s="45" t="s">
        <v>506</v>
      </c>
      <c r="G143" s="45" t="s">
        <v>37</v>
      </c>
      <c r="H143" s="45"/>
      <c r="I143" s="45"/>
      <c r="J143" s="42"/>
      <c r="K143" s="42"/>
    </row>
    <row r="144" spans="1:13" ht="15.75" customHeight="1">
      <c r="A144" s="42" t="s">
        <v>986</v>
      </c>
      <c r="B144" s="42" t="s">
        <v>987</v>
      </c>
      <c r="C144" s="39">
        <v>43835</v>
      </c>
      <c r="D144" s="40">
        <v>43853</v>
      </c>
      <c r="E144" s="41">
        <f>D144-C144</f>
        <v>18</v>
      </c>
      <c r="F144" s="48" t="s">
        <v>988</v>
      </c>
      <c r="G144" s="45"/>
      <c r="H144" s="45"/>
      <c r="I144" s="45"/>
      <c r="J144" s="42"/>
      <c r="K144" s="42"/>
      <c r="L144" s="42"/>
      <c r="M144" s="42"/>
    </row>
    <row r="145" spans="1:13" ht="15.75" customHeight="1">
      <c r="A145" s="37" t="s">
        <v>702</v>
      </c>
      <c r="B145" s="38" t="s">
        <v>905</v>
      </c>
      <c r="C145" s="39">
        <v>43839</v>
      </c>
      <c r="D145" s="39">
        <v>43857</v>
      </c>
      <c r="E145" s="47">
        <f>D145-C145</f>
        <v>18</v>
      </c>
      <c r="F145" s="43" t="s">
        <v>0</v>
      </c>
      <c r="G145" s="45" t="s">
        <v>33</v>
      </c>
      <c r="H145" s="45"/>
      <c r="I145" s="45"/>
      <c r="J145" s="42"/>
      <c r="K145" s="42"/>
      <c r="L145" s="42"/>
      <c r="M145" s="42"/>
    </row>
    <row r="146" spans="1:13" s="164" customFormat="1" ht="15.75" customHeight="1">
      <c r="A146" s="174" t="s">
        <v>1208</v>
      </c>
      <c r="B146" s="174" t="s">
        <v>1208</v>
      </c>
      <c r="C146" s="169">
        <v>43941</v>
      </c>
      <c r="D146" s="169">
        <v>43959</v>
      </c>
      <c r="E146" s="160">
        <f>D146-C146</f>
        <v>18</v>
      </c>
      <c r="F146" s="195" t="s">
        <v>174</v>
      </c>
      <c r="G146" s="173"/>
      <c r="H146" s="173"/>
      <c r="I146" s="173"/>
      <c r="J146" s="167"/>
      <c r="K146" s="167"/>
      <c r="L146" s="167"/>
      <c r="M146" s="167"/>
    </row>
    <row r="147" spans="1:13" s="1" customFormat="1" ht="15.75" customHeight="1">
      <c r="A147" s="4" t="s">
        <v>573</v>
      </c>
      <c r="B147" s="31" t="s">
        <v>629</v>
      </c>
      <c r="C147" s="17">
        <v>44006</v>
      </c>
      <c r="D147" s="17">
        <v>44024</v>
      </c>
      <c r="E147" s="32">
        <f>D147-C147</f>
        <v>18</v>
      </c>
      <c r="F147" s="16" t="s">
        <v>0</v>
      </c>
      <c r="G147" s="12" t="s">
        <v>26</v>
      </c>
      <c r="H147" s="27"/>
      <c r="I147" s="27"/>
      <c r="J147" s="4"/>
      <c r="K147" s="4"/>
      <c r="L147" s="4"/>
      <c r="M147" s="4"/>
    </row>
    <row r="148" spans="1:13" s="126" customFormat="1" ht="15.75" customHeight="1">
      <c r="A148" s="119" t="s">
        <v>1553</v>
      </c>
      <c r="B148" s="129" t="s">
        <v>1554</v>
      </c>
      <c r="C148" s="130">
        <v>44244</v>
      </c>
      <c r="D148" s="131">
        <v>44262</v>
      </c>
      <c r="E148" s="123">
        <f>D148-C148</f>
        <v>18</v>
      </c>
      <c r="F148" s="127" t="s">
        <v>0</v>
      </c>
      <c r="G148" s="125"/>
      <c r="H148" s="125"/>
      <c r="I148" s="125"/>
      <c r="J148" s="119"/>
      <c r="K148" s="119"/>
      <c r="L148" s="119"/>
      <c r="M148" s="119"/>
    </row>
    <row r="149" spans="1:13" s="126" customFormat="1" ht="15.75" customHeight="1">
      <c r="A149" s="155" t="s">
        <v>1637</v>
      </c>
      <c r="B149" s="134" t="s">
        <v>1638</v>
      </c>
      <c r="C149" s="130">
        <v>44308</v>
      </c>
      <c r="D149" s="131">
        <v>44326</v>
      </c>
      <c r="E149" s="123">
        <f>D149-C149</f>
        <v>18</v>
      </c>
      <c r="F149" s="127" t="s">
        <v>0</v>
      </c>
      <c r="G149" s="125"/>
      <c r="H149" s="125"/>
      <c r="I149" s="125"/>
      <c r="J149" s="119"/>
      <c r="K149" s="151"/>
      <c r="L149" s="119"/>
      <c r="M149" s="119"/>
    </row>
    <row r="150" spans="1:13" s="126" customFormat="1" ht="15.75" customHeight="1">
      <c r="A150" s="129" t="s">
        <v>1668</v>
      </c>
      <c r="B150" s="129" t="s">
        <v>1669</v>
      </c>
      <c r="C150" s="130">
        <v>44327</v>
      </c>
      <c r="D150" s="131">
        <v>44345</v>
      </c>
      <c r="E150" s="123">
        <f>D150-C150</f>
        <v>18</v>
      </c>
      <c r="F150" s="127" t="s">
        <v>0</v>
      </c>
      <c r="G150" s="125"/>
      <c r="H150" s="125"/>
      <c r="I150" s="125"/>
      <c r="J150" s="119"/>
      <c r="K150" s="119"/>
      <c r="L150" s="129" t="s">
        <v>1670</v>
      </c>
      <c r="M150" s="119"/>
    </row>
    <row r="151" spans="1:13" s="1" customFormat="1" ht="15.75" customHeight="1">
      <c r="A151" s="116" t="s">
        <v>1842</v>
      </c>
      <c r="B151" s="116" t="s">
        <v>1843</v>
      </c>
      <c r="C151" s="2">
        <v>44453</v>
      </c>
      <c r="D151" s="14">
        <v>44471</v>
      </c>
      <c r="E151" s="29">
        <f>D151-C151</f>
        <v>18</v>
      </c>
      <c r="F151" s="16" t="s">
        <v>0</v>
      </c>
      <c r="G151" s="27"/>
      <c r="H151" s="27"/>
      <c r="I151" s="27"/>
      <c r="J151" s="21"/>
      <c r="K151" s="21"/>
      <c r="L151" s="21"/>
      <c r="M151" s="21"/>
    </row>
    <row r="152" spans="1:13" ht="15.75" customHeight="1">
      <c r="A152" s="82" t="s">
        <v>1917</v>
      </c>
      <c r="B152" s="82" t="s">
        <v>1918</v>
      </c>
      <c r="C152" s="39">
        <v>44503</v>
      </c>
      <c r="D152" s="80">
        <v>44521</v>
      </c>
      <c r="E152" s="41">
        <f>D152-C152</f>
        <v>18</v>
      </c>
      <c r="F152" s="83" t="s">
        <v>196</v>
      </c>
      <c r="G152" s="46"/>
      <c r="H152" s="46"/>
      <c r="I152" s="46"/>
      <c r="J152" s="77"/>
      <c r="K152" s="77"/>
      <c r="L152" s="77"/>
      <c r="M152" s="77"/>
    </row>
    <row r="153" spans="1:13" s="164" customFormat="1" ht="15.75" customHeight="1">
      <c r="A153" s="157" t="s">
        <v>764</v>
      </c>
      <c r="B153" s="157" t="s">
        <v>2144</v>
      </c>
      <c r="C153" s="158">
        <v>44649</v>
      </c>
      <c r="D153" s="159">
        <v>44667</v>
      </c>
      <c r="E153" s="160">
        <f>D153-C153</f>
        <v>18</v>
      </c>
      <c r="F153" s="165" t="s">
        <v>0</v>
      </c>
      <c r="G153" s="162" t="s">
        <v>33</v>
      </c>
      <c r="H153" s="162" t="s">
        <v>11</v>
      </c>
      <c r="I153" s="163"/>
      <c r="J153" s="156"/>
      <c r="K153" s="156"/>
      <c r="L153" s="156"/>
      <c r="M153" s="156"/>
    </row>
    <row r="154" spans="1:13" ht="15.75" customHeight="1">
      <c r="A154" s="77" t="s">
        <v>1928</v>
      </c>
      <c r="B154" s="82" t="s">
        <v>2102</v>
      </c>
      <c r="C154" s="79">
        <v>44722</v>
      </c>
      <c r="D154" s="80">
        <v>44740</v>
      </c>
      <c r="E154" s="41">
        <f>D154-C154</f>
        <v>18</v>
      </c>
      <c r="F154" s="43" t="s">
        <v>0</v>
      </c>
      <c r="G154" s="81" t="s">
        <v>70</v>
      </c>
      <c r="H154" s="83" t="s">
        <v>11</v>
      </c>
      <c r="I154" s="81" t="s">
        <v>2103</v>
      </c>
      <c r="J154" s="77"/>
      <c r="K154" s="77"/>
      <c r="L154" s="77"/>
      <c r="M154" s="77"/>
    </row>
    <row r="155" spans="1:13" ht="15.75" customHeight="1">
      <c r="A155" s="87" t="s">
        <v>2247</v>
      </c>
      <c r="B155" s="87" t="s">
        <v>2248</v>
      </c>
      <c r="C155" s="79">
        <v>44774</v>
      </c>
      <c r="D155" s="80">
        <v>44792</v>
      </c>
      <c r="E155" s="41">
        <f>D155-C155</f>
        <v>18</v>
      </c>
      <c r="F155" s="43" t="s">
        <v>0</v>
      </c>
      <c r="G155" s="81"/>
      <c r="H155" s="83" t="s">
        <v>2</v>
      </c>
      <c r="I155" s="81" t="s">
        <v>21</v>
      </c>
      <c r="J155" s="87"/>
      <c r="K155" s="87"/>
      <c r="L155" s="87"/>
      <c r="M155" s="87"/>
    </row>
    <row r="156" spans="1:13" ht="15.75" customHeight="1">
      <c r="A156" s="37" t="s">
        <v>219</v>
      </c>
      <c r="B156" s="87" t="s">
        <v>2266</v>
      </c>
      <c r="C156" s="79">
        <v>44842</v>
      </c>
      <c r="D156" s="80">
        <v>44860</v>
      </c>
      <c r="E156" s="41">
        <f>D156-C156</f>
        <v>18</v>
      </c>
      <c r="F156" s="83" t="s">
        <v>2332</v>
      </c>
      <c r="G156" s="81" t="s">
        <v>2313</v>
      </c>
      <c r="H156" s="83" t="s">
        <v>2</v>
      </c>
      <c r="I156" s="81"/>
      <c r="J156" s="87"/>
      <c r="K156" s="76" t="s">
        <v>2267</v>
      </c>
      <c r="L156" s="87"/>
      <c r="M156" s="87"/>
    </row>
    <row r="157" spans="1:13" s="1" customFormat="1" ht="15.75" customHeight="1">
      <c r="A157" s="10" t="s">
        <v>403</v>
      </c>
      <c r="B157" s="31" t="s">
        <v>404</v>
      </c>
      <c r="C157" s="17">
        <v>43349</v>
      </c>
      <c r="D157" s="28">
        <v>43368</v>
      </c>
      <c r="E157" s="29">
        <f>D157-C157</f>
        <v>19</v>
      </c>
      <c r="F157" s="44"/>
      <c r="G157" s="44"/>
      <c r="H157" s="44"/>
      <c r="I157" s="44"/>
    </row>
    <row r="158" spans="1:13" s="1" customFormat="1" ht="15.75" customHeight="1">
      <c r="A158" s="4" t="s">
        <v>422</v>
      </c>
      <c r="B158" s="31" t="s">
        <v>423</v>
      </c>
      <c r="C158" s="17">
        <v>43369</v>
      </c>
      <c r="D158" s="17">
        <v>43388</v>
      </c>
      <c r="E158" s="29">
        <f>D158-C158</f>
        <v>19</v>
      </c>
      <c r="F158" s="44"/>
      <c r="G158" s="44"/>
      <c r="H158" s="44"/>
      <c r="I158" s="44"/>
    </row>
    <row r="159" spans="1:13" ht="15.75" customHeight="1">
      <c r="A159" s="37" t="s">
        <v>426</v>
      </c>
      <c r="B159" s="38" t="s">
        <v>427</v>
      </c>
      <c r="C159" s="39">
        <v>43404</v>
      </c>
      <c r="D159" s="39">
        <v>43423</v>
      </c>
      <c r="E159" s="41">
        <f>D159-C159</f>
        <v>19</v>
      </c>
      <c r="F159" s="43" t="s">
        <v>0</v>
      </c>
      <c r="G159" s="43" t="s">
        <v>43</v>
      </c>
      <c r="H159" s="43"/>
      <c r="I159" s="46" t="s">
        <v>455</v>
      </c>
      <c r="J159" s="1"/>
      <c r="K159" s="1"/>
    </row>
    <row r="160" spans="1:13" s="1" customFormat="1" ht="15.75" customHeight="1">
      <c r="A160" s="10" t="s">
        <v>593</v>
      </c>
      <c r="B160" s="31" t="s">
        <v>594</v>
      </c>
      <c r="C160" s="17">
        <v>43545</v>
      </c>
      <c r="D160" s="17">
        <v>43564</v>
      </c>
      <c r="E160" s="32">
        <f>D160-C160</f>
        <v>19</v>
      </c>
      <c r="F160" s="16" t="s">
        <v>0</v>
      </c>
      <c r="G160" s="12"/>
      <c r="H160" s="12"/>
      <c r="I160" s="12"/>
      <c r="J160" s="10"/>
      <c r="K160" s="10"/>
    </row>
    <row r="161" spans="1:13" s="1" customFormat="1" ht="15.75" customHeight="1">
      <c r="A161" s="4" t="s">
        <v>631</v>
      </c>
      <c r="B161" s="31" t="s">
        <v>632</v>
      </c>
      <c r="C161" s="17">
        <v>43569</v>
      </c>
      <c r="D161" s="17">
        <v>43588</v>
      </c>
      <c r="E161" s="32">
        <f>D161-C161</f>
        <v>19</v>
      </c>
      <c r="F161" s="27" t="s">
        <v>589</v>
      </c>
      <c r="G161" s="12"/>
      <c r="H161" s="12"/>
      <c r="I161" s="12"/>
      <c r="J161" s="10"/>
      <c r="K161" s="10"/>
    </row>
    <row r="162" spans="1:13" s="1" customFormat="1" ht="15.75" customHeight="1">
      <c r="A162" s="4" t="s">
        <v>821</v>
      </c>
      <c r="B162" s="31" t="s">
        <v>822</v>
      </c>
      <c r="C162" s="17">
        <v>43709</v>
      </c>
      <c r="D162" s="17">
        <v>43728</v>
      </c>
      <c r="E162" s="32">
        <f>D162-C162</f>
        <v>19</v>
      </c>
      <c r="F162" s="11" t="s">
        <v>624</v>
      </c>
      <c r="G162" s="12" t="s">
        <v>33</v>
      </c>
      <c r="H162" s="12"/>
      <c r="I162" s="12"/>
      <c r="J162" s="10"/>
      <c r="K162" s="10"/>
    </row>
    <row r="163" spans="1:13" ht="15.75" customHeight="1">
      <c r="A163" s="57" t="s">
        <v>840</v>
      </c>
      <c r="B163" s="51" t="s">
        <v>841</v>
      </c>
      <c r="C163" s="39">
        <v>43718</v>
      </c>
      <c r="D163" s="39">
        <v>43737</v>
      </c>
      <c r="E163" s="47">
        <f>D163-C163</f>
        <v>19</v>
      </c>
      <c r="F163" s="48" t="s">
        <v>2840</v>
      </c>
      <c r="G163" s="44"/>
      <c r="H163" s="44"/>
      <c r="I163" s="44"/>
      <c r="J163" s="1"/>
      <c r="K163" s="1"/>
    </row>
    <row r="164" spans="1:13" ht="15.75" customHeight="1">
      <c r="A164" s="57" t="s">
        <v>882</v>
      </c>
      <c r="B164" s="51" t="s">
        <v>883</v>
      </c>
      <c r="C164" s="39">
        <v>43752</v>
      </c>
      <c r="D164" s="39">
        <v>43771</v>
      </c>
      <c r="E164" s="47">
        <f>D164-C164</f>
        <v>19</v>
      </c>
      <c r="F164" s="43" t="s">
        <v>884</v>
      </c>
      <c r="G164" s="45"/>
      <c r="H164" s="45"/>
      <c r="I164" s="45"/>
      <c r="J164" s="42"/>
      <c r="K164" s="42"/>
    </row>
    <row r="165" spans="1:13" s="1" customFormat="1" ht="15.75" customHeight="1">
      <c r="A165" s="4" t="s">
        <v>1182</v>
      </c>
      <c r="B165" s="10" t="s">
        <v>1183</v>
      </c>
      <c r="C165" s="17">
        <v>43930</v>
      </c>
      <c r="D165" s="28">
        <v>43949</v>
      </c>
      <c r="E165" s="29">
        <f>D165-C165</f>
        <v>19</v>
      </c>
      <c r="F165" s="11" t="s">
        <v>174</v>
      </c>
      <c r="G165" s="12"/>
      <c r="H165" s="12"/>
      <c r="I165" s="12"/>
      <c r="J165" s="4"/>
      <c r="K165" s="4"/>
      <c r="L165" s="4"/>
      <c r="M165" s="4"/>
    </row>
    <row r="166" spans="1:13" s="1" customFormat="1" ht="15.75" customHeight="1">
      <c r="A166" s="10" t="s">
        <v>1355</v>
      </c>
      <c r="B166" s="10" t="s">
        <v>1356</v>
      </c>
      <c r="C166" s="17">
        <v>44046</v>
      </c>
      <c r="D166" s="28">
        <v>44065</v>
      </c>
      <c r="E166" s="29">
        <f>D166-C166</f>
        <v>19</v>
      </c>
      <c r="F166" s="16" t="s">
        <v>0</v>
      </c>
      <c r="G166" s="27"/>
      <c r="H166" s="27"/>
      <c r="I166" s="27"/>
      <c r="J166" s="4"/>
      <c r="K166" s="4"/>
      <c r="L166" s="4"/>
      <c r="M166" s="4"/>
    </row>
    <row r="167" spans="1:13" s="164" customFormat="1" ht="15.75" customHeight="1">
      <c r="A167" s="167" t="s">
        <v>1360</v>
      </c>
      <c r="B167" s="174" t="s">
        <v>1361</v>
      </c>
      <c r="C167" s="169">
        <v>44053</v>
      </c>
      <c r="D167" s="170">
        <v>44072</v>
      </c>
      <c r="E167" s="160">
        <f>D167-C167</f>
        <v>19</v>
      </c>
      <c r="F167" s="165" t="s">
        <v>0</v>
      </c>
      <c r="G167" s="163"/>
      <c r="H167" s="163"/>
      <c r="I167" s="163"/>
      <c r="J167" s="167"/>
      <c r="K167" s="167"/>
      <c r="L167" s="167"/>
      <c r="M167" s="167"/>
    </row>
    <row r="168" spans="1:13" s="1" customFormat="1" ht="15.75" customHeight="1">
      <c r="A168" s="21" t="s">
        <v>1586</v>
      </c>
      <c r="B168" s="18" t="s">
        <v>1587</v>
      </c>
      <c r="C168" s="17">
        <v>44269</v>
      </c>
      <c r="D168" s="17">
        <v>44288</v>
      </c>
      <c r="E168" s="29">
        <f>D168-C168</f>
        <v>19</v>
      </c>
      <c r="F168" s="12" t="s">
        <v>263</v>
      </c>
      <c r="G168" s="27"/>
      <c r="H168" s="27"/>
      <c r="I168" s="27"/>
      <c r="J168" s="21"/>
      <c r="K168" s="21"/>
      <c r="L168" s="21"/>
      <c r="M168" s="21"/>
    </row>
    <row r="169" spans="1:13" s="1" customFormat="1" ht="15.75" customHeight="1">
      <c r="A169" s="10" t="s">
        <v>2841</v>
      </c>
      <c r="B169" s="150" t="s">
        <v>387</v>
      </c>
      <c r="C169" s="17">
        <v>43452</v>
      </c>
      <c r="D169" s="17">
        <v>43472</v>
      </c>
      <c r="E169" s="32">
        <f>D169-C169</f>
        <v>20</v>
      </c>
      <c r="F169" s="16" t="s">
        <v>0</v>
      </c>
      <c r="G169" s="12" t="s">
        <v>43</v>
      </c>
      <c r="H169" s="10"/>
      <c r="I169" s="44"/>
    </row>
    <row r="170" spans="1:13" s="1" customFormat="1" ht="15.75" customHeight="1">
      <c r="A170" s="10" t="s">
        <v>808</v>
      </c>
      <c r="B170" s="31" t="s">
        <v>809</v>
      </c>
      <c r="C170" s="17">
        <v>43702</v>
      </c>
      <c r="D170" s="28">
        <v>43722</v>
      </c>
      <c r="E170" s="29">
        <f>D170-C170</f>
        <v>20</v>
      </c>
      <c r="F170" s="16" t="s">
        <v>810</v>
      </c>
      <c r="G170" s="12"/>
      <c r="H170" s="12"/>
      <c r="I170" s="12"/>
      <c r="J170" s="10"/>
      <c r="K170" s="10"/>
    </row>
    <row r="171" spans="1:13" s="1" customFormat="1" ht="15.75" customHeight="1">
      <c r="A171" s="13" t="s">
        <v>875</v>
      </c>
      <c r="B171" s="150" t="s">
        <v>876</v>
      </c>
      <c r="C171" s="17">
        <v>43744</v>
      </c>
      <c r="D171" s="17">
        <v>43764</v>
      </c>
      <c r="E171" s="32">
        <f>D171-C171</f>
        <v>20</v>
      </c>
      <c r="F171" s="11" t="s">
        <v>877</v>
      </c>
      <c r="G171" s="12"/>
      <c r="H171" s="12"/>
      <c r="I171" s="12"/>
      <c r="J171" s="10"/>
      <c r="K171" s="10"/>
    </row>
    <row r="172" spans="1:13" s="126" customFormat="1" ht="15.75" customHeight="1">
      <c r="A172" s="135" t="s">
        <v>1028</v>
      </c>
      <c r="B172" s="134" t="s">
        <v>1029</v>
      </c>
      <c r="C172" s="130">
        <v>43863</v>
      </c>
      <c r="D172" s="131">
        <v>43883</v>
      </c>
      <c r="E172" s="123">
        <f>D172-C172</f>
        <v>20</v>
      </c>
      <c r="F172" s="127" t="s">
        <v>0</v>
      </c>
      <c r="G172" s="133" t="s">
        <v>1030</v>
      </c>
      <c r="H172" s="133"/>
      <c r="I172" s="133"/>
      <c r="J172" s="134"/>
      <c r="K172" s="137" t="s">
        <v>1031</v>
      </c>
      <c r="L172" s="134"/>
      <c r="M172" s="134"/>
    </row>
    <row r="173" spans="1:13" s="126" customFormat="1" ht="15.75" customHeight="1">
      <c r="A173" s="135" t="s">
        <v>1040</v>
      </c>
      <c r="B173" s="134" t="s">
        <v>1041</v>
      </c>
      <c r="C173" s="130">
        <v>43870</v>
      </c>
      <c r="D173" s="131">
        <v>43890</v>
      </c>
      <c r="E173" s="123">
        <f>D173-C173</f>
        <v>20</v>
      </c>
      <c r="F173" s="127" t="s">
        <v>0</v>
      </c>
      <c r="G173" s="133" t="s">
        <v>70</v>
      </c>
      <c r="H173" s="133"/>
      <c r="I173" s="133"/>
      <c r="J173" s="134"/>
      <c r="K173" s="134"/>
      <c r="L173" s="134"/>
      <c r="M173" s="134"/>
    </row>
    <row r="174" spans="1:13" s="1" customFormat="1" ht="15.75" customHeight="1">
      <c r="A174" s="10" t="s">
        <v>1397</v>
      </c>
      <c r="B174" s="10" t="s">
        <v>1398</v>
      </c>
      <c r="C174" s="17">
        <v>44087</v>
      </c>
      <c r="D174" s="28">
        <v>44107</v>
      </c>
      <c r="E174" s="29">
        <f>D174-C174</f>
        <v>20</v>
      </c>
      <c r="F174" s="16" t="s">
        <v>0</v>
      </c>
      <c r="G174" s="27"/>
      <c r="H174" s="27"/>
      <c r="I174" s="27"/>
      <c r="J174" s="4"/>
      <c r="K174" s="4"/>
      <c r="L174" s="4"/>
      <c r="M174" s="4"/>
    </row>
    <row r="175" spans="1:13" ht="15.75" customHeight="1">
      <c r="A175" s="75" t="s">
        <v>1519</v>
      </c>
      <c r="B175" s="75" t="s">
        <v>1520</v>
      </c>
      <c r="C175" s="39">
        <v>44198</v>
      </c>
      <c r="D175" s="40">
        <v>44218</v>
      </c>
      <c r="E175" s="41">
        <f>D175-C175</f>
        <v>20</v>
      </c>
      <c r="F175" s="43" t="s">
        <v>0</v>
      </c>
      <c r="G175" s="46"/>
      <c r="H175" s="46"/>
      <c r="I175" s="46"/>
      <c r="J175" s="75"/>
      <c r="K175" s="75"/>
      <c r="L175" s="75"/>
      <c r="M175" s="75"/>
    </row>
    <row r="176" spans="1:13" s="1" customFormat="1" ht="15.75" customHeight="1">
      <c r="A176" s="21" t="s">
        <v>1596</v>
      </c>
      <c r="B176" s="18" t="s">
        <v>1597</v>
      </c>
      <c r="C176" s="17">
        <v>44273</v>
      </c>
      <c r="D176" s="28">
        <v>44293</v>
      </c>
      <c r="E176" s="29">
        <f>D176-C176</f>
        <v>20</v>
      </c>
      <c r="F176" s="27" t="s">
        <v>1598</v>
      </c>
      <c r="G176" s="27"/>
      <c r="H176" s="27"/>
      <c r="I176" s="27"/>
      <c r="J176" s="21"/>
      <c r="K176" s="21"/>
      <c r="L176" s="21"/>
      <c r="M176" s="21"/>
    </row>
    <row r="177" spans="1:13" s="164" customFormat="1" ht="15.75" customHeight="1">
      <c r="A177" s="157" t="s">
        <v>357</v>
      </c>
      <c r="B177" s="157" t="s">
        <v>1688</v>
      </c>
      <c r="C177" s="158">
        <v>44340</v>
      </c>
      <c r="D177" s="159">
        <v>44360</v>
      </c>
      <c r="E177" s="160">
        <f>D177-C177</f>
        <v>20</v>
      </c>
      <c r="F177" s="165" t="s">
        <v>0</v>
      </c>
      <c r="G177" s="163"/>
      <c r="H177" s="163"/>
      <c r="I177" s="163"/>
      <c r="J177" s="156"/>
      <c r="K177" s="156"/>
      <c r="L177" s="156"/>
      <c r="M177" s="156"/>
    </row>
    <row r="178" spans="1:13" ht="15.75" customHeight="1">
      <c r="A178" s="82" t="s">
        <v>1879</v>
      </c>
      <c r="B178" s="82" t="s">
        <v>1880</v>
      </c>
      <c r="C178" s="79">
        <v>44475</v>
      </c>
      <c r="D178" s="80">
        <v>44495</v>
      </c>
      <c r="E178" s="41">
        <f>D178-C178</f>
        <v>20</v>
      </c>
      <c r="F178" s="43" t="s">
        <v>0</v>
      </c>
      <c r="G178" s="46"/>
      <c r="H178" s="46"/>
      <c r="I178" s="46"/>
      <c r="J178" s="77"/>
      <c r="K178" s="77"/>
      <c r="L178" s="77"/>
      <c r="M178" s="77"/>
    </row>
    <row r="179" spans="1:13" s="126" customFormat="1" ht="15.75" customHeight="1">
      <c r="A179" s="119" t="s">
        <v>1881</v>
      </c>
      <c r="B179" s="120" t="s">
        <v>1882</v>
      </c>
      <c r="C179" s="121">
        <v>44476</v>
      </c>
      <c r="D179" s="122">
        <v>44496</v>
      </c>
      <c r="E179" s="123">
        <f>D179-C179</f>
        <v>20</v>
      </c>
      <c r="F179" s="124" t="s">
        <v>196</v>
      </c>
      <c r="G179" s="125"/>
      <c r="H179" s="125"/>
      <c r="I179" s="125"/>
      <c r="J179" s="119"/>
      <c r="K179" s="119"/>
      <c r="L179" s="119"/>
      <c r="M179" s="119"/>
    </row>
    <row r="180" spans="1:13" s="126" customFormat="1" ht="15.75" customHeight="1">
      <c r="A180" s="120" t="s">
        <v>1952</v>
      </c>
      <c r="B180" s="120" t="s">
        <v>1953</v>
      </c>
      <c r="C180" s="121">
        <v>44542</v>
      </c>
      <c r="D180" s="122">
        <v>44562</v>
      </c>
      <c r="E180" s="123">
        <f>D180-C180</f>
        <v>20</v>
      </c>
      <c r="F180" s="127" t="s">
        <v>0</v>
      </c>
      <c r="G180" s="125"/>
      <c r="H180" s="125"/>
      <c r="I180" s="128" t="s">
        <v>1954</v>
      </c>
      <c r="J180" s="119"/>
      <c r="K180" s="119"/>
      <c r="L180" s="119"/>
      <c r="M180" s="119"/>
    </row>
    <row r="181" spans="1:13" s="1" customFormat="1" ht="15.75" customHeight="1">
      <c r="A181" s="116" t="s">
        <v>2078</v>
      </c>
      <c r="B181" s="116" t="s">
        <v>2079</v>
      </c>
      <c r="C181" s="2">
        <v>44619</v>
      </c>
      <c r="D181" s="14">
        <v>44639</v>
      </c>
      <c r="E181" s="29">
        <f>D181-C181</f>
        <v>20</v>
      </c>
      <c r="F181" s="11" t="s">
        <v>1570</v>
      </c>
      <c r="G181" s="27"/>
      <c r="H181" s="5" t="s">
        <v>11</v>
      </c>
      <c r="I181" s="27"/>
      <c r="J181" s="21"/>
      <c r="K181" s="21"/>
      <c r="L181" s="21"/>
      <c r="M181" s="21"/>
    </row>
    <row r="182" spans="1:13" s="1" customFormat="1" ht="15.75" customHeight="1">
      <c r="A182" s="4" t="s">
        <v>420</v>
      </c>
      <c r="B182" s="31" t="s">
        <v>421</v>
      </c>
      <c r="C182" s="17">
        <v>43365</v>
      </c>
      <c r="D182" s="17">
        <v>43386</v>
      </c>
      <c r="E182" s="29">
        <f>D182-C182</f>
        <v>21</v>
      </c>
      <c r="F182" s="44"/>
      <c r="G182" s="44"/>
      <c r="H182" s="44"/>
      <c r="I182" s="44"/>
    </row>
    <row r="183" spans="1:13" s="1" customFormat="1" ht="15.75" customHeight="1">
      <c r="A183" s="13" t="s">
        <v>758</v>
      </c>
      <c r="B183" s="31" t="s">
        <v>759</v>
      </c>
      <c r="C183" s="17">
        <v>43673</v>
      </c>
      <c r="D183" s="17">
        <v>43694</v>
      </c>
      <c r="E183" s="32">
        <f>D183-C183</f>
        <v>21</v>
      </c>
      <c r="F183" s="11" t="s">
        <v>624</v>
      </c>
      <c r="G183" s="12"/>
      <c r="H183" s="12"/>
      <c r="I183" s="12"/>
      <c r="J183" s="10"/>
      <c r="K183" s="10"/>
    </row>
    <row r="184" spans="1:13" ht="15.75" customHeight="1">
      <c r="A184" s="37" t="s">
        <v>710</v>
      </c>
      <c r="B184" s="38" t="s">
        <v>711</v>
      </c>
      <c r="C184" s="39">
        <v>43754</v>
      </c>
      <c r="D184" s="39">
        <v>43775</v>
      </c>
      <c r="E184" s="47">
        <f>D184-C184</f>
        <v>21</v>
      </c>
      <c r="F184" s="43" t="s">
        <v>788</v>
      </c>
      <c r="G184" s="44"/>
      <c r="H184" s="44"/>
      <c r="I184" s="44"/>
      <c r="J184" s="1"/>
      <c r="K184" s="1"/>
    </row>
    <row r="185" spans="1:13" s="1" customFormat="1" ht="15.75" customHeight="1">
      <c r="A185" s="4" t="s">
        <v>959</v>
      </c>
      <c r="B185" s="10" t="s">
        <v>967</v>
      </c>
      <c r="C185" s="17">
        <v>43813</v>
      </c>
      <c r="D185" s="17">
        <v>43834</v>
      </c>
      <c r="E185" s="32">
        <f>D185-C185</f>
        <v>21</v>
      </c>
      <c r="F185" s="16" t="s">
        <v>825</v>
      </c>
      <c r="G185" s="12"/>
      <c r="H185" s="12"/>
      <c r="I185" s="12"/>
      <c r="J185" s="10"/>
      <c r="K185" s="10"/>
      <c r="L185" s="10"/>
      <c r="M185" s="10"/>
    </row>
    <row r="186" spans="1:13" s="126" customFormat="1" ht="15.75" customHeight="1">
      <c r="A186" s="134" t="s">
        <v>1124</v>
      </c>
      <c r="B186" s="134" t="s">
        <v>1125</v>
      </c>
      <c r="C186" s="130">
        <v>43906</v>
      </c>
      <c r="D186" s="131">
        <v>43927</v>
      </c>
      <c r="E186" s="123">
        <f>D186-C186</f>
        <v>21</v>
      </c>
      <c r="F186" s="125" t="s">
        <v>619</v>
      </c>
      <c r="G186" s="133" t="s">
        <v>26</v>
      </c>
      <c r="H186" s="133"/>
      <c r="I186" s="133"/>
      <c r="J186" s="135"/>
      <c r="K186" s="137" t="s">
        <v>1126</v>
      </c>
      <c r="L186" s="135"/>
      <c r="M186" s="135"/>
    </row>
    <row r="187" spans="1:13" s="126" customFormat="1" ht="15.75" customHeight="1">
      <c r="A187" s="134" t="s">
        <v>1236</v>
      </c>
      <c r="B187" s="134" t="s">
        <v>1237</v>
      </c>
      <c r="C187" s="130">
        <v>43953</v>
      </c>
      <c r="D187" s="131">
        <v>43974</v>
      </c>
      <c r="E187" s="123">
        <f>D187-C187</f>
        <v>21</v>
      </c>
      <c r="F187" s="132" t="s">
        <v>641</v>
      </c>
      <c r="G187" s="133" t="s">
        <v>33</v>
      </c>
      <c r="H187" s="133"/>
      <c r="I187" s="133"/>
      <c r="J187" s="135"/>
      <c r="K187" s="135"/>
      <c r="L187" s="135"/>
      <c r="M187" s="135"/>
    </row>
    <row r="188" spans="1:13" s="1" customFormat="1" ht="15.75" customHeight="1">
      <c r="A188" s="4" t="s">
        <v>1460</v>
      </c>
      <c r="B188" s="10" t="s">
        <v>1461</v>
      </c>
      <c r="C188" s="17">
        <v>44134</v>
      </c>
      <c r="D188" s="28">
        <v>44155</v>
      </c>
      <c r="E188" s="29">
        <f>D188-C188</f>
        <v>21</v>
      </c>
      <c r="F188" s="11" t="s">
        <v>1322</v>
      </c>
      <c r="G188" s="27"/>
      <c r="H188" s="27"/>
      <c r="I188" s="27"/>
      <c r="J188" s="4"/>
      <c r="K188" s="4"/>
      <c r="L188" s="4"/>
      <c r="M188" s="4"/>
    </row>
    <row r="189" spans="1:13" ht="15.75" customHeight="1">
      <c r="A189" s="75" t="s">
        <v>1635</v>
      </c>
      <c r="B189" s="75" t="s">
        <v>1636</v>
      </c>
      <c r="C189" s="39">
        <v>44304</v>
      </c>
      <c r="D189" s="40">
        <v>44325</v>
      </c>
      <c r="E189" s="41">
        <f>D189-C189</f>
        <v>21</v>
      </c>
      <c r="F189" s="43" t="s">
        <v>0</v>
      </c>
      <c r="G189" s="46"/>
      <c r="H189" s="46"/>
      <c r="I189" s="46"/>
      <c r="J189" s="77"/>
      <c r="K189" s="77"/>
      <c r="L189" s="77"/>
      <c r="M189" s="77"/>
    </row>
    <row r="190" spans="1:13" s="1" customFormat="1" ht="15.75" customHeight="1">
      <c r="A190" s="21" t="s">
        <v>1679</v>
      </c>
      <c r="B190" s="18" t="s">
        <v>1680</v>
      </c>
      <c r="C190" s="2">
        <v>44326</v>
      </c>
      <c r="D190" s="14">
        <v>44347</v>
      </c>
      <c r="E190" s="29">
        <f>D190-C190</f>
        <v>21</v>
      </c>
      <c r="F190" s="11" t="s">
        <v>174</v>
      </c>
      <c r="G190" s="27"/>
      <c r="H190" s="27"/>
      <c r="I190" s="27"/>
      <c r="J190" s="21"/>
      <c r="K190" s="21"/>
      <c r="L190" s="21"/>
      <c r="M190" s="21"/>
    </row>
    <row r="191" spans="1:13" s="1" customFormat="1" ht="15.75" customHeight="1">
      <c r="A191" s="116" t="s">
        <v>1731</v>
      </c>
      <c r="B191" s="116" t="s">
        <v>1731</v>
      </c>
      <c r="C191" s="2">
        <v>44360</v>
      </c>
      <c r="D191" s="2">
        <v>44381</v>
      </c>
      <c r="E191" s="29">
        <f>D191-C191</f>
        <v>21</v>
      </c>
      <c r="F191" s="27" t="s">
        <v>1732</v>
      </c>
      <c r="G191" s="27"/>
      <c r="H191" s="27"/>
      <c r="I191" s="27"/>
      <c r="J191" s="21"/>
      <c r="K191" s="21"/>
      <c r="L191" s="21"/>
      <c r="M191" s="21"/>
    </row>
    <row r="192" spans="1:13" s="126" customFormat="1" ht="15.75" customHeight="1">
      <c r="A192" s="119" t="s">
        <v>1741</v>
      </c>
      <c r="B192" s="134" t="s">
        <v>1742</v>
      </c>
      <c r="C192" s="121">
        <v>44366</v>
      </c>
      <c r="D192" s="122">
        <v>44387</v>
      </c>
      <c r="E192" s="123">
        <f>D192-C192</f>
        <v>21</v>
      </c>
      <c r="F192" s="127" t="s">
        <v>0</v>
      </c>
      <c r="G192" s="128" t="s">
        <v>1743</v>
      </c>
      <c r="H192" s="125"/>
      <c r="I192" s="125"/>
      <c r="J192" s="119"/>
      <c r="K192" s="119"/>
      <c r="L192" s="119"/>
      <c r="M192" s="119"/>
    </row>
    <row r="193" spans="1:13" s="1" customFormat="1" ht="15.75" customHeight="1">
      <c r="A193" s="21" t="s">
        <v>1794</v>
      </c>
      <c r="B193" s="116" t="s">
        <v>1795</v>
      </c>
      <c r="C193" s="2">
        <v>44419</v>
      </c>
      <c r="D193" s="14">
        <v>44440</v>
      </c>
      <c r="E193" s="29">
        <f>D193-C193</f>
        <v>21</v>
      </c>
      <c r="F193" s="11" t="s">
        <v>1796</v>
      </c>
      <c r="G193" s="27"/>
      <c r="H193" s="27"/>
      <c r="I193" s="27"/>
      <c r="J193" s="21"/>
      <c r="K193" s="21"/>
      <c r="L193" s="21"/>
      <c r="M193" s="21"/>
    </row>
    <row r="194" spans="1:13" s="1" customFormat="1" ht="15.75" customHeight="1">
      <c r="A194" s="21" t="s">
        <v>1815</v>
      </c>
      <c r="B194" s="116" t="s">
        <v>1816</v>
      </c>
      <c r="C194" s="2">
        <v>44429</v>
      </c>
      <c r="D194" s="14">
        <v>44450</v>
      </c>
      <c r="E194" s="29">
        <f>D194-C194</f>
        <v>21</v>
      </c>
      <c r="F194" s="44" t="s">
        <v>1817</v>
      </c>
      <c r="G194" s="27"/>
      <c r="H194" s="27"/>
      <c r="I194" s="27"/>
      <c r="J194" s="21"/>
      <c r="K194" s="21"/>
      <c r="L194" s="21"/>
      <c r="M194" s="21"/>
    </row>
    <row r="195" spans="1:13" s="164" customFormat="1" ht="15.75" customHeight="1">
      <c r="A195" s="156" t="s">
        <v>1912</v>
      </c>
      <c r="B195" s="157" t="s">
        <v>1913</v>
      </c>
      <c r="C195" s="158">
        <v>44493</v>
      </c>
      <c r="D195" s="159">
        <v>44514</v>
      </c>
      <c r="E195" s="160">
        <f>D195-C195</f>
        <v>21</v>
      </c>
      <c r="F195" s="161" t="s">
        <v>144</v>
      </c>
      <c r="G195" s="162" t="s">
        <v>942</v>
      </c>
      <c r="H195" s="163"/>
      <c r="I195" s="156"/>
      <c r="J195" s="156"/>
      <c r="K195" s="156"/>
      <c r="L195" s="156"/>
      <c r="M195" s="156"/>
    </row>
    <row r="196" spans="1:13" s="1" customFormat="1" ht="15.75" customHeight="1">
      <c r="A196" s="116" t="s">
        <v>2231</v>
      </c>
      <c r="B196" s="116" t="s">
        <v>2232</v>
      </c>
      <c r="C196" s="2">
        <v>44723</v>
      </c>
      <c r="D196" s="14">
        <v>44744</v>
      </c>
      <c r="E196" s="29">
        <f>D196-C196</f>
        <v>21</v>
      </c>
      <c r="F196" s="16" t="s">
        <v>0</v>
      </c>
      <c r="G196" s="44" t="s">
        <v>70</v>
      </c>
      <c r="H196" s="5" t="s">
        <v>2</v>
      </c>
      <c r="I196" s="27"/>
      <c r="J196" s="21"/>
      <c r="K196" s="21"/>
      <c r="L196" s="21"/>
      <c r="M196" s="21"/>
    </row>
    <row r="197" spans="1:13" s="1" customFormat="1" ht="15.75" customHeight="1">
      <c r="A197" s="1" t="s">
        <v>2277</v>
      </c>
      <c r="B197" s="1" t="s">
        <v>2278</v>
      </c>
      <c r="C197" s="2">
        <v>44783</v>
      </c>
      <c r="D197" s="14">
        <v>44804</v>
      </c>
      <c r="E197" s="29">
        <f>D197-C197</f>
        <v>21</v>
      </c>
      <c r="F197" s="16" t="s">
        <v>217</v>
      </c>
      <c r="G197" s="44"/>
      <c r="H197" s="5" t="s">
        <v>2</v>
      </c>
      <c r="I197" s="44"/>
    </row>
    <row r="198" spans="1:13" s="1" customFormat="1" ht="15.75" customHeight="1">
      <c r="A198" s="1" t="s">
        <v>2386</v>
      </c>
      <c r="B198" s="1" t="s">
        <v>2386</v>
      </c>
      <c r="C198" s="2">
        <v>44890</v>
      </c>
      <c r="D198" s="14">
        <v>44911</v>
      </c>
      <c r="E198" s="29">
        <f>D198-C198</f>
        <v>21</v>
      </c>
      <c r="F198" s="5" t="s">
        <v>2332</v>
      </c>
      <c r="G198" s="44"/>
      <c r="H198" s="5" t="s">
        <v>11</v>
      </c>
      <c r="I198" s="44"/>
    </row>
    <row r="199" spans="1:13" s="1" customFormat="1" ht="15.75" customHeight="1">
      <c r="A199" s="10" t="s">
        <v>595</v>
      </c>
      <c r="B199" s="31" t="s">
        <v>596</v>
      </c>
      <c r="C199" s="17">
        <v>43544</v>
      </c>
      <c r="D199" s="17">
        <v>43566</v>
      </c>
      <c r="E199" s="32">
        <f>D199-C199</f>
        <v>22</v>
      </c>
      <c r="F199" s="16" t="s">
        <v>0</v>
      </c>
      <c r="G199" s="12"/>
      <c r="H199" s="12"/>
      <c r="I199" s="12"/>
      <c r="J199" s="10"/>
      <c r="K199" s="10"/>
    </row>
    <row r="200" spans="1:13" ht="15.75" customHeight="1">
      <c r="A200" s="37" t="s">
        <v>490</v>
      </c>
      <c r="B200" s="38" t="s">
        <v>583</v>
      </c>
      <c r="C200" s="39">
        <v>43621</v>
      </c>
      <c r="D200" s="39">
        <v>43643</v>
      </c>
      <c r="E200" s="47">
        <f>D200-C200</f>
        <v>22</v>
      </c>
      <c r="F200" s="43" t="s">
        <v>707</v>
      </c>
      <c r="G200" s="45" t="s">
        <v>1</v>
      </c>
      <c r="H200" s="45"/>
      <c r="I200" s="45"/>
      <c r="J200" s="42"/>
      <c r="K200" s="42"/>
    </row>
    <row r="201" spans="1:13" s="1" customFormat="1" ht="15.75" customHeight="1">
      <c r="A201" s="10" t="s">
        <v>996</v>
      </c>
      <c r="B201" s="10" t="s">
        <v>997</v>
      </c>
      <c r="C201" s="17">
        <v>43834</v>
      </c>
      <c r="D201" s="17">
        <v>43856</v>
      </c>
      <c r="E201" s="32">
        <f>D201-C201</f>
        <v>22</v>
      </c>
      <c r="F201" s="11" t="s">
        <v>641</v>
      </c>
      <c r="G201" s="12" t="s">
        <v>995</v>
      </c>
      <c r="H201" s="12"/>
      <c r="I201" s="12"/>
      <c r="J201" s="10"/>
      <c r="K201" s="10"/>
      <c r="L201" s="10"/>
      <c r="M201" s="10"/>
    </row>
    <row r="202" spans="1:13" s="126" customFormat="1" ht="15.75" customHeight="1">
      <c r="A202" s="119" t="s">
        <v>1713</v>
      </c>
      <c r="B202" s="120" t="s">
        <v>1714</v>
      </c>
      <c r="C202" s="121">
        <v>44351</v>
      </c>
      <c r="D202" s="122">
        <v>44373</v>
      </c>
      <c r="E202" s="123">
        <f>D202-C202</f>
        <v>22</v>
      </c>
      <c r="F202" s="127" t="s">
        <v>0</v>
      </c>
      <c r="G202" s="128" t="s">
        <v>33</v>
      </c>
      <c r="H202" s="125"/>
      <c r="I202" s="125"/>
      <c r="J202" s="119"/>
      <c r="K202" s="119"/>
      <c r="L202" s="119"/>
      <c r="M202" s="119"/>
    </row>
    <row r="203" spans="1:13" s="1" customFormat="1" ht="15.75" customHeight="1">
      <c r="A203" s="116" t="s">
        <v>2037</v>
      </c>
      <c r="B203" s="116" t="s">
        <v>2038</v>
      </c>
      <c r="C203" s="2">
        <v>44586</v>
      </c>
      <c r="D203" s="14">
        <v>44608</v>
      </c>
      <c r="E203" s="29">
        <f>D203-C203</f>
        <v>22</v>
      </c>
      <c r="F203" s="16" t="s">
        <v>0</v>
      </c>
      <c r="G203" s="27"/>
      <c r="H203" s="5" t="s">
        <v>11</v>
      </c>
      <c r="I203" s="27"/>
      <c r="J203" s="21"/>
      <c r="K203" s="21"/>
      <c r="L203" s="116" t="s">
        <v>2039</v>
      </c>
      <c r="M203" s="21"/>
    </row>
    <row r="204" spans="1:13" s="1" customFormat="1" ht="15.75" customHeight="1">
      <c r="A204" s="4" t="s">
        <v>679</v>
      </c>
      <c r="B204" s="31" t="s">
        <v>680</v>
      </c>
      <c r="C204" s="17">
        <v>43594</v>
      </c>
      <c r="D204" s="17">
        <v>43617</v>
      </c>
      <c r="E204" s="32">
        <f>D204-C204</f>
        <v>23</v>
      </c>
      <c r="F204" s="16" t="s">
        <v>681</v>
      </c>
      <c r="G204" s="12"/>
      <c r="H204" s="12"/>
      <c r="I204" s="12"/>
      <c r="J204" s="10"/>
      <c r="K204" s="10"/>
    </row>
    <row r="205" spans="1:13" s="1" customFormat="1" ht="15.75" customHeight="1">
      <c r="A205" s="116" t="s">
        <v>2019</v>
      </c>
      <c r="B205" s="116" t="s">
        <v>2020</v>
      </c>
      <c r="C205" s="2">
        <v>44569</v>
      </c>
      <c r="D205" s="14">
        <v>44592</v>
      </c>
      <c r="E205" s="29">
        <f>D205-C205</f>
        <v>23</v>
      </c>
      <c r="F205" s="16" t="s">
        <v>0</v>
      </c>
      <c r="G205" s="27"/>
      <c r="H205" s="12" t="s">
        <v>2</v>
      </c>
      <c r="I205" s="27"/>
      <c r="J205" s="21"/>
      <c r="K205" s="21"/>
      <c r="L205" s="21"/>
      <c r="M205" s="21"/>
    </row>
    <row r="206" spans="1:13" s="1" customFormat="1" ht="15.75" customHeight="1">
      <c r="A206" s="21" t="s">
        <v>2076</v>
      </c>
      <c r="B206" s="116" t="s">
        <v>2077</v>
      </c>
      <c r="C206" s="2">
        <v>44611</v>
      </c>
      <c r="D206" s="14">
        <v>44634</v>
      </c>
      <c r="E206" s="29">
        <f>D206-C206</f>
        <v>23</v>
      </c>
      <c r="F206" s="5" t="s">
        <v>2023</v>
      </c>
      <c r="G206" s="27"/>
      <c r="H206" s="5" t="s">
        <v>11</v>
      </c>
      <c r="I206" s="44" t="s">
        <v>21</v>
      </c>
      <c r="J206" s="21"/>
      <c r="K206" s="21"/>
      <c r="L206" s="21"/>
      <c r="M206" s="21"/>
    </row>
    <row r="207" spans="1:13" s="1" customFormat="1" ht="15.75" customHeight="1">
      <c r="A207" s="1" t="s">
        <v>2324</v>
      </c>
      <c r="B207" s="1" t="s">
        <v>2325</v>
      </c>
      <c r="C207" s="17">
        <v>44832</v>
      </c>
      <c r="D207" s="14">
        <v>44855</v>
      </c>
      <c r="E207" s="29">
        <f>D207-C207</f>
        <v>23</v>
      </c>
      <c r="F207" s="16" t="s">
        <v>0</v>
      </c>
      <c r="G207" s="44"/>
      <c r="H207" s="5" t="s">
        <v>2</v>
      </c>
      <c r="I207" s="44"/>
    </row>
    <row r="208" spans="1:13" s="1" customFormat="1" ht="15.75" customHeight="1">
      <c r="A208" s="10" t="s">
        <v>488</v>
      </c>
      <c r="B208" s="31" t="s">
        <v>489</v>
      </c>
      <c r="C208" s="17">
        <v>43469</v>
      </c>
      <c r="D208" s="17">
        <v>43493</v>
      </c>
      <c r="E208" s="32">
        <f>D208-C208</f>
        <v>24</v>
      </c>
      <c r="F208" s="27" t="s">
        <v>490</v>
      </c>
      <c r="G208" s="12" t="s">
        <v>33</v>
      </c>
      <c r="H208" s="12"/>
      <c r="I208" s="12"/>
      <c r="J208" s="10"/>
      <c r="K208" s="10"/>
    </row>
    <row r="209" spans="1:13" s="1" customFormat="1" ht="15.75" customHeight="1">
      <c r="A209" s="10" t="s">
        <v>597</v>
      </c>
      <c r="B209" s="31" t="s">
        <v>598</v>
      </c>
      <c r="C209" s="17">
        <v>43544</v>
      </c>
      <c r="D209" s="17">
        <v>43568</v>
      </c>
      <c r="E209" s="32">
        <f>D209-C209</f>
        <v>24</v>
      </c>
      <c r="F209" s="16" t="s">
        <v>0</v>
      </c>
      <c r="G209" s="12" t="s">
        <v>33</v>
      </c>
      <c r="H209" s="12"/>
      <c r="I209" s="27" t="s">
        <v>455</v>
      </c>
      <c r="J209" s="10"/>
      <c r="K209" s="10"/>
    </row>
    <row r="210" spans="1:13" ht="15.75" customHeight="1">
      <c r="A210" s="37" t="s">
        <v>426</v>
      </c>
      <c r="B210" s="38" t="s">
        <v>427</v>
      </c>
      <c r="C210" s="39">
        <v>43577</v>
      </c>
      <c r="D210" s="39">
        <v>43601</v>
      </c>
      <c r="E210" s="47">
        <f>D210-C210</f>
        <v>24</v>
      </c>
      <c r="F210" s="43" t="s">
        <v>0</v>
      </c>
      <c r="G210" s="45"/>
      <c r="H210" s="45"/>
      <c r="I210" s="45"/>
      <c r="J210" s="42"/>
      <c r="K210" s="42"/>
    </row>
    <row r="211" spans="1:13" ht="15.75" customHeight="1">
      <c r="A211" s="42" t="s">
        <v>665</v>
      </c>
      <c r="B211" s="38" t="s">
        <v>666</v>
      </c>
      <c r="C211" s="39">
        <v>43782</v>
      </c>
      <c r="D211" s="39">
        <v>43806</v>
      </c>
      <c r="E211" s="47">
        <f>D211-C211</f>
        <v>24</v>
      </c>
      <c r="F211" s="43" t="s">
        <v>0</v>
      </c>
      <c r="G211" s="45"/>
      <c r="H211" s="45"/>
      <c r="I211" s="45"/>
      <c r="J211" s="42"/>
      <c r="K211" s="53" t="s">
        <v>667</v>
      </c>
    </row>
    <row r="212" spans="1:13" s="1" customFormat="1" ht="15.75" customHeight="1">
      <c r="A212" s="4" t="s">
        <v>1091</v>
      </c>
      <c r="B212" s="10" t="s">
        <v>1092</v>
      </c>
      <c r="C212" s="17">
        <v>43889</v>
      </c>
      <c r="D212" s="28">
        <v>43913</v>
      </c>
      <c r="E212" s="29">
        <f>D212-C212</f>
        <v>24</v>
      </c>
      <c r="F212" s="11" t="s">
        <v>1093</v>
      </c>
      <c r="G212" s="12"/>
      <c r="H212" s="12"/>
      <c r="I212" s="12"/>
      <c r="J212" s="10"/>
      <c r="K212" s="7" t="s">
        <v>1094</v>
      </c>
      <c r="L212" s="10"/>
      <c r="M212" s="10"/>
    </row>
    <row r="213" spans="1:13" ht="15.75" customHeight="1">
      <c r="A213" s="57" t="s">
        <v>1141</v>
      </c>
      <c r="B213" s="42" t="s">
        <v>884</v>
      </c>
      <c r="C213" s="39">
        <v>44222</v>
      </c>
      <c r="D213" s="39">
        <v>44246</v>
      </c>
      <c r="E213" s="47">
        <f>D213-C213</f>
        <v>24</v>
      </c>
      <c r="F213" s="45" t="s">
        <v>998</v>
      </c>
      <c r="G213" s="45" t="s">
        <v>1</v>
      </c>
      <c r="H213" s="46"/>
      <c r="I213" s="46"/>
      <c r="J213" s="37"/>
      <c r="K213" s="53" t="s">
        <v>1142</v>
      </c>
      <c r="L213" s="77"/>
      <c r="M213" s="77"/>
    </row>
    <row r="214" spans="1:13" s="126" customFormat="1" ht="15.75" customHeight="1">
      <c r="A214" s="129" t="s">
        <v>1561</v>
      </c>
      <c r="B214" s="129" t="s">
        <v>1562</v>
      </c>
      <c r="C214" s="130">
        <v>44244</v>
      </c>
      <c r="D214" s="131">
        <v>44268</v>
      </c>
      <c r="E214" s="123">
        <f>D214-C214</f>
        <v>24</v>
      </c>
      <c r="F214" s="132" t="s">
        <v>1322</v>
      </c>
      <c r="G214" s="133" t="s">
        <v>26</v>
      </c>
      <c r="H214" s="125"/>
      <c r="I214" s="125"/>
      <c r="J214" s="119"/>
      <c r="K214" s="119"/>
      <c r="L214" s="119"/>
      <c r="M214" s="119"/>
    </row>
    <row r="215" spans="1:13" s="126" customFormat="1" ht="15.75" customHeight="1">
      <c r="A215" s="119" t="s">
        <v>1671</v>
      </c>
      <c r="B215" s="129" t="s">
        <v>1672</v>
      </c>
      <c r="C215" s="130">
        <v>44321</v>
      </c>
      <c r="D215" s="131">
        <v>44345</v>
      </c>
      <c r="E215" s="123">
        <f>D215-C215</f>
        <v>24</v>
      </c>
      <c r="F215" s="132" t="s">
        <v>174</v>
      </c>
      <c r="G215" s="125"/>
      <c r="H215" s="125"/>
      <c r="I215" s="125"/>
      <c r="J215" s="119"/>
      <c r="K215" s="119"/>
      <c r="L215" s="119"/>
      <c r="M215" s="119"/>
    </row>
    <row r="216" spans="1:13" ht="15.75" customHeight="1">
      <c r="A216" s="42" t="s">
        <v>475</v>
      </c>
      <c r="B216" s="38" t="s">
        <v>476</v>
      </c>
      <c r="C216" s="79">
        <v>44742</v>
      </c>
      <c r="D216" s="80">
        <v>44766</v>
      </c>
      <c r="E216" s="41">
        <f>D216-C216</f>
        <v>24</v>
      </c>
      <c r="F216" s="43" t="s">
        <v>0</v>
      </c>
      <c r="G216" s="45" t="s">
        <v>33</v>
      </c>
      <c r="H216" s="47" t="s">
        <v>11</v>
      </c>
      <c r="I216" s="46"/>
      <c r="J216" s="37"/>
      <c r="K216" s="76" t="s">
        <v>2052</v>
      </c>
      <c r="L216" s="77"/>
      <c r="M216" s="77"/>
    </row>
    <row r="217" spans="1:13" s="1" customFormat="1" ht="15.75" customHeight="1">
      <c r="A217" s="116" t="s">
        <v>1896</v>
      </c>
      <c r="B217" s="116" t="s">
        <v>1896</v>
      </c>
      <c r="C217" s="2">
        <v>44475</v>
      </c>
      <c r="D217" s="14">
        <v>44500</v>
      </c>
      <c r="E217" s="29">
        <f>D217-C217</f>
        <v>25</v>
      </c>
      <c r="F217" s="5" t="s">
        <v>196</v>
      </c>
      <c r="G217" s="27"/>
      <c r="H217" s="27"/>
      <c r="I217" s="27"/>
      <c r="J217" s="21"/>
      <c r="K217" s="21"/>
      <c r="L217" s="21"/>
      <c r="M217" s="21"/>
    </row>
    <row r="218" spans="1:13" ht="15.75" customHeight="1">
      <c r="A218" s="37" t="s">
        <v>1457</v>
      </c>
      <c r="B218" s="42" t="s">
        <v>1458</v>
      </c>
      <c r="C218" s="39">
        <v>44610</v>
      </c>
      <c r="D218" s="40">
        <v>44635</v>
      </c>
      <c r="E218" s="41">
        <f>D218-C218</f>
        <v>25</v>
      </c>
      <c r="F218" s="43" t="s">
        <v>0</v>
      </c>
      <c r="G218" s="81" t="s">
        <v>70</v>
      </c>
      <c r="H218" s="45" t="s">
        <v>11</v>
      </c>
      <c r="I218" s="45" t="s">
        <v>1450</v>
      </c>
      <c r="J218" s="37"/>
      <c r="K218" s="37"/>
      <c r="L218" s="42" t="s">
        <v>1459</v>
      </c>
      <c r="M218" s="37"/>
    </row>
    <row r="219" spans="1:13" s="126" customFormat="1" ht="15.75" customHeight="1">
      <c r="A219" s="119" t="s">
        <v>2117</v>
      </c>
      <c r="B219" s="120" t="s">
        <v>2118</v>
      </c>
      <c r="C219" s="121">
        <v>44628</v>
      </c>
      <c r="D219" s="122">
        <v>44653</v>
      </c>
      <c r="E219" s="123">
        <f>D219-C219</f>
        <v>25</v>
      </c>
      <c r="F219" s="127" t="s">
        <v>0</v>
      </c>
      <c r="G219" s="125"/>
      <c r="H219" s="133" t="s">
        <v>2</v>
      </c>
      <c r="I219" s="125"/>
      <c r="J219" s="119"/>
      <c r="K219" s="119"/>
      <c r="L219" s="119"/>
      <c r="M219" s="119"/>
    </row>
    <row r="220" spans="1:13" ht="15.75" customHeight="1">
      <c r="A220" s="77" t="s">
        <v>2162</v>
      </c>
      <c r="B220" s="82" t="s">
        <v>2163</v>
      </c>
      <c r="C220" s="79">
        <v>44649</v>
      </c>
      <c r="D220" s="79">
        <v>44674</v>
      </c>
      <c r="E220" s="41">
        <f>D220-C220</f>
        <v>25</v>
      </c>
      <c r="F220" s="43" t="s">
        <v>0</v>
      </c>
      <c r="G220" s="46"/>
      <c r="H220" s="83" t="s">
        <v>2</v>
      </c>
      <c r="I220" s="46"/>
      <c r="J220" s="77"/>
      <c r="K220" s="77"/>
      <c r="L220" s="77"/>
      <c r="M220" s="77"/>
    </row>
    <row r="221" spans="1:13" ht="15.75" customHeight="1">
      <c r="A221" s="37" t="s">
        <v>550</v>
      </c>
      <c r="B221" s="38" t="s">
        <v>551</v>
      </c>
      <c r="C221" s="39">
        <v>43509</v>
      </c>
      <c r="D221" s="39">
        <v>43535</v>
      </c>
      <c r="E221" s="47">
        <f>D221-C221</f>
        <v>26</v>
      </c>
      <c r="F221" s="43" t="s">
        <v>524</v>
      </c>
      <c r="G221" s="45"/>
      <c r="H221" s="45"/>
      <c r="I221" s="45"/>
      <c r="J221" s="42"/>
      <c r="K221" s="42"/>
    </row>
    <row r="222" spans="1:13" s="1" customFormat="1" ht="15.75" customHeight="1">
      <c r="A222" s="4" t="s">
        <v>587</v>
      </c>
      <c r="B222" s="31" t="s">
        <v>588</v>
      </c>
      <c r="C222" s="17">
        <v>43535</v>
      </c>
      <c r="D222" s="17">
        <v>43561</v>
      </c>
      <c r="E222" s="32">
        <f>D222-C222</f>
        <v>26</v>
      </c>
      <c r="F222" s="11" t="s">
        <v>589</v>
      </c>
      <c r="G222" s="12" t="s">
        <v>33</v>
      </c>
      <c r="H222" s="12"/>
      <c r="I222" s="12"/>
      <c r="J222" s="10"/>
      <c r="K222" s="10"/>
    </row>
    <row r="223" spans="1:13" s="1" customFormat="1" ht="15.75" customHeight="1">
      <c r="A223" s="10" t="s">
        <v>682</v>
      </c>
      <c r="B223" s="31" t="s">
        <v>683</v>
      </c>
      <c r="C223" s="17">
        <v>43591</v>
      </c>
      <c r="D223" s="17">
        <v>43617</v>
      </c>
      <c r="E223" s="32">
        <f>D223-C223</f>
        <v>26</v>
      </c>
      <c r="F223" s="16" t="s">
        <v>54</v>
      </c>
      <c r="G223" s="12"/>
      <c r="H223" s="12"/>
      <c r="I223" s="12"/>
      <c r="J223" s="10"/>
      <c r="K223" s="10"/>
    </row>
    <row r="224" spans="1:13" ht="15.75" customHeight="1">
      <c r="A224" s="42" t="s">
        <v>506</v>
      </c>
      <c r="B224" s="38" t="s">
        <v>507</v>
      </c>
      <c r="C224" s="39">
        <v>43619</v>
      </c>
      <c r="D224" s="39">
        <v>43645</v>
      </c>
      <c r="E224" s="47">
        <f>D224-C224</f>
        <v>26</v>
      </c>
      <c r="F224" s="43" t="s">
        <v>0</v>
      </c>
      <c r="G224" s="45" t="s">
        <v>26</v>
      </c>
      <c r="H224" s="45"/>
      <c r="I224" s="44"/>
      <c r="J224" s="1"/>
      <c r="K224" s="1"/>
    </row>
    <row r="225" spans="1:13" ht="15.75" customHeight="1">
      <c r="A225" s="57" t="s">
        <v>789</v>
      </c>
      <c r="B225" s="52" t="s">
        <v>790</v>
      </c>
      <c r="C225" s="39">
        <v>43797</v>
      </c>
      <c r="D225" s="39">
        <v>43823</v>
      </c>
      <c r="E225" s="47">
        <f>D225-C225</f>
        <v>26</v>
      </c>
      <c r="F225" s="43" t="s">
        <v>0</v>
      </c>
      <c r="G225" s="45"/>
      <c r="H225" s="45"/>
      <c r="I225" s="45"/>
      <c r="J225" s="42"/>
      <c r="K225" s="42"/>
      <c r="L225" s="42"/>
      <c r="M225" s="42"/>
    </row>
    <row r="226" spans="1:13" s="1" customFormat="1" ht="15.75" customHeight="1">
      <c r="A226" s="4" t="s">
        <v>1004</v>
      </c>
      <c r="B226" s="10" t="s">
        <v>1005</v>
      </c>
      <c r="C226" s="17">
        <v>43836</v>
      </c>
      <c r="D226" s="28">
        <v>43862</v>
      </c>
      <c r="E226" s="29">
        <f>D226-C226</f>
        <v>26</v>
      </c>
      <c r="F226" s="16" t="s">
        <v>1006</v>
      </c>
      <c r="G226" s="12"/>
      <c r="H226" s="12"/>
      <c r="I226" s="12"/>
      <c r="J226" s="10"/>
      <c r="K226" s="10"/>
      <c r="L226" s="10"/>
      <c r="M226" s="10"/>
    </row>
    <row r="227" spans="1:13" s="1" customFormat="1" ht="15.75" customHeight="1">
      <c r="A227" s="10" t="s">
        <v>1059</v>
      </c>
      <c r="B227" s="10" t="s">
        <v>1060</v>
      </c>
      <c r="C227" s="17">
        <v>43906</v>
      </c>
      <c r="D227" s="17">
        <v>43932</v>
      </c>
      <c r="E227" s="32">
        <f>D227-C227</f>
        <v>26</v>
      </c>
      <c r="F227" s="16" t="s">
        <v>0</v>
      </c>
      <c r="G227" s="12"/>
      <c r="H227" s="12"/>
      <c r="I227" s="12"/>
      <c r="J227" s="4"/>
      <c r="K227" s="10" t="s">
        <v>1061</v>
      </c>
      <c r="L227" s="4"/>
      <c r="M227" s="4"/>
    </row>
    <row r="228" spans="1:13" s="1" customFormat="1" ht="15.75" customHeight="1">
      <c r="A228" s="10" t="s">
        <v>1130</v>
      </c>
      <c r="B228" s="10" t="s">
        <v>1131</v>
      </c>
      <c r="C228" s="17">
        <v>43906</v>
      </c>
      <c r="D228" s="17">
        <v>43932</v>
      </c>
      <c r="E228" s="32">
        <f>D228-C228</f>
        <v>26</v>
      </c>
      <c r="F228" s="16" t="s">
        <v>0</v>
      </c>
      <c r="G228" s="12" t="s">
        <v>628</v>
      </c>
      <c r="H228" s="12"/>
      <c r="I228" s="12"/>
      <c r="J228" s="4"/>
      <c r="K228" s="7" t="s">
        <v>1132</v>
      </c>
      <c r="L228" s="10" t="s">
        <v>1133</v>
      </c>
      <c r="M228" s="4"/>
    </row>
    <row r="229" spans="1:13" ht="15.75" customHeight="1">
      <c r="A229" s="37" t="s">
        <v>1157</v>
      </c>
      <c r="B229" s="42" t="s">
        <v>1158</v>
      </c>
      <c r="C229" s="39">
        <v>43913</v>
      </c>
      <c r="D229" s="40">
        <v>43939</v>
      </c>
      <c r="E229" s="41">
        <f>D229-C229</f>
        <v>26</v>
      </c>
      <c r="F229" s="43" t="s">
        <v>0</v>
      </c>
      <c r="G229" s="45"/>
      <c r="H229" s="45"/>
      <c r="I229" s="45"/>
      <c r="J229" s="37"/>
      <c r="K229" s="37"/>
      <c r="L229" s="37"/>
      <c r="M229" s="37"/>
    </row>
    <row r="230" spans="1:13" ht="15.75" customHeight="1">
      <c r="A230" s="37" t="s">
        <v>639</v>
      </c>
      <c r="B230" s="38" t="s">
        <v>640</v>
      </c>
      <c r="C230" s="39">
        <v>43966</v>
      </c>
      <c r="D230" s="40">
        <v>43992</v>
      </c>
      <c r="E230" s="41">
        <f>D230-C230</f>
        <v>26</v>
      </c>
      <c r="F230" s="43" t="s">
        <v>0</v>
      </c>
      <c r="G230" s="45" t="s">
        <v>487</v>
      </c>
      <c r="H230" s="45"/>
      <c r="I230" s="45"/>
      <c r="J230" s="37"/>
      <c r="K230" s="37"/>
      <c r="L230" s="37"/>
      <c r="M230" s="37"/>
    </row>
    <row r="231" spans="1:13" s="1" customFormat="1" ht="15.75" customHeight="1">
      <c r="A231" s="116" t="s">
        <v>1997</v>
      </c>
      <c r="B231" s="116" t="s">
        <v>1998</v>
      </c>
      <c r="C231" s="2">
        <v>44561</v>
      </c>
      <c r="D231" s="14">
        <v>44587</v>
      </c>
      <c r="E231" s="29">
        <f>D231-C231</f>
        <v>26</v>
      </c>
      <c r="F231" s="5" t="s">
        <v>196</v>
      </c>
      <c r="G231" s="21"/>
      <c r="H231" s="5" t="s">
        <v>2</v>
      </c>
      <c r="I231" s="44" t="s">
        <v>21</v>
      </c>
      <c r="J231" s="21"/>
      <c r="K231" s="21"/>
      <c r="L231" s="21"/>
      <c r="M231" s="21"/>
    </row>
    <row r="232" spans="1:13" s="1" customFormat="1" ht="15.75" customHeight="1">
      <c r="A232" s="21" t="s">
        <v>2006</v>
      </c>
      <c r="B232" s="116" t="s">
        <v>2007</v>
      </c>
      <c r="C232" s="2">
        <v>44563</v>
      </c>
      <c r="D232" s="14">
        <v>44589</v>
      </c>
      <c r="E232" s="29">
        <f>D232-C232</f>
        <v>26</v>
      </c>
      <c r="F232" s="5" t="s">
        <v>205</v>
      </c>
      <c r="G232" s="27"/>
      <c r="H232" s="29" t="s">
        <v>11</v>
      </c>
      <c r="I232" s="27"/>
      <c r="J232" s="21"/>
      <c r="K232" s="21"/>
      <c r="L232" s="21"/>
      <c r="M232" s="21"/>
    </row>
    <row r="233" spans="1:13" s="126" customFormat="1" ht="15.75" customHeight="1">
      <c r="A233" s="120" t="s">
        <v>2008</v>
      </c>
      <c r="B233" s="120" t="s">
        <v>2009</v>
      </c>
      <c r="C233" s="130">
        <v>44564</v>
      </c>
      <c r="D233" s="130">
        <v>44590</v>
      </c>
      <c r="E233" s="123">
        <f>D233-C233</f>
        <v>26</v>
      </c>
      <c r="F233" s="127" t="s">
        <v>0</v>
      </c>
      <c r="G233" s="125"/>
      <c r="H233" s="124" t="s">
        <v>2</v>
      </c>
      <c r="I233" s="125"/>
      <c r="J233" s="119"/>
      <c r="K233" s="151" t="s">
        <v>2010</v>
      </c>
      <c r="L233" s="119"/>
      <c r="M233" s="119"/>
    </row>
    <row r="234" spans="1:13" s="1" customFormat="1" ht="15.75" customHeight="1">
      <c r="A234" s="10" t="s">
        <v>721</v>
      </c>
      <c r="B234" s="31" t="s">
        <v>722</v>
      </c>
      <c r="C234" s="17">
        <v>43632</v>
      </c>
      <c r="D234" s="17">
        <v>43659</v>
      </c>
      <c r="E234" s="32">
        <f>D234-C234</f>
        <v>27</v>
      </c>
      <c r="F234" s="12" t="s">
        <v>723</v>
      </c>
      <c r="G234" s="12" t="s">
        <v>26</v>
      </c>
      <c r="H234" s="12"/>
      <c r="I234" s="12"/>
      <c r="J234" s="10"/>
      <c r="K234" s="10"/>
    </row>
    <row r="235" spans="1:13" s="1" customFormat="1" ht="15.75" customHeight="1">
      <c r="A235" s="4" t="s">
        <v>806</v>
      </c>
      <c r="B235" s="31" t="s">
        <v>807</v>
      </c>
      <c r="C235" s="17">
        <v>43688</v>
      </c>
      <c r="D235" s="17">
        <v>43715</v>
      </c>
      <c r="E235" s="32">
        <f>D235-C235</f>
        <v>27</v>
      </c>
      <c r="F235" s="16" t="s">
        <v>54</v>
      </c>
      <c r="G235" s="12"/>
      <c r="H235" s="12"/>
      <c r="I235" s="12"/>
      <c r="J235" s="10"/>
      <c r="K235" s="10"/>
    </row>
    <row r="236" spans="1:13" s="126" customFormat="1" ht="15.75" customHeight="1">
      <c r="A236" s="135" t="s">
        <v>1063</v>
      </c>
      <c r="B236" s="134" t="s">
        <v>1064</v>
      </c>
      <c r="C236" s="130">
        <v>43872</v>
      </c>
      <c r="D236" s="131">
        <v>43899</v>
      </c>
      <c r="E236" s="136">
        <f>D236-C236</f>
        <v>27</v>
      </c>
      <c r="F236" s="127" t="s">
        <v>0</v>
      </c>
      <c r="G236" s="133"/>
      <c r="H236" s="133"/>
      <c r="I236" s="133"/>
      <c r="J236" s="134"/>
      <c r="K236" s="134"/>
      <c r="L236" s="134"/>
      <c r="M236" s="134"/>
    </row>
    <row r="237" spans="1:13" ht="15.75" customHeight="1">
      <c r="A237" s="37" t="s">
        <v>988</v>
      </c>
      <c r="B237" s="42" t="s">
        <v>1085</v>
      </c>
      <c r="C237" s="39">
        <v>43918</v>
      </c>
      <c r="D237" s="40">
        <v>43945</v>
      </c>
      <c r="E237" s="41">
        <f>D237-C237</f>
        <v>27</v>
      </c>
      <c r="F237" s="43" t="s">
        <v>0</v>
      </c>
      <c r="G237" s="45"/>
      <c r="H237" s="45"/>
      <c r="I237" s="45"/>
      <c r="J237" s="37"/>
      <c r="K237" s="53" t="s">
        <v>1086</v>
      </c>
      <c r="L237" s="37"/>
      <c r="M237" s="37"/>
    </row>
    <row r="238" spans="1:13" s="1" customFormat="1" ht="15.75" customHeight="1">
      <c r="A238" s="4" t="s">
        <v>1295</v>
      </c>
      <c r="B238" s="10" t="s">
        <v>1296</v>
      </c>
      <c r="C238" s="17">
        <v>43982</v>
      </c>
      <c r="D238" s="28">
        <v>44009</v>
      </c>
      <c r="E238" s="29">
        <f>D238-C238</f>
        <v>27</v>
      </c>
      <c r="F238" s="16" t="s">
        <v>0</v>
      </c>
      <c r="G238" s="12" t="s">
        <v>1297</v>
      </c>
      <c r="H238" s="27"/>
      <c r="I238" s="27"/>
      <c r="J238" s="4"/>
      <c r="K238" s="4"/>
      <c r="L238" s="4"/>
      <c r="M238" s="4"/>
    </row>
    <row r="239" spans="1:13" ht="15.75" customHeight="1">
      <c r="A239" s="42" t="s">
        <v>1275</v>
      </c>
      <c r="B239" s="42" t="s">
        <v>1276</v>
      </c>
      <c r="C239" s="39">
        <v>44069</v>
      </c>
      <c r="D239" s="40">
        <v>44096</v>
      </c>
      <c r="E239" s="41">
        <f>D239-C239</f>
        <v>27</v>
      </c>
      <c r="F239" s="43" t="s">
        <v>0</v>
      </c>
      <c r="G239" s="46"/>
      <c r="H239" s="46"/>
      <c r="I239" s="46"/>
      <c r="J239" s="37"/>
      <c r="K239" s="53"/>
      <c r="L239" s="37"/>
      <c r="M239" s="37"/>
    </row>
    <row r="240" spans="1:13" s="126" customFormat="1" ht="15.75" customHeight="1">
      <c r="A240" s="152" t="s">
        <v>1681</v>
      </c>
      <c r="B240" s="129" t="s">
        <v>1682</v>
      </c>
      <c r="C240" s="121">
        <v>44321</v>
      </c>
      <c r="D240" s="122">
        <v>44348</v>
      </c>
      <c r="E240" s="123">
        <f>D240-C240</f>
        <v>27</v>
      </c>
      <c r="F240" s="127" t="s">
        <v>0</v>
      </c>
      <c r="G240" s="125"/>
      <c r="H240" s="125"/>
      <c r="I240" s="125"/>
      <c r="J240" s="119"/>
      <c r="K240" s="119"/>
      <c r="L240" s="119"/>
      <c r="M240" s="119"/>
    </row>
    <row r="241" spans="1:13" s="1" customFormat="1" ht="15.75" customHeight="1">
      <c r="A241" s="116" t="s">
        <v>2063</v>
      </c>
      <c r="B241" s="116" t="s">
        <v>2064</v>
      </c>
      <c r="C241" s="2">
        <v>44605</v>
      </c>
      <c r="D241" s="14">
        <v>44632</v>
      </c>
      <c r="E241" s="29">
        <f>D241-C241</f>
        <v>27</v>
      </c>
      <c r="F241" s="16" t="s">
        <v>0</v>
      </c>
      <c r="G241" s="27"/>
      <c r="H241" s="5" t="s">
        <v>2</v>
      </c>
      <c r="I241" s="27"/>
      <c r="J241" s="21"/>
      <c r="K241" s="21"/>
      <c r="L241" s="21"/>
      <c r="M241" s="21"/>
    </row>
    <row r="242" spans="1:13" ht="15.75" customHeight="1">
      <c r="A242" s="37" t="s">
        <v>469</v>
      </c>
      <c r="B242" s="38" t="s">
        <v>470</v>
      </c>
      <c r="C242" s="39">
        <v>43467</v>
      </c>
      <c r="D242" s="39">
        <v>43495</v>
      </c>
      <c r="E242" s="47">
        <f>D242-C242</f>
        <v>28</v>
      </c>
      <c r="F242" s="43" t="s">
        <v>0</v>
      </c>
      <c r="G242" s="45" t="s">
        <v>471</v>
      </c>
      <c r="H242" s="45"/>
      <c r="I242" s="45"/>
      <c r="J242" s="42"/>
      <c r="K242" s="42"/>
    </row>
    <row r="243" spans="1:13" s="1" customFormat="1" ht="15.75" customHeight="1">
      <c r="A243" s="10" t="s">
        <v>660</v>
      </c>
      <c r="B243" s="31" t="s">
        <v>661</v>
      </c>
      <c r="C243" s="17">
        <v>43572</v>
      </c>
      <c r="D243" s="17">
        <v>43600</v>
      </c>
      <c r="E243" s="32">
        <f>D243-C243</f>
        <v>28</v>
      </c>
      <c r="F243" s="16" t="s">
        <v>0</v>
      </c>
      <c r="G243" s="12"/>
      <c r="H243" s="12"/>
      <c r="I243" s="12"/>
      <c r="J243" s="10"/>
      <c r="K243" s="10"/>
    </row>
    <row r="244" spans="1:13" ht="15.75" customHeight="1">
      <c r="A244" s="37" t="s">
        <v>692</v>
      </c>
      <c r="B244" s="38" t="s">
        <v>693</v>
      </c>
      <c r="C244" s="39">
        <v>43597</v>
      </c>
      <c r="D244" s="39">
        <v>43625</v>
      </c>
      <c r="E244" s="47">
        <f>D244-C244</f>
        <v>28</v>
      </c>
      <c r="F244" s="43" t="s">
        <v>0</v>
      </c>
      <c r="G244" s="45"/>
      <c r="H244" s="45"/>
      <c r="I244" s="45"/>
      <c r="J244" s="42"/>
      <c r="K244" s="42"/>
    </row>
    <row r="245" spans="1:13" s="1" customFormat="1" ht="15.75" customHeight="1">
      <c r="A245" s="10" t="s">
        <v>878</v>
      </c>
      <c r="B245" s="31" t="s">
        <v>878</v>
      </c>
      <c r="C245" s="17">
        <v>43736</v>
      </c>
      <c r="D245" s="17">
        <v>43764</v>
      </c>
      <c r="E245" s="32">
        <f>D245-C245</f>
        <v>28</v>
      </c>
      <c r="F245" s="16" t="s">
        <v>0</v>
      </c>
      <c r="G245" s="44"/>
      <c r="H245" s="44"/>
      <c r="I245" s="44"/>
    </row>
    <row r="246" spans="1:13" s="126" customFormat="1" ht="15.75" customHeight="1">
      <c r="A246" s="135" t="s">
        <v>1143</v>
      </c>
      <c r="B246" s="134" t="s">
        <v>1144</v>
      </c>
      <c r="C246" s="130">
        <v>43906</v>
      </c>
      <c r="D246" s="131">
        <v>43934</v>
      </c>
      <c r="E246" s="123">
        <f>D246-C246</f>
        <v>28</v>
      </c>
      <c r="F246" s="133" t="s">
        <v>1130</v>
      </c>
      <c r="G246" s="133" t="s">
        <v>628</v>
      </c>
      <c r="H246" s="133"/>
      <c r="I246" s="133"/>
      <c r="J246" s="135"/>
      <c r="K246" s="135"/>
      <c r="L246" s="135"/>
      <c r="M246" s="135"/>
    </row>
    <row r="247" spans="1:13" ht="15.75" customHeight="1">
      <c r="A247" s="42" t="s">
        <v>1399</v>
      </c>
      <c r="B247" s="42" t="s">
        <v>1400</v>
      </c>
      <c r="C247" s="39">
        <v>44079</v>
      </c>
      <c r="D247" s="40">
        <v>44107</v>
      </c>
      <c r="E247" s="41">
        <f>D247-C247</f>
        <v>28</v>
      </c>
      <c r="F247" s="43" t="s">
        <v>0</v>
      </c>
      <c r="G247" s="46"/>
      <c r="H247" s="46"/>
      <c r="I247" s="46"/>
      <c r="J247" s="37"/>
      <c r="K247" s="37"/>
      <c r="L247" s="42" t="s">
        <v>1401</v>
      </c>
      <c r="M247" s="37"/>
    </row>
    <row r="248" spans="1:13" s="126" customFormat="1" ht="15.75" customHeight="1">
      <c r="A248" s="120" t="s">
        <v>1527</v>
      </c>
      <c r="B248" s="129" t="s">
        <v>1541</v>
      </c>
      <c r="C248" s="121">
        <v>44219</v>
      </c>
      <c r="D248" s="122">
        <v>44247</v>
      </c>
      <c r="E248" s="123">
        <f>D248-C248</f>
        <v>28</v>
      </c>
      <c r="F248" s="124" t="s">
        <v>1542</v>
      </c>
      <c r="G248" s="128" t="s">
        <v>1</v>
      </c>
      <c r="H248" s="125"/>
      <c r="I248" s="128" t="s">
        <v>21</v>
      </c>
      <c r="J248" s="120"/>
      <c r="K248" s="120"/>
      <c r="L248" s="120"/>
      <c r="M248" s="120"/>
    </row>
    <row r="249" spans="1:13" s="126" customFormat="1" ht="15.75" customHeight="1">
      <c r="A249" s="119" t="s">
        <v>1650</v>
      </c>
      <c r="B249" s="129" t="s">
        <v>1651</v>
      </c>
      <c r="C249" s="121">
        <v>44307</v>
      </c>
      <c r="D249" s="122">
        <v>44335</v>
      </c>
      <c r="E249" s="123">
        <f>D249-C249</f>
        <v>28</v>
      </c>
      <c r="F249" s="127" t="s">
        <v>0</v>
      </c>
      <c r="G249" s="125"/>
      <c r="H249" s="125"/>
      <c r="I249" s="125"/>
      <c r="J249" s="119"/>
      <c r="K249" s="119"/>
      <c r="L249" s="119" t="s">
        <v>2842</v>
      </c>
      <c r="M249" s="119"/>
    </row>
    <row r="250" spans="1:13" s="164" customFormat="1" ht="15.75" customHeight="1">
      <c r="A250" s="157" t="s">
        <v>1778</v>
      </c>
      <c r="B250" s="157" t="s">
        <v>1779</v>
      </c>
      <c r="C250" s="158">
        <v>44398</v>
      </c>
      <c r="D250" s="159">
        <v>44426</v>
      </c>
      <c r="E250" s="160">
        <f>D250-C250</f>
        <v>28</v>
      </c>
      <c r="F250" s="165" t="s">
        <v>0</v>
      </c>
      <c r="G250" s="163"/>
      <c r="H250" s="163"/>
      <c r="I250" s="163"/>
      <c r="J250" s="156"/>
      <c r="K250" s="166" t="s">
        <v>1780</v>
      </c>
      <c r="L250" s="156"/>
      <c r="M250" s="156"/>
    </row>
    <row r="251" spans="1:13" s="126" customFormat="1" ht="15.75" customHeight="1">
      <c r="A251" s="120" t="s">
        <v>1857</v>
      </c>
      <c r="B251" s="120" t="s">
        <v>1858</v>
      </c>
      <c r="C251" s="121">
        <v>44456</v>
      </c>
      <c r="D251" s="122">
        <v>44484</v>
      </c>
      <c r="E251" s="123">
        <f>D251-C251</f>
        <v>28</v>
      </c>
      <c r="F251" s="132" t="s">
        <v>1845</v>
      </c>
      <c r="G251" s="128" t="s">
        <v>995</v>
      </c>
      <c r="H251" s="125"/>
      <c r="I251" s="125"/>
      <c r="J251" s="119"/>
      <c r="K251" s="119"/>
      <c r="L251" s="119"/>
      <c r="M251" s="119"/>
    </row>
    <row r="252" spans="1:13" s="1" customFormat="1" ht="15.75" customHeight="1">
      <c r="A252" s="116" t="s">
        <v>1909</v>
      </c>
      <c r="B252" s="116" t="s">
        <v>1909</v>
      </c>
      <c r="C252" s="2">
        <v>44481</v>
      </c>
      <c r="D252" s="14">
        <v>44509</v>
      </c>
      <c r="E252" s="29">
        <f>D252-C252</f>
        <v>28</v>
      </c>
      <c r="F252" s="16" t="s">
        <v>0</v>
      </c>
      <c r="G252" s="27"/>
      <c r="H252" s="27"/>
      <c r="I252" s="27"/>
      <c r="J252" s="21"/>
      <c r="K252" s="21"/>
      <c r="L252" s="21"/>
      <c r="M252" s="21"/>
    </row>
    <row r="253" spans="1:13" s="1" customFormat="1" ht="15.75" customHeight="1">
      <c r="A253" s="21" t="s">
        <v>2057</v>
      </c>
      <c r="B253" s="116" t="s">
        <v>2058</v>
      </c>
      <c r="C253" s="2">
        <v>44597</v>
      </c>
      <c r="D253" s="14">
        <v>44625</v>
      </c>
      <c r="E253" s="29">
        <f>D253-C253</f>
        <v>28</v>
      </c>
      <c r="F253" s="5" t="s">
        <v>144</v>
      </c>
      <c r="G253" s="27"/>
      <c r="H253" s="5" t="s">
        <v>2</v>
      </c>
      <c r="I253" s="27"/>
      <c r="J253" s="21"/>
      <c r="K253" s="21"/>
      <c r="L253" s="21"/>
      <c r="M253" s="21"/>
    </row>
    <row r="254" spans="1:13" s="1" customFormat="1" ht="15.75" customHeight="1">
      <c r="A254" s="21" t="s">
        <v>2159</v>
      </c>
      <c r="B254" s="116" t="s">
        <v>2160</v>
      </c>
      <c r="C254" s="2">
        <v>44644</v>
      </c>
      <c r="D254" s="14">
        <v>44672</v>
      </c>
      <c r="E254" s="29">
        <f>D254-C254</f>
        <v>28</v>
      </c>
      <c r="F254" s="11" t="s">
        <v>2161</v>
      </c>
      <c r="G254" s="27"/>
      <c r="H254" s="5" t="s">
        <v>11</v>
      </c>
      <c r="I254" s="27"/>
      <c r="J254" s="21"/>
      <c r="K254" s="21"/>
      <c r="L254" s="21"/>
      <c r="M254" s="21"/>
    </row>
    <row r="255" spans="1:13" s="1" customFormat="1" ht="15.75" customHeight="1">
      <c r="A255" s="10" t="s">
        <v>309</v>
      </c>
      <c r="B255" s="31" t="s">
        <v>610</v>
      </c>
      <c r="C255" s="17">
        <v>43544</v>
      </c>
      <c r="D255" s="17">
        <v>43573</v>
      </c>
      <c r="E255" s="32">
        <f>D255-C255</f>
        <v>29</v>
      </c>
      <c r="F255" s="16" t="s">
        <v>524</v>
      </c>
      <c r="G255" s="12"/>
      <c r="H255" s="12"/>
      <c r="I255" s="12"/>
      <c r="J255" s="10"/>
      <c r="K255" s="10"/>
    </row>
    <row r="256" spans="1:13" ht="15.75" customHeight="1">
      <c r="A256" s="84" t="s">
        <v>1683</v>
      </c>
      <c r="B256" s="75" t="s">
        <v>1684</v>
      </c>
      <c r="C256" s="79">
        <v>44325</v>
      </c>
      <c r="D256" s="80">
        <v>44354</v>
      </c>
      <c r="E256" s="41">
        <f>D256-C256</f>
        <v>29</v>
      </c>
      <c r="F256" s="43" t="s">
        <v>0</v>
      </c>
      <c r="G256" s="46"/>
      <c r="H256" s="46"/>
      <c r="I256" s="46"/>
      <c r="J256" s="77"/>
      <c r="K256" s="77"/>
      <c r="L256" s="77"/>
      <c r="M256" s="77"/>
    </row>
    <row r="257" spans="1:13" s="1" customFormat="1" ht="15.75" customHeight="1">
      <c r="A257" s="116" t="s">
        <v>1853</v>
      </c>
      <c r="B257" s="116" t="s">
        <v>1853</v>
      </c>
      <c r="C257" s="2">
        <v>44451</v>
      </c>
      <c r="D257" s="14">
        <v>44480</v>
      </c>
      <c r="E257" s="29">
        <f>D257-C257</f>
        <v>29</v>
      </c>
      <c r="F257" s="11" t="s">
        <v>1570</v>
      </c>
      <c r="G257" s="27"/>
      <c r="H257" s="27"/>
      <c r="I257" s="27"/>
      <c r="J257" s="21"/>
      <c r="K257" s="21"/>
      <c r="L257" s="21"/>
      <c r="M257" s="21"/>
    </row>
    <row r="258" spans="1:13" s="126" customFormat="1" ht="15.75" customHeight="1">
      <c r="A258" s="120" t="s">
        <v>2259</v>
      </c>
      <c r="B258" s="120" t="s">
        <v>2260</v>
      </c>
      <c r="C258" s="121">
        <v>44745</v>
      </c>
      <c r="D258" s="122">
        <v>44774</v>
      </c>
      <c r="E258" s="123">
        <f>D258-C258</f>
        <v>29</v>
      </c>
      <c r="F258" s="127" t="s">
        <v>0</v>
      </c>
      <c r="G258" s="125"/>
      <c r="H258" s="124" t="s">
        <v>2</v>
      </c>
      <c r="I258" s="125"/>
      <c r="J258" s="119"/>
      <c r="K258" s="119"/>
      <c r="L258" s="119"/>
      <c r="M258" s="119"/>
    </row>
    <row r="259" spans="1:13" s="1" customFormat="1" ht="15.75" customHeight="1">
      <c r="A259" s="1" t="s">
        <v>2300</v>
      </c>
      <c r="B259" s="1" t="s">
        <v>2301</v>
      </c>
      <c r="C259" s="2">
        <v>44813</v>
      </c>
      <c r="D259" s="14">
        <v>44842</v>
      </c>
      <c r="E259" s="29">
        <f>D259-C259</f>
        <v>29</v>
      </c>
      <c r="F259" s="5" t="s">
        <v>2302</v>
      </c>
      <c r="G259" s="44"/>
      <c r="H259" s="5" t="s">
        <v>11</v>
      </c>
      <c r="I259" s="44"/>
    </row>
    <row r="260" spans="1:13" s="164" customFormat="1" ht="15.75" customHeight="1">
      <c r="A260" s="167" t="s">
        <v>2843</v>
      </c>
      <c r="B260" s="168" t="s">
        <v>413</v>
      </c>
      <c r="C260" s="169">
        <v>43352</v>
      </c>
      <c r="D260" s="170">
        <v>43382</v>
      </c>
      <c r="E260" s="160">
        <f>D260-C260</f>
        <v>30</v>
      </c>
      <c r="F260" s="162"/>
      <c r="G260" s="162"/>
      <c r="H260" s="162"/>
      <c r="I260" s="162"/>
    </row>
    <row r="261" spans="1:13" s="164" customFormat="1" ht="15.75" customHeight="1">
      <c r="A261" s="171" t="s">
        <v>775</v>
      </c>
      <c r="B261" s="168" t="s">
        <v>776</v>
      </c>
      <c r="C261" s="169">
        <v>43668</v>
      </c>
      <c r="D261" s="169">
        <v>43698</v>
      </c>
      <c r="E261" s="172">
        <f>D261-C261</f>
        <v>30</v>
      </c>
      <c r="F261" s="165" t="s">
        <v>777</v>
      </c>
      <c r="G261" s="173"/>
      <c r="H261" s="173"/>
      <c r="I261" s="173"/>
      <c r="J261" s="174"/>
      <c r="K261" s="174"/>
    </row>
    <row r="262" spans="1:13" ht="15.75" customHeight="1">
      <c r="A262" s="57" t="s">
        <v>789</v>
      </c>
      <c r="B262" s="51" t="s">
        <v>790</v>
      </c>
      <c r="C262" s="39">
        <v>43710</v>
      </c>
      <c r="D262" s="39">
        <v>43740</v>
      </c>
      <c r="E262" s="47">
        <f>D262-C262</f>
        <v>30</v>
      </c>
      <c r="F262" s="43" t="s">
        <v>0</v>
      </c>
      <c r="G262" s="45"/>
      <c r="H262" s="45"/>
      <c r="I262" s="45"/>
      <c r="J262" s="42"/>
      <c r="K262" s="42"/>
    </row>
    <row r="263" spans="1:13" s="1" customFormat="1" ht="15.75" customHeight="1">
      <c r="A263" s="6" t="s">
        <v>947</v>
      </c>
      <c r="B263" s="10" t="s">
        <v>948</v>
      </c>
      <c r="C263" s="17">
        <v>43784</v>
      </c>
      <c r="D263" s="17">
        <v>43814</v>
      </c>
      <c r="E263" s="32">
        <f>D263-C263</f>
        <v>30</v>
      </c>
      <c r="F263" s="11" t="s">
        <v>949</v>
      </c>
      <c r="G263" s="12"/>
      <c r="H263" s="12"/>
      <c r="I263" s="12"/>
      <c r="J263" s="10"/>
      <c r="K263" s="10"/>
      <c r="L263" s="10"/>
      <c r="M263" s="10"/>
    </row>
    <row r="264" spans="1:13" ht="15.75" customHeight="1">
      <c r="A264" s="42" t="s">
        <v>1054</v>
      </c>
      <c r="B264" s="42" t="s">
        <v>1055</v>
      </c>
      <c r="C264" s="39">
        <v>43865</v>
      </c>
      <c r="D264" s="40">
        <v>43895</v>
      </c>
      <c r="E264" s="41">
        <f>D264-C264</f>
        <v>30</v>
      </c>
      <c r="F264" s="43" t="s">
        <v>25</v>
      </c>
      <c r="G264" s="45" t="s">
        <v>33</v>
      </c>
      <c r="H264" s="45"/>
      <c r="I264" s="45"/>
      <c r="J264" s="42"/>
      <c r="K264" s="42"/>
      <c r="L264" s="42"/>
      <c r="M264" s="42"/>
    </row>
    <row r="265" spans="1:13" ht="15.75" customHeight="1">
      <c r="A265" s="42" t="s">
        <v>923</v>
      </c>
      <c r="B265" s="38" t="s">
        <v>924</v>
      </c>
      <c r="C265" s="79">
        <v>44437</v>
      </c>
      <c r="D265" s="40">
        <v>44467</v>
      </c>
      <c r="E265" s="41">
        <f>D265-C265</f>
        <v>30</v>
      </c>
      <c r="F265" s="43" t="s">
        <v>0</v>
      </c>
      <c r="G265" s="45" t="s">
        <v>1357</v>
      </c>
      <c r="H265" s="46"/>
      <c r="I265" s="46"/>
      <c r="J265" s="37"/>
      <c r="K265" s="37"/>
      <c r="L265" s="37"/>
      <c r="M265" s="37"/>
    </row>
    <row r="266" spans="1:13" s="126" customFormat="1" ht="15.75" customHeight="1">
      <c r="A266" s="119" t="s">
        <v>2844</v>
      </c>
      <c r="B266" s="120" t="s">
        <v>2146</v>
      </c>
      <c r="C266" s="121">
        <v>44637</v>
      </c>
      <c r="D266" s="122">
        <v>44667</v>
      </c>
      <c r="E266" s="123">
        <f>D266-C266</f>
        <v>30</v>
      </c>
      <c r="F266" s="127" t="s">
        <v>0</v>
      </c>
      <c r="G266" s="128" t="s">
        <v>1357</v>
      </c>
      <c r="H266" s="124" t="s">
        <v>11</v>
      </c>
      <c r="I266" s="125"/>
      <c r="J266" s="119"/>
      <c r="K266" s="119"/>
      <c r="L266" s="119"/>
      <c r="M266" s="119"/>
    </row>
    <row r="267" spans="1:13" s="126" customFormat="1" ht="15.75" customHeight="1">
      <c r="A267" s="135" t="s">
        <v>1194</v>
      </c>
      <c r="B267" s="134" t="s">
        <v>1195</v>
      </c>
      <c r="C267" s="130">
        <v>43921</v>
      </c>
      <c r="D267" s="130">
        <v>43952</v>
      </c>
      <c r="E267" s="136">
        <f>D267-C267</f>
        <v>31</v>
      </c>
      <c r="F267" s="127" t="s">
        <v>0</v>
      </c>
      <c r="G267" s="133"/>
      <c r="H267" s="133"/>
      <c r="I267" s="133"/>
      <c r="J267" s="135"/>
      <c r="K267" s="135"/>
      <c r="L267" s="135"/>
      <c r="M267" s="135"/>
    </row>
    <row r="268" spans="1:13" s="126" customFormat="1" ht="15.75" customHeight="1">
      <c r="A268" s="129" t="s">
        <v>1699</v>
      </c>
      <c r="B268" s="129" t="s">
        <v>1700</v>
      </c>
      <c r="C268" s="130">
        <v>44335</v>
      </c>
      <c r="D268" s="130">
        <v>44366</v>
      </c>
      <c r="E268" s="123">
        <f>D268-C268</f>
        <v>31</v>
      </c>
      <c r="F268" s="127" t="s">
        <v>0</v>
      </c>
      <c r="G268" s="133" t="s">
        <v>1</v>
      </c>
      <c r="H268" s="125"/>
      <c r="I268" s="125"/>
      <c r="J268" s="119"/>
      <c r="K268" s="119"/>
      <c r="L268" s="119"/>
      <c r="M268" s="119"/>
    </row>
    <row r="269" spans="1:13" ht="15.75" customHeight="1">
      <c r="A269" s="37" t="s">
        <v>1211</v>
      </c>
      <c r="B269" s="42" t="s">
        <v>1546</v>
      </c>
      <c r="C269" s="39">
        <v>44874</v>
      </c>
      <c r="D269" s="80">
        <v>44905</v>
      </c>
      <c r="E269" s="41">
        <f>D269-C269</f>
        <v>31</v>
      </c>
      <c r="F269" s="43" t="s">
        <v>0</v>
      </c>
      <c r="G269" s="45" t="s">
        <v>43</v>
      </c>
      <c r="H269" s="41" t="s">
        <v>11</v>
      </c>
      <c r="I269" s="46"/>
      <c r="J269" s="77"/>
      <c r="K269" s="53" t="s">
        <v>1547</v>
      </c>
      <c r="L269" s="42" t="s">
        <v>1548</v>
      </c>
      <c r="M269" s="77"/>
    </row>
    <row r="270" spans="1:13" s="1" customFormat="1" ht="15.75" customHeight="1">
      <c r="A270" s="10" t="s">
        <v>605</v>
      </c>
      <c r="B270" s="31" t="s">
        <v>606</v>
      </c>
      <c r="C270" s="17">
        <v>43540</v>
      </c>
      <c r="D270" s="17">
        <v>43572</v>
      </c>
      <c r="E270" s="32">
        <f>D270-C270</f>
        <v>32</v>
      </c>
      <c r="F270" s="16" t="s">
        <v>0</v>
      </c>
      <c r="G270" s="12" t="s">
        <v>1</v>
      </c>
      <c r="H270" s="12"/>
      <c r="I270" s="12"/>
      <c r="J270" s="10"/>
      <c r="K270" s="10"/>
    </row>
    <row r="271" spans="1:13" ht="15.75" customHeight="1">
      <c r="A271" s="42" t="s">
        <v>689</v>
      </c>
      <c r="B271" s="38" t="s">
        <v>690</v>
      </c>
      <c r="C271" s="39">
        <v>43591</v>
      </c>
      <c r="D271" s="39">
        <v>43623</v>
      </c>
      <c r="E271" s="47">
        <f>D271-C271</f>
        <v>32</v>
      </c>
      <c r="F271" s="43" t="s">
        <v>54</v>
      </c>
      <c r="G271" s="45" t="s">
        <v>1</v>
      </c>
      <c r="H271" s="45"/>
      <c r="I271" s="45"/>
      <c r="J271" s="42"/>
      <c r="K271" s="42"/>
    </row>
    <row r="272" spans="1:13" s="126" customFormat="1" ht="15.75" customHeight="1">
      <c r="A272" s="135" t="s">
        <v>902</v>
      </c>
      <c r="B272" s="154" t="s">
        <v>903</v>
      </c>
      <c r="C272" s="130">
        <v>43758</v>
      </c>
      <c r="D272" s="130">
        <v>43790</v>
      </c>
      <c r="E272" s="136">
        <f>D272-C272</f>
        <v>32</v>
      </c>
      <c r="F272" s="125" t="s">
        <v>754</v>
      </c>
      <c r="G272" s="133" t="s">
        <v>33</v>
      </c>
      <c r="H272" s="133"/>
      <c r="I272" s="133"/>
      <c r="J272" s="134"/>
      <c r="K272" s="134"/>
    </row>
    <row r="273" spans="1:27" s="126" customFormat="1" ht="15.75" customHeight="1">
      <c r="A273" s="134" t="s">
        <v>1278</v>
      </c>
      <c r="B273" s="134" t="s">
        <v>1279</v>
      </c>
      <c r="C273" s="130">
        <v>43969</v>
      </c>
      <c r="D273" s="131">
        <v>44001</v>
      </c>
      <c r="E273" s="123">
        <f>D273-C273</f>
        <v>32</v>
      </c>
      <c r="F273" s="127" t="s">
        <v>0</v>
      </c>
      <c r="G273" s="133" t="s">
        <v>942</v>
      </c>
      <c r="H273" s="133"/>
      <c r="I273" s="133"/>
      <c r="J273" s="135"/>
      <c r="K273" s="135"/>
      <c r="L273" s="135"/>
      <c r="M273" s="135"/>
    </row>
    <row r="274" spans="1:27" ht="15.75" customHeight="1">
      <c r="A274" s="37" t="s">
        <v>1201</v>
      </c>
      <c r="B274" s="42" t="s">
        <v>1202</v>
      </c>
      <c r="C274" s="79">
        <v>44843</v>
      </c>
      <c r="D274" s="40">
        <v>44875</v>
      </c>
      <c r="E274" s="41">
        <f>D274-C274</f>
        <v>32</v>
      </c>
      <c r="F274" s="43" t="s">
        <v>0</v>
      </c>
      <c r="G274" s="45" t="s">
        <v>2346</v>
      </c>
      <c r="H274" s="45" t="s">
        <v>11</v>
      </c>
      <c r="I274" s="45"/>
      <c r="J274" s="37"/>
      <c r="K274" s="37"/>
      <c r="L274" s="37"/>
      <c r="M274" s="37"/>
    </row>
    <row r="275" spans="1:27" ht="15.75" customHeight="1">
      <c r="A275" s="77" t="s">
        <v>2151</v>
      </c>
      <c r="B275" s="82" t="s">
        <v>2152</v>
      </c>
      <c r="C275" s="79">
        <v>44843</v>
      </c>
      <c r="D275" s="40">
        <v>44875</v>
      </c>
      <c r="E275" s="41">
        <f>D275-C275</f>
        <v>32</v>
      </c>
      <c r="F275" s="43" t="s">
        <v>0</v>
      </c>
      <c r="G275" s="81" t="s">
        <v>995</v>
      </c>
      <c r="H275" s="83" t="s">
        <v>2</v>
      </c>
      <c r="I275" s="46"/>
      <c r="J275" s="77"/>
      <c r="K275" s="76" t="s">
        <v>2153</v>
      </c>
      <c r="L275" s="77"/>
      <c r="M275" s="77"/>
    </row>
    <row r="276" spans="1:27" s="1" customFormat="1" ht="15.75" customHeight="1">
      <c r="A276" s="4" t="s">
        <v>992</v>
      </c>
      <c r="B276" s="10" t="s">
        <v>993</v>
      </c>
      <c r="C276" s="17">
        <v>43822</v>
      </c>
      <c r="D276" s="28">
        <v>43855</v>
      </c>
      <c r="E276" s="32">
        <f>D276-C276</f>
        <v>33</v>
      </c>
      <c r="F276" s="16" t="s">
        <v>994</v>
      </c>
      <c r="G276" s="12" t="s">
        <v>995</v>
      </c>
      <c r="H276" s="12"/>
      <c r="I276" s="12"/>
      <c r="J276" s="10" t="s">
        <v>436</v>
      </c>
      <c r="K276" s="10"/>
      <c r="L276" s="10"/>
      <c r="M276" s="10"/>
    </row>
    <row r="277" spans="1:27" ht="15.75" customHeight="1">
      <c r="A277" s="75" t="s">
        <v>1519</v>
      </c>
      <c r="B277" s="75" t="s">
        <v>1520</v>
      </c>
      <c r="C277" s="39">
        <v>44256</v>
      </c>
      <c r="D277" s="40">
        <v>44289</v>
      </c>
      <c r="E277" s="47">
        <f>D277-C277</f>
        <v>33</v>
      </c>
      <c r="F277" s="43" t="s">
        <v>0</v>
      </c>
      <c r="G277" s="45" t="s">
        <v>805</v>
      </c>
      <c r="H277" s="46"/>
      <c r="I277" s="46"/>
      <c r="J277" s="77"/>
      <c r="K277" s="76" t="s">
        <v>1590</v>
      </c>
      <c r="L277" s="77"/>
      <c r="M277" s="77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 spans="1:27" s="1" customFormat="1" ht="15.75" customHeight="1">
      <c r="A278" s="21" t="s">
        <v>1639</v>
      </c>
      <c r="B278" s="18" t="s">
        <v>1640</v>
      </c>
      <c r="C278" s="17">
        <v>44294</v>
      </c>
      <c r="D278" s="28">
        <v>44327</v>
      </c>
      <c r="E278" s="29">
        <f>D278-C278</f>
        <v>33</v>
      </c>
      <c r="F278" s="16" t="s">
        <v>0</v>
      </c>
      <c r="G278" s="27"/>
      <c r="H278" s="27"/>
      <c r="I278" s="27"/>
      <c r="J278" s="21"/>
      <c r="K278" s="21"/>
      <c r="L278" s="21"/>
      <c r="M278" s="2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s="1" customFormat="1" ht="15.75" customHeight="1">
      <c r="A279" s="116" t="s">
        <v>2175</v>
      </c>
      <c r="B279" s="116" t="s">
        <v>2176</v>
      </c>
      <c r="C279" s="2">
        <v>44647</v>
      </c>
      <c r="D279" s="14">
        <v>44680</v>
      </c>
      <c r="E279" s="29">
        <f>D279-C279</f>
        <v>33</v>
      </c>
      <c r="F279" s="16" t="s">
        <v>0</v>
      </c>
      <c r="G279" s="27"/>
      <c r="H279" s="5" t="s">
        <v>11</v>
      </c>
      <c r="I279" s="27"/>
      <c r="J279" s="21"/>
      <c r="K279" s="21"/>
      <c r="L279" s="21"/>
      <c r="M279" s="2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>
      <c r="A280" s="82" t="s">
        <v>2172</v>
      </c>
      <c r="B280" s="82" t="s">
        <v>2173</v>
      </c>
      <c r="C280" s="79">
        <v>44689</v>
      </c>
      <c r="D280" s="80">
        <v>44722</v>
      </c>
      <c r="E280" s="41">
        <f>D280-C280</f>
        <v>33</v>
      </c>
      <c r="F280" s="43" t="s">
        <v>0</v>
      </c>
      <c r="G280" s="81" t="s">
        <v>2174</v>
      </c>
      <c r="H280" s="83" t="s">
        <v>11</v>
      </c>
      <c r="I280" s="77"/>
      <c r="J280" s="77"/>
      <c r="K280" s="77"/>
      <c r="L280" s="77"/>
      <c r="M280" s="77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 spans="1:27" ht="15.75" customHeight="1">
      <c r="A281" s="82" t="s">
        <v>2253</v>
      </c>
      <c r="B281" s="82" t="s">
        <v>2254</v>
      </c>
      <c r="C281" s="79">
        <v>44726</v>
      </c>
      <c r="D281" s="80">
        <v>44759</v>
      </c>
      <c r="E281" s="41">
        <f>D281-C281</f>
        <v>33</v>
      </c>
      <c r="F281" s="83" t="s">
        <v>309</v>
      </c>
      <c r="G281" s="46"/>
      <c r="H281" s="83" t="s">
        <v>11</v>
      </c>
      <c r="I281" s="46"/>
      <c r="J281" s="77"/>
      <c r="K281" s="77"/>
      <c r="L281" s="77"/>
      <c r="M281" s="77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 spans="1:27" ht="15.75" customHeight="1">
      <c r="A282" s="77" t="s">
        <v>1883</v>
      </c>
      <c r="B282" s="82" t="s">
        <v>1884</v>
      </c>
      <c r="C282" s="79">
        <v>44865</v>
      </c>
      <c r="D282" s="80">
        <v>44898</v>
      </c>
      <c r="E282" s="41">
        <f>D282-C282</f>
        <v>33</v>
      </c>
      <c r="F282" s="43" t="s">
        <v>0</v>
      </c>
      <c r="G282" s="46"/>
      <c r="H282" s="83" t="s">
        <v>11</v>
      </c>
      <c r="I282" s="46"/>
      <c r="J282" s="77"/>
      <c r="K282" s="77"/>
      <c r="L282" s="77"/>
      <c r="M282" s="77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 spans="1:27" ht="15.75" customHeight="1">
      <c r="A283" s="37" t="s">
        <v>426</v>
      </c>
      <c r="B283" s="38" t="s">
        <v>427</v>
      </c>
      <c r="C283" s="39">
        <v>43362</v>
      </c>
      <c r="D283" s="39">
        <v>43396</v>
      </c>
      <c r="E283" s="41">
        <f>D283-C283</f>
        <v>34</v>
      </c>
      <c r="G283" s="44"/>
      <c r="H283" s="44"/>
      <c r="I283" s="44"/>
      <c r="J283" s="1"/>
      <c r="K283" s="1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 spans="1:27" ht="15.75" customHeight="1">
      <c r="A284" s="37" t="s">
        <v>619</v>
      </c>
      <c r="B284" s="38" t="s">
        <v>620</v>
      </c>
      <c r="C284" s="39">
        <v>43544</v>
      </c>
      <c r="D284" s="39">
        <v>43578</v>
      </c>
      <c r="E284" s="47">
        <f>D284-C284</f>
        <v>34</v>
      </c>
      <c r="F284" s="43" t="s">
        <v>0</v>
      </c>
      <c r="G284" s="45" t="s">
        <v>26</v>
      </c>
      <c r="H284" s="45"/>
      <c r="I284" s="45"/>
      <c r="J284" s="42"/>
      <c r="K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 spans="1:27" s="126" customFormat="1" ht="15.75" customHeight="1">
      <c r="A285" s="135" t="s">
        <v>633</v>
      </c>
      <c r="B285" s="138" t="s">
        <v>634</v>
      </c>
      <c r="C285" s="130">
        <v>43555</v>
      </c>
      <c r="D285" s="130">
        <v>43589</v>
      </c>
      <c r="E285" s="136">
        <f>D285-C285</f>
        <v>34</v>
      </c>
      <c r="F285" s="127" t="s">
        <v>0</v>
      </c>
      <c r="G285" s="133"/>
      <c r="H285" s="133"/>
      <c r="I285" s="133"/>
      <c r="J285" s="134"/>
      <c r="K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</row>
    <row r="286" spans="1:27" ht="15.75" customHeight="1">
      <c r="A286" s="42" t="s">
        <v>637</v>
      </c>
      <c r="B286" s="38" t="s">
        <v>638</v>
      </c>
      <c r="C286" s="39">
        <v>43556</v>
      </c>
      <c r="D286" s="39">
        <v>43590</v>
      </c>
      <c r="E286" s="47">
        <f>D286-C286</f>
        <v>34</v>
      </c>
      <c r="F286" s="43" t="s">
        <v>0</v>
      </c>
      <c r="G286" s="44"/>
      <c r="H286" s="44"/>
      <c r="I286" s="44"/>
      <c r="J286" s="1"/>
      <c r="K286" s="1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 spans="1:27" ht="15.75" customHeight="1">
      <c r="A287" s="42" t="s">
        <v>923</v>
      </c>
      <c r="B287" s="38" t="s">
        <v>924</v>
      </c>
      <c r="C287" s="39">
        <v>44031</v>
      </c>
      <c r="D287" s="40">
        <v>44065</v>
      </c>
      <c r="E287" s="47">
        <f>D287-C287</f>
        <v>34</v>
      </c>
      <c r="F287" s="43" t="s">
        <v>0</v>
      </c>
      <c r="G287" s="45" t="s">
        <v>1357</v>
      </c>
      <c r="H287" s="46"/>
      <c r="I287" s="46"/>
      <c r="J287" s="37"/>
      <c r="K287" s="37"/>
      <c r="L287" s="37"/>
      <c r="M287" s="37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 spans="1:27" s="126" customFormat="1" ht="15.75" customHeight="1">
      <c r="A288" s="134" t="s">
        <v>1405</v>
      </c>
      <c r="B288" s="134" t="s">
        <v>1406</v>
      </c>
      <c r="C288" s="130">
        <v>44074</v>
      </c>
      <c r="D288" s="131">
        <v>44108</v>
      </c>
      <c r="E288" s="136">
        <f>D288-C288</f>
        <v>34</v>
      </c>
      <c r="F288" s="127" t="s">
        <v>0</v>
      </c>
      <c r="G288" s="125"/>
      <c r="H288" s="125"/>
      <c r="I288" s="125"/>
      <c r="J288" s="135"/>
      <c r="K288" s="135"/>
      <c r="L288" s="135" t="s">
        <v>1407</v>
      </c>
      <c r="M288" s="135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</row>
    <row r="289" spans="1:27" s="1" customFormat="1" ht="15.75" customHeight="1">
      <c r="A289" s="21" t="s">
        <v>1705</v>
      </c>
      <c r="B289" s="116" t="s">
        <v>1706</v>
      </c>
      <c r="C289" s="17">
        <v>44334</v>
      </c>
      <c r="D289" s="28">
        <v>44368</v>
      </c>
      <c r="E289" s="29">
        <f>D289-C289</f>
        <v>34</v>
      </c>
      <c r="F289" s="16" t="s">
        <v>0</v>
      </c>
      <c r="G289" s="27"/>
      <c r="H289" s="27"/>
      <c r="I289" s="27"/>
      <c r="J289" s="21"/>
      <c r="K289" s="21"/>
      <c r="L289" s="21"/>
      <c r="M289" s="2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s="182" customFormat="1" ht="15.75" customHeight="1">
      <c r="A290" s="175" t="s">
        <v>896</v>
      </c>
      <c r="B290" s="176" t="s">
        <v>897</v>
      </c>
      <c r="C290" s="177">
        <v>43746</v>
      </c>
      <c r="D290" s="177">
        <v>43781</v>
      </c>
      <c r="E290" s="178">
        <f>D290-C290</f>
        <v>35</v>
      </c>
      <c r="F290" s="179" t="s">
        <v>898</v>
      </c>
      <c r="G290" s="180"/>
      <c r="H290" s="180"/>
      <c r="I290" s="180"/>
      <c r="J290" s="181"/>
      <c r="K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</row>
    <row r="291" spans="1:27" s="1" customFormat="1" ht="15.75" customHeight="1">
      <c r="A291" s="10" t="s">
        <v>450</v>
      </c>
      <c r="B291" s="31" t="s">
        <v>451</v>
      </c>
      <c r="C291" s="17">
        <v>43386</v>
      </c>
      <c r="D291" s="17">
        <v>43422</v>
      </c>
      <c r="E291" s="29">
        <f>D291-C291</f>
        <v>36</v>
      </c>
      <c r="F291" s="16" t="s">
        <v>452</v>
      </c>
      <c r="G291" s="10"/>
      <c r="H291" s="10"/>
      <c r="I291" s="44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>
      <c r="A292" s="52" t="s">
        <v>496</v>
      </c>
      <c r="B292" s="51" t="s">
        <v>497</v>
      </c>
      <c r="C292" s="39">
        <v>43590</v>
      </c>
      <c r="D292" s="39">
        <v>43626</v>
      </c>
      <c r="E292" s="47">
        <f>D292-C292</f>
        <v>36</v>
      </c>
      <c r="F292" s="43" t="s">
        <v>0</v>
      </c>
      <c r="G292" s="44"/>
      <c r="H292" s="44"/>
      <c r="I292" s="44"/>
      <c r="J292" s="1"/>
      <c r="K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s="1" customFormat="1" ht="15.75" customHeight="1">
      <c r="A293" s="4" t="s">
        <v>845</v>
      </c>
      <c r="B293" s="31" t="s">
        <v>846</v>
      </c>
      <c r="C293" s="17">
        <v>43702</v>
      </c>
      <c r="D293" s="17">
        <v>43738</v>
      </c>
      <c r="E293" s="32">
        <f>D293-C293</f>
        <v>36</v>
      </c>
      <c r="F293" s="16" t="s">
        <v>0</v>
      </c>
      <c r="G293" s="12"/>
      <c r="H293" s="12"/>
      <c r="I293" s="12"/>
      <c r="J293" s="10"/>
      <c r="K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s="1" customFormat="1" ht="15.75" customHeight="1">
      <c r="A294" s="13" t="s">
        <v>870</v>
      </c>
      <c r="B294" s="150" t="s">
        <v>871</v>
      </c>
      <c r="C294" s="17">
        <v>43717</v>
      </c>
      <c r="D294" s="17">
        <v>43753</v>
      </c>
      <c r="E294" s="32">
        <f>D294-C294</f>
        <v>36</v>
      </c>
      <c r="F294" s="11" t="s">
        <v>592</v>
      </c>
      <c r="G294" s="12" t="s">
        <v>872</v>
      </c>
      <c r="H294" s="12"/>
      <c r="I294" s="12"/>
      <c r="J294" s="10"/>
      <c r="K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>
      <c r="A295" s="42" t="s">
        <v>719</v>
      </c>
      <c r="B295" s="42" t="s">
        <v>719</v>
      </c>
      <c r="C295" s="39">
        <v>43777</v>
      </c>
      <c r="D295" s="39">
        <v>43813</v>
      </c>
      <c r="E295" s="47">
        <f>D295-C295</f>
        <v>36</v>
      </c>
      <c r="F295" s="43" t="s">
        <v>54</v>
      </c>
      <c r="G295" s="45" t="s">
        <v>720</v>
      </c>
      <c r="H295" s="45"/>
      <c r="I295" s="45"/>
      <c r="J295" s="42"/>
      <c r="K295" s="42"/>
      <c r="L295" s="42"/>
      <c r="M295" s="4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42" t="s">
        <v>970</v>
      </c>
      <c r="B296" s="42" t="s">
        <v>971</v>
      </c>
      <c r="C296" s="39">
        <v>43986</v>
      </c>
      <c r="D296" s="39">
        <v>44022</v>
      </c>
      <c r="E296" s="47">
        <f>D296-C296</f>
        <v>36</v>
      </c>
      <c r="F296" s="46" t="s">
        <v>31</v>
      </c>
      <c r="G296" s="45" t="s">
        <v>972</v>
      </c>
      <c r="H296" s="46"/>
      <c r="I296" s="46"/>
      <c r="J296" s="37"/>
      <c r="K296" s="37"/>
      <c r="L296" s="37"/>
      <c r="M296" s="37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 spans="1:27" ht="15.75" customHeight="1">
      <c r="A297" s="37" t="s">
        <v>1374</v>
      </c>
      <c r="B297" s="42" t="s">
        <v>1689</v>
      </c>
      <c r="C297" s="39">
        <v>44324</v>
      </c>
      <c r="D297" s="80">
        <v>44360</v>
      </c>
      <c r="E297" s="41">
        <f>D297-C297</f>
        <v>36</v>
      </c>
      <c r="F297" s="43" t="s">
        <v>0</v>
      </c>
      <c r="G297" s="45" t="s">
        <v>995</v>
      </c>
      <c r="H297" s="46"/>
      <c r="I297" s="46"/>
      <c r="J297" s="37"/>
      <c r="K297" s="37"/>
      <c r="L297" s="42" t="s">
        <v>1690</v>
      </c>
      <c r="M297" s="37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 spans="1:27" ht="15.75" customHeight="1">
      <c r="A298" s="57" t="s">
        <v>1334</v>
      </c>
      <c r="B298" s="42" t="s">
        <v>1335</v>
      </c>
      <c r="C298" s="39">
        <v>44874</v>
      </c>
      <c r="D298" s="80">
        <v>44910</v>
      </c>
      <c r="E298" s="41">
        <f>D298-C298</f>
        <v>36</v>
      </c>
      <c r="F298" s="43" t="s">
        <v>0</v>
      </c>
      <c r="G298" s="46" t="s">
        <v>2385</v>
      </c>
      <c r="H298" s="46" t="s">
        <v>2</v>
      </c>
      <c r="I298" s="46"/>
      <c r="J298" s="37"/>
      <c r="K298" s="53" t="s">
        <v>1336</v>
      </c>
      <c r="L298" s="37"/>
      <c r="M298" s="37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 spans="1:27" s="182" customFormat="1" ht="15.75" customHeight="1">
      <c r="A299" s="183" t="s">
        <v>648</v>
      </c>
      <c r="B299" s="184" t="s">
        <v>649</v>
      </c>
      <c r="C299" s="177">
        <v>43558</v>
      </c>
      <c r="D299" s="177">
        <v>43595</v>
      </c>
      <c r="E299" s="178">
        <f>D299-C299</f>
        <v>37</v>
      </c>
      <c r="F299" s="179" t="s">
        <v>0</v>
      </c>
      <c r="G299" s="180"/>
      <c r="H299" s="180"/>
      <c r="I299" s="180"/>
      <c r="J299" s="181"/>
      <c r="K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</row>
    <row r="300" spans="1:27" s="182" customFormat="1" ht="15.75" customHeight="1">
      <c r="A300" s="183" t="s">
        <v>700</v>
      </c>
      <c r="B300" s="184" t="s">
        <v>701</v>
      </c>
      <c r="C300" s="177">
        <v>43594</v>
      </c>
      <c r="D300" s="177">
        <v>43631</v>
      </c>
      <c r="E300" s="178">
        <f>D300-C300</f>
        <v>37</v>
      </c>
      <c r="F300" s="185" t="s">
        <v>702</v>
      </c>
      <c r="G300" s="180"/>
      <c r="H300" s="180"/>
      <c r="I300" s="180"/>
      <c r="J300" s="181"/>
      <c r="K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</row>
    <row r="301" spans="1:27" s="126" customFormat="1" ht="15.75" customHeight="1">
      <c r="A301" s="134" t="s">
        <v>1343</v>
      </c>
      <c r="B301" s="134" t="s">
        <v>1344</v>
      </c>
      <c r="C301" s="130">
        <v>44014</v>
      </c>
      <c r="D301" s="131">
        <v>44051</v>
      </c>
      <c r="E301" s="136">
        <f>D301-C301</f>
        <v>37</v>
      </c>
      <c r="F301" s="127" t="s">
        <v>0</v>
      </c>
      <c r="G301" s="125"/>
      <c r="H301" s="125"/>
      <c r="I301" s="125"/>
      <c r="J301" s="135"/>
      <c r="K301" s="135"/>
      <c r="L301" s="135"/>
      <c r="M301" s="135"/>
    </row>
    <row r="302" spans="1:27" ht="15.75" customHeight="1">
      <c r="A302" s="37" t="s">
        <v>1362</v>
      </c>
      <c r="B302" s="42" t="s">
        <v>1363</v>
      </c>
      <c r="C302" s="39">
        <v>44205</v>
      </c>
      <c r="D302" s="40">
        <v>44242</v>
      </c>
      <c r="E302" s="41">
        <f>D302-C302</f>
        <v>37</v>
      </c>
      <c r="F302" s="43" t="s">
        <v>0</v>
      </c>
      <c r="G302" s="46"/>
      <c r="H302" s="46"/>
      <c r="I302" s="46"/>
      <c r="J302" s="37"/>
      <c r="K302" s="37"/>
      <c r="L302" s="37"/>
      <c r="M302" s="37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 spans="1:27" s="1" customFormat="1" ht="15.75" customHeight="1">
      <c r="A303" s="18" t="s">
        <v>2845</v>
      </c>
      <c r="B303" s="18" t="s">
        <v>1569</v>
      </c>
      <c r="C303" s="17">
        <v>44238</v>
      </c>
      <c r="D303" s="28">
        <v>44275</v>
      </c>
      <c r="E303" s="29">
        <f>D303-C303</f>
        <v>37</v>
      </c>
      <c r="F303" s="27" t="s">
        <v>1570</v>
      </c>
      <c r="G303" s="27"/>
      <c r="H303" s="27"/>
      <c r="I303" s="27"/>
      <c r="J303" s="21"/>
      <c r="K303" s="21"/>
      <c r="L303" s="21"/>
      <c r="M303" s="21"/>
    </row>
    <row r="304" spans="1:27" s="1" customFormat="1" ht="15.75" customHeight="1">
      <c r="A304" s="1" t="s">
        <v>2379</v>
      </c>
      <c r="B304" s="1" t="s">
        <v>2379</v>
      </c>
      <c r="C304" s="2">
        <v>44865</v>
      </c>
      <c r="D304" s="14">
        <v>44902</v>
      </c>
      <c r="E304" s="29">
        <f>D304-C304</f>
        <v>37</v>
      </c>
      <c r="F304" s="16" t="s">
        <v>0</v>
      </c>
      <c r="G304" s="44"/>
      <c r="H304" s="5" t="s">
        <v>2</v>
      </c>
      <c r="I304" s="44"/>
    </row>
    <row r="305" spans="1:27" s="1" customFormat="1" ht="15.75" customHeight="1">
      <c r="A305" s="4" t="s">
        <v>576</v>
      </c>
      <c r="B305" s="31" t="s">
        <v>577</v>
      </c>
      <c r="C305" s="17">
        <v>43510</v>
      </c>
      <c r="D305" s="28">
        <v>43548</v>
      </c>
      <c r="E305" s="29">
        <f>D305-C305</f>
        <v>38</v>
      </c>
      <c r="F305" s="11" t="s">
        <v>563</v>
      </c>
      <c r="G305" s="12"/>
      <c r="H305" s="12"/>
      <c r="I305" s="12"/>
      <c r="J305" s="10"/>
      <c r="K305" s="10"/>
    </row>
    <row r="306" spans="1:27" s="164" customFormat="1" ht="15.75" customHeight="1">
      <c r="A306" s="174" t="s">
        <v>621</v>
      </c>
      <c r="B306" s="168" t="s">
        <v>622</v>
      </c>
      <c r="C306" s="169">
        <v>43543</v>
      </c>
      <c r="D306" s="169">
        <v>43581</v>
      </c>
      <c r="E306" s="172">
        <f>D306-C306</f>
        <v>38</v>
      </c>
      <c r="F306" s="165" t="s">
        <v>0</v>
      </c>
      <c r="G306" s="173" t="s">
        <v>623</v>
      </c>
      <c r="H306" s="173"/>
      <c r="I306" s="173"/>
      <c r="J306" s="174"/>
      <c r="K306" s="174"/>
    </row>
    <row r="307" spans="1:27" s="164" customFormat="1" ht="15.75" customHeight="1">
      <c r="A307" s="157" t="s">
        <v>2061</v>
      </c>
      <c r="B307" s="157" t="s">
        <v>2062</v>
      </c>
      <c r="C307" s="158">
        <v>44591</v>
      </c>
      <c r="D307" s="159">
        <v>44629</v>
      </c>
      <c r="E307" s="160">
        <f>D307-C307</f>
        <v>38</v>
      </c>
      <c r="F307" s="165" t="s">
        <v>0</v>
      </c>
      <c r="G307" s="163"/>
      <c r="H307" s="161" t="s">
        <v>11</v>
      </c>
      <c r="I307" s="163"/>
      <c r="J307" s="156"/>
      <c r="K307" s="156"/>
      <c r="L307" s="156"/>
      <c r="M307" s="156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</row>
    <row r="308" spans="1:27" s="1" customFormat="1" ht="15.75" customHeight="1">
      <c r="A308" s="21" t="s">
        <v>2073</v>
      </c>
      <c r="B308" s="116" t="s">
        <v>2074</v>
      </c>
      <c r="C308" s="2">
        <v>44595</v>
      </c>
      <c r="D308" s="14">
        <v>44633</v>
      </c>
      <c r="E308" s="29">
        <f>D308-C308</f>
        <v>38</v>
      </c>
      <c r="F308" s="16" t="s">
        <v>0</v>
      </c>
      <c r="G308" s="44" t="s">
        <v>2075</v>
      </c>
      <c r="H308" s="5" t="s">
        <v>2</v>
      </c>
      <c r="I308" s="21"/>
      <c r="J308" s="21"/>
      <c r="K308" s="21"/>
      <c r="L308" s="21"/>
      <c r="M308" s="21"/>
    </row>
    <row r="309" spans="1:27" s="1" customFormat="1" ht="15.75" customHeight="1">
      <c r="A309" s="10" t="s">
        <v>724</v>
      </c>
      <c r="B309" s="31" t="s">
        <v>725</v>
      </c>
      <c r="C309" s="17">
        <v>43620</v>
      </c>
      <c r="D309" s="17">
        <v>43659</v>
      </c>
      <c r="E309" s="32">
        <f>D309-C309</f>
        <v>39</v>
      </c>
      <c r="F309" s="16" t="s">
        <v>0</v>
      </c>
      <c r="G309" s="12" t="s">
        <v>471</v>
      </c>
      <c r="H309" s="12"/>
      <c r="I309" s="12"/>
      <c r="J309" s="10"/>
      <c r="K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s="1" customFormat="1" ht="15.75" customHeight="1">
      <c r="A310" s="4" t="s">
        <v>842</v>
      </c>
      <c r="B310" s="31" t="s">
        <v>843</v>
      </c>
      <c r="C310" s="17">
        <v>43698</v>
      </c>
      <c r="D310" s="17">
        <v>43737</v>
      </c>
      <c r="E310" s="32">
        <f>D310-C310</f>
        <v>39</v>
      </c>
      <c r="F310" s="16" t="s">
        <v>0</v>
      </c>
      <c r="G310" s="12" t="s">
        <v>844</v>
      </c>
      <c r="H310" s="12"/>
      <c r="I310" s="12"/>
      <c r="J310" s="10"/>
      <c r="K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.75" customHeight="1">
      <c r="A311" s="42" t="s">
        <v>1399</v>
      </c>
      <c r="B311" s="42" t="s">
        <v>1400</v>
      </c>
      <c r="C311" s="39">
        <v>44131</v>
      </c>
      <c r="D311" s="40">
        <v>44170</v>
      </c>
      <c r="E311" s="41">
        <f>D311-C311</f>
        <v>39</v>
      </c>
      <c r="F311" s="43" t="s">
        <v>0</v>
      </c>
      <c r="G311" s="45" t="s">
        <v>1</v>
      </c>
      <c r="H311" s="46"/>
      <c r="I311" s="46"/>
      <c r="J311" s="37"/>
      <c r="K311" s="37"/>
      <c r="L311" s="42" t="s">
        <v>1401</v>
      </c>
      <c r="M311" s="37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spans="1:27" ht="15.75" customHeight="1">
      <c r="A312" s="87" t="s">
        <v>2019</v>
      </c>
      <c r="B312" s="87" t="s">
        <v>2020</v>
      </c>
      <c r="C312" s="79">
        <v>44770</v>
      </c>
      <c r="D312" s="80">
        <v>44809</v>
      </c>
      <c r="E312" s="41">
        <f>D312-C312</f>
        <v>39</v>
      </c>
      <c r="F312" s="43" t="s">
        <v>0</v>
      </c>
      <c r="G312" s="81"/>
      <c r="H312" s="45" t="s">
        <v>2</v>
      </c>
      <c r="I312" s="81"/>
      <c r="J312" s="87"/>
      <c r="K312" s="87"/>
      <c r="L312" s="87"/>
      <c r="M312" s="87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 spans="1:27" s="1" customFormat="1" ht="15.75" customHeight="1">
      <c r="A313" s="1" t="s">
        <v>2846</v>
      </c>
      <c r="B313" s="1" t="s">
        <v>2292</v>
      </c>
      <c r="C313" s="2">
        <v>44798</v>
      </c>
      <c r="D313" s="14">
        <v>44837</v>
      </c>
      <c r="E313" s="29">
        <f>D313-C313</f>
        <v>39</v>
      </c>
      <c r="F313" s="16" t="s">
        <v>305</v>
      </c>
      <c r="G313" s="44"/>
      <c r="H313" s="5" t="s">
        <v>11</v>
      </c>
      <c r="I313" s="44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.75" customHeight="1">
      <c r="A314" s="42" t="s">
        <v>506</v>
      </c>
      <c r="B314" s="42" t="s">
        <v>507</v>
      </c>
      <c r="C314" s="39">
        <v>44845</v>
      </c>
      <c r="D314" s="39">
        <v>44884</v>
      </c>
      <c r="E314" s="41">
        <f>D314-C314</f>
        <v>39</v>
      </c>
      <c r="F314" s="43" t="s">
        <v>0</v>
      </c>
      <c r="G314" s="45" t="s">
        <v>26</v>
      </c>
      <c r="H314" s="83" t="s">
        <v>2</v>
      </c>
      <c r="I314" s="46"/>
      <c r="J314" s="77"/>
      <c r="K314" s="53" t="s">
        <v>1588</v>
      </c>
      <c r="L314" s="38" t="s">
        <v>509</v>
      </c>
      <c r="M314" s="77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 spans="1:27" s="182" customFormat="1" ht="15.75" customHeight="1">
      <c r="A315" s="183" t="s">
        <v>703</v>
      </c>
      <c r="B315" s="184" t="s">
        <v>704</v>
      </c>
      <c r="C315" s="177">
        <v>43591</v>
      </c>
      <c r="D315" s="177">
        <v>43631</v>
      </c>
      <c r="E315" s="178">
        <f>D315-C315</f>
        <v>40</v>
      </c>
      <c r="F315" s="179" t="s">
        <v>0</v>
      </c>
      <c r="G315" s="180" t="s">
        <v>26</v>
      </c>
      <c r="H315" s="180"/>
      <c r="I315" s="180"/>
      <c r="J315" s="181"/>
      <c r="K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</row>
    <row r="316" spans="1:27" s="182" customFormat="1" ht="15.75" customHeight="1">
      <c r="A316" s="181" t="s">
        <v>1032</v>
      </c>
      <c r="B316" s="181" t="s">
        <v>1033</v>
      </c>
      <c r="C316" s="177">
        <v>43843</v>
      </c>
      <c r="D316" s="186">
        <v>43883</v>
      </c>
      <c r="E316" s="187">
        <f>D316-C316</f>
        <v>40</v>
      </c>
      <c r="F316" s="179" t="s">
        <v>19</v>
      </c>
      <c r="G316" s="180"/>
      <c r="H316" s="180"/>
      <c r="I316" s="180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</row>
    <row r="317" spans="1:27" ht="15.75" customHeight="1">
      <c r="A317" s="42" t="s">
        <v>2847</v>
      </c>
      <c r="B317" s="42" t="s">
        <v>1410</v>
      </c>
      <c r="C317" s="39">
        <v>44074</v>
      </c>
      <c r="D317" s="40">
        <v>44114</v>
      </c>
      <c r="E317" s="47">
        <f>D317-C317</f>
        <v>40</v>
      </c>
      <c r="F317" s="43" t="s">
        <v>0</v>
      </c>
      <c r="G317" s="46"/>
      <c r="H317" s="46"/>
      <c r="I317" s="46"/>
      <c r="J317" s="37"/>
      <c r="K317" s="37"/>
      <c r="L317" s="37"/>
      <c r="M317" s="37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 spans="1:27" s="182" customFormat="1" ht="15.75" customHeight="1">
      <c r="A318" s="181" t="s">
        <v>1492</v>
      </c>
      <c r="B318" s="181" t="s">
        <v>1493</v>
      </c>
      <c r="C318" s="177">
        <v>44135</v>
      </c>
      <c r="D318" s="186">
        <v>44175</v>
      </c>
      <c r="E318" s="187">
        <f>D318-C318</f>
        <v>40</v>
      </c>
      <c r="F318" s="179" t="s">
        <v>0</v>
      </c>
      <c r="G318" s="180" t="s">
        <v>436</v>
      </c>
      <c r="H318" s="192"/>
      <c r="I318" s="192"/>
      <c r="J318" s="234"/>
      <c r="K318" s="234"/>
      <c r="L318" s="234"/>
      <c r="M318" s="234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</row>
    <row r="319" spans="1:27" s="1" customFormat="1" ht="15.75" customHeight="1">
      <c r="A319" s="10" t="s">
        <v>1411</v>
      </c>
      <c r="B319" s="10" t="s">
        <v>1412</v>
      </c>
      <c r="C319" s="17">
        <v>44200</v>
      </c>
      <c r="D319" s="28">
        <v>44240</v>
      </c>
      <c r="E319" s="29">
        <f>D319-C319</f>
        <v>40</v>
      </c>
      <c r="F319" s="16" t="s">
        <v>0</v>
      </c>
      <c r="G319" s="12" t="s">
        <v>26</v>
      </c>
      <c r="H319" s="27"/>
      <c r="I319" s="27"/>
      <c r="J319" s="21"/>
      <c r="K319" s="21"/>
      <c r="L319" s="21"/>
      <c r="M319" s="2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s="182" customFormat="1" ht="15.75" customHeight="1">
      <c r="A320" s="234" t="s">
        <v>1652</v>
      </c>
      <c r="B320" s="234" t="s">
        <v>1653</v>
      </c>
      <c r="C320" s="235">
        <v>44296</v>
      </c>
      <c r="D320" s="191">
        <v>44336</v>
      </c>
      <c r="E320" s="187">
        <f>D320-C320</f>
        <v>40</v>
      </c>
      <c r="F320" s="185" t="s">
        <v>174</v>
      </c>
      <c r="G320" s="192"/>
      <c r="H320" s="192"/>
      <c r="I320" s="192"/>
      <c r="J320" s="193"/>
      <c r="K320" s="193"/>
      <c r="L320" s="193"/>
      <c r="M320" s="193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</row>
    <row r="321" spans="1:27" s="182" customFormat="1" ht="15.75" customHeight="1">
      <c r="A321" s="190" t="s">
        <v>1876</v>
      </c>
      <c r="B321" s="190" t="s">
        <v>1877</v>
      </c>
      <c r="C321" s="235">
        <v>44451</v>
      </c>
      <c r="D321" s="191">
        <v>44491</v>
      </c>
      <c r="E321" s="187">
        <f>D321-C321</f>
        <v>40</v>
      </c>
      <c r="F321" s="185" t="s">
        <v>1796</v>
      </c>
      <c r="G321" s="236" t="s">
        <v>33</v>
      </c>
      <c r="H321" s="192"/>
      <c r="I321" s="192"/>
      <c r="J321" s="193"/>
      <c r="K321" s="237" t="s">
        <v>1878</v>
      </c>
      <c r="L321" s="193"/>
      <c r="M321" s="193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</row>
    <row r="322" spans="1:27" s="182" customFormat="1" ht="15.75" customHeight="1">
      <c r="A322" s="190" t="s">
        <v>1960</v>
      </c>
      <c r="B322" s="190" t="s">
        <v>1961</v>
      </c>
      <c r="C322" s="177">
        <v>44523</v>
      </c>
      <c r="D322" s="191">
        <v>44563</v>
      </c>
      <c r="E322" s="187">
        <f>D322-C322</f>
        <v>40</v>
      </c>
      <c r="F322" s="179" t="s">
        <v>0</v>
      </c>
      <c r="G322" s="192"/>
      <c r="H322" s="236" t="s">
        <v>2</v>
      </c>
      <c r="I322" s="192"/>
      <c r="J322" s="193"/>
      <c r="K322" s="237" t="s">
        <v>1962</v>
      </c>
      <c r="L322" s="193"/>
      <c r="M322" s="193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</row>
    <row r="323" spans="1:27" ht="15.75" customHeight="1">
      <c r="A323" s="37" t="s">
        <v>424</v>
      </c>
      <c r="B323" s="38" t="s">
        <v>425</v>
      </c>
      <c r="C323" s="39">
        <v>43352</v>
      </c>
      <c r="D323" s="39">
        <v>43393</v>
      </c>
      <c r="E323" s="41">
        <f>D323-C323</f>
        <v>41</v>
      </c>
      <c r="F323" s="43"/>
      <c r="G323" s="45" t="s">
        <v>1</v>
      </c>
      <c r="H323" s="45"/>
      <c r="I323" s="45"/>
      <c r="J323" s="42"/>
      <c r="K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 spans="1:27" s="182" customFormat="1" ht="15.75" customHeight="1">
      <c r="A324" s="181" t="s">
        <v>1042</v>
      </c>
      <c r="B324" s="181" t="s">
        <v>1043</v>
      </c>
      <c r="C324" s="177">
        <v>43849</v>
      </c>
      <c r="D324" s="186">
        <v>43890</v>
      </c>
      <c r="E324" s="178">
        <f>D324-C324</f>
        <v>41</v>
      </c>
      <c r="F324" s="179" t="s">
        <v>0</v>
      </c>
      <c r="G324" s="180"/>
      <c r="H324" s="180"/>
      <c r="I324" s="180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</row>
    <row r="325" spans="1:27" ht="15.75" customHeight="1">
      <c r="A325" s="42" t="s">
        <v>1059</v>
      </c>
      <c r="B325" s="42" t="s">
        <v>1060</v>
      </c>
      <c r="C325" s="39">
        <v>43857</v>
      </c>
      <c r="D325" s="40">
        <v>43898</v>
      </c>
      <c r="E325" s="41">
        <f>D325-C325</f>
        <v>41</v>
      </c>
      <c r="F325" s="43" t="s">
        <v>0</v>
      </c>
      <c r="G325" s="45"/>
      <c r="H325" s="45"/>
      <c r="I325" s="45"/>
      <c r="J325" s="42"/>
      <c r="K325" s="42" t="s">
        <v>1061</v>
      </c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 spans="1:27" ht="15.75" customHeight="1">
      <c r="A326" s="42" t="s">
        <v>1044</v>
      </c>
      <c r="B326" s="42" t="s">
        <v>1045</v>
      </c>
      <c r="C326" s="39">
        <v>43927</v>
      </c>
      <c r="D326" s="39">
        <v>43968</v>
      </c>
      <c r="E326" s="47">
        <f>D326-C326</f>
        <v>41</v>
      </c>
      <c r="F326" s="43" t="s">
        <v>0</v>
      </c>
      <c r="G326" s="45" t="s">
        <v>33</v>
      </c>
      <c r="H326" s="45"/>
      <c r="I326" s="45"/>
      <c r="J326" s="37"/>
      <c r="K326" s="53" t="s">
        <v>1046</v>
      </c>
      <c r="L326" s="37"/>
      <c r="M326" s="37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 spans="1:27" s="1" customFormat="1" ht="15.75" customHeight="1">
      <c r="A327" s="10" t="s">
        <v>1411</v>
      </c>
      <c r="B327" s="10" t="s">
        <v>1412</v>
      </c>
      <c r="C327" s="17">
        <v>44073</v>
      </c>
      <c r="D327" s="28">
        <v>44114</v>
      </c>
      <c r="E327" s="29">
        <f>D327-C327</f>
        <v>41</v>
      </c>
      <c r="F327" s="16" t="s">
        <v>1413</v>
      </c>
      <c r="G327" s="27"/>
      <c r="H327" s="27"/>
      <c r="I327" s="27"/>
      <c r="J327" s="4"/>
      <c r="K327" s="4"/>
      <c r="L327" s="4"/>
      <c r="M327" s="4"/>
    </row>
    <row r="328" spans="1:27" s="1" customFormat="1" ht="15.75" customHeight="1">
      <c r="A328" s="116" t="s">
        <v>1797</v>
      </c>
      <c r="B328" s="116" t="s">
        <v>1798</v>
      </c>
      <c r="C328" s="2">
        <v>44399</v>
      </c>
      <c r="D328" s="14">
        <v>44440</v>
      </c>
      <c r="E328" s="29">
        <f>D328-C328</f>
        <v>41</v>
      </c>
      <c r="F328" s="11" t="s">
        <v>98</v>
      </c>
      <c r="G328" s="27"/>
      <c r="H328" s="27"/>
      <c r="I328" s="27"/>
      <c r="J328" s="21"/>
      <c r="K328" s="21"/>
      <c r="L328" s="21"/>
      <c r="M328" s="21"/>
    </row>
    <row r="329" spans="1:27" s="182" customFormat="1" ht="15.75" customHeight="1">
      <c r="A329" s="193" t="s">
        <v>2042</v>
      </c>
      <c r="B329" s="190" t="s">
        <v>2043</v>
      </c>
      <c r="C329" s="235">
        <v>44570</v>
      </c>
      <c r="D329" s="191">
        <v>44611</v>
      </c>
      <c r="E329" s="187">
        <f>D329-C329</f>
        <v>41</v>
      </c>
      <c r="F329" s="179" t="s">
        <v>0</v>
      </c>
      <c r="G329" s="192"/>
      <c r="H329" s="180" t="s">
        <v>11</v>
      </c>
      <c r="I329" s="236" t="s">
        <v>1595</v>
      </c>
      <c r="J329" s="193"/>
      <c r="K329" s="193"/>
      <c r="L329" s="193"/>
      <c r="M329" s="193"/>
    </row>
    <row r="330" spans="1:27" ht="15.75" customHeight="1">
      <c r="A330" s="42" t="s">
        <v>430</v>
      </c>
      <c r="B330" s="38" t="s">
        <v>431</v>
      </c>
      <c r="C330" s="39">
        <v>43355</v>
      </c>
      <c r="D330" s="39">
        <v>43397</v>
      </c>
      <c r="E330" s="41">
        <f>D330-C330</f>
        <v>42</v>
      </c>
      <c r="G330" s="44"/>
      <c r="H330" s="44"/>
      <c r="I330" s="44"/>
      <c r="J330" s="1"/>
      <c r="K330" s="1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 spans="1:27" s="1" customFormat="1" ht="15.75" customHeight="1">
      <c r="A331" s="4" t="s">
        <v>434</v>
      </c>
      <c r="B331" s="31" t="s">
        <v>435</v>
      </c>
      <c r="C331" s="17">
        <v>43358</v>
      </c>
      <c r="D331" s="17">
        <v>43400</v>
      </c>
      <c r="E331" s="29">
        <f>D331-C331</f>
        <v>42</v>
      </c>
      <c r="F331" s="16"/>
      <c r="G331" s="12" t="s">
        <v>436</v>
      </c>
      <c r="H331" s="12"/>
      <c r="I331" s="12"/>
      <c r="J331" s="10"/>
      <c r="K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s="1" customFormat="1" ht="15.75" customHeight="1">
      <c r="A332" s="10" t="s">
        <v>472</v>
      </c>
      <c r="B332" s="31" t="s">
        <v>473</v>
      </c>
      <c r="C332" s="17">
        <v>43426</v>
      </c>
      <c r="D332" s="17">
        <v>43468</v>
      </c>
      <c r="E332" s="29">
        <f>D332-C332</f>
        <v>42</v>
      </c>
      <c r="F332" s="16" t="s">
        <v>474</v>
      </c>
      <c r="G332" s="12"/>
      <c r="H332" s="12"/>
      <c r="I332" s="44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s="182" customFormat="1" ht="15.75" customHeight="1">
      <c r="A333" s="181" t="s">
        <v>726</v>
      </c>
      <c r="B333" s="184" t="s">
        <v>727</v>
      </c>
      <c r="C333" s="177">
        <v>43617</v>
      </c>
      <c r="D333" s="177">
        <v>43659</v>
      </c>
      <c r="E333" s="178">
        <f>D333-C333</f>
        <v>42</v>
      </c>
      <c r="F333" s="185" t="s">
        <v>2848</v>
      </c>
      <c r="G333" s="180" t="s">
        <v>1</v>
      </c>
      <c r="H333" s="180"/>
      <c r="I333" s="180" t="s">
        <v>729</v>
      </c>
      <c r="J333" s="181"/>
      <c r="K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</row>
    <row r="334" spans="1:27" s="1" customFormat="1" ht="15.75" customHeight="1">
      <c r="A334" s="116" t="s">
        <v>1838</v>
      </c>
      <c r="B334" s="116" t="s">
        <v>1839</v>
      </c>
      <c r="C334" s="2">
        <v>44425</v>
      </c>
      <c r="D334" s="28">
        <v>44467</v>
      </c>
      <c r="E334" s="29">
        <f>D334-C334</f>
        <v>42</v>
      </c>
      <c r="F334" s="27" t="s">
        <v>1840</v>
      </c>
      <c r="G334" s="27"/>
      <c r="H334" s="27"/>
      <c r="I334" s="27"/>
      <c r="J334" s="21"/>
      <c r="K334" s="21"/>
      <c r="L334" s="21"/>
      <c r="M334" s="2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s="1" customFormat="1" ht="15.75" customHeight="1">
      <c r="A335" s="116" t="s">
        <v>2025</v>
      </c>
      <c r="B335" s="116" t="s">
        <v>2026</v>
      </c>
      <c r="C335" s="2">
        <v>44555</v>
      </c>
      <c r="D335" s="14">
        <v>44597</v>
      </c>
      <c r="E335" s="29">
        <f>D335-C335</f>
        <v>42</v>
      </c>
      <c r="F335" s="5" t="s">
        <v>305</v>
      </c>
      <c r="G335" s="27"/>
      <c r="H335" s="29" t="s">
        <v>11</v>
      </c>
      <c r="I335" s="44" t="s">
        <v>85</v>
      </c>
      <c r="J335" s="21"/>
      <c r="K335" s="241" t="s">
        <v>2027</v>
      </c>
      <c r="L335" s="116" t="s">
        <v>2028</v>
      </c>
      <c r="M335" s="2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.75" customHeight="1">
      <c r="A336" s="82" t="s">
        <v>2157</v>
      </c>
      <c r="B336" s="82" t="s">
        <v>2158</v>
      </c>
      <c r="C336" s="79">
        <v>44629</v>
      </c>
      <c r="D336" s="80">
        <v>44671</v>
      </c>
      <c r="E336" s="41">
        <f>D336-C336</f>
        <v>42</v>
      </c>
      <c r="F336" s="43" t="s">
        <v>0</v>
      </c>
      <c r="G336" s="46"/>
      <c r="H336" s="41" t="s">
        <v>11</v>
      </c>
      <c r="I336" s="46"/>
      <c r="J336" s="77"/>
      <c r="K336" s="77"/>
      <c r="L336" s="77"/>
      <c r="M336" s="77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 spans="1:27" s="1" customFormat="1" ht="15.75" customHeight="1">
      <c r="A337" s="4" t="s">
        <v>1019</v>
      </c>
      <c r="B337" s="10" t="s">
        <v>1020</v>
      </c>
      <c r="C337" s="17">
        <v>43835</v>
      </c>
      <c r="D337" s="17">
        <v>43878</v>
      </c>
      <c r="E337" s="32">
        <f>D337-C337</f>
        <v>43</v>
      </c>
      <c r="F337" s="16" t="s">
        <v>68</v>
      </c>
      <c r="G337" s="12"/>
      <c r="H337" s="12"/>
      <c r="I337" s="12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s="182" customFormat="1" ht="15.75" customHeight="1">
      <c r="A338" s="190" t="s">
        <v>1766</v>
      </c>
      <c r="B338" s="190" t="s">
        <v>1767</v>
      </c>
      <c r="C338" s="235">
        <v>44364</v>
      </c>
      <c r="D338" s="191">
        <v>44407</v>
      </c>
      <c r="E338" s="187">
        <f>D338-C338</f>
        <v>43</v>
      </c>
      <c r="F338" s="242" t="s">
        <v>263</v>
      </c>
      <c r="G338" s="192"/>
      <c r="H338" s="192"/>
      <c r="I338" s="192"/>
      <c r="J338" s="193"/>
      <c r="K338" s="193"/>
      <c r="L338" s="193"/>
      <c r="M338" s="193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</row>
    <row r="339" spans="1:27" s="182" customFormat="1" ht="15.75" customHeight="1">
      <c r="A339" s="183" t="s">
        <v>647</v>
      </c>
      <c r="B339" s="184" t="s">
        <v>2206</v>
      </c>
      <c r="C339" s="177">
        <v>44678</v>
      </c>
      <c r="D339" s="177">
        <v>44721</v>
      </c>
      <c r="E339" s="187">
        <f>D339-C339</f>
        <v>43</v>
      </c>
      <c r="F339" s="179" t="s">
        <v>0</v>
      </c>
      <c r="G339" s="180" t="s">
        <v>2207</v>
      </c>
      <c r="H339" s="242" t="s">
        <v>11</v>
      </c>
      <c r="I339" s="192"/>
      <c r="J339" s="183"/>
      <c r="K339" s="237" t="s">
        <v>2208</v>
      </c>
      <c r="L339" s="193"/>
      <c r="M339" s="193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</row>
    <row r="340" spans="1:27" s="1" customFormat="1" ht="15.75" customHeight="1">
      <c r="A340" s="4" t="s">
        <v>428</v>
      </c>
      <c r="B340" s="31" t="s">
        <v>429</v>
      </c>
      <c r="C340" s="17">
        <v>43352</v>
      </c>
      <c r="D340" s="17">
        <v>43396</v>
      </c>
      <c r="E340" s="29">
        <f>D340-C340</f>
        <v>44</v>
      </c>
      <c r="F340" s="44"/>
      <c r="G340" s="44"/>
      <c r="H340" s="44"/>
      <c r="I340" s="44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s="1" customFormat="1" ht="15.75" customHeight="1">
      <c r="A341" s="8" t="s">
        <v>481</v>
      </c>
      <c r="B341" s="31" t="s">
        <v>482</v>
      </c>
      <c r="C341" s="17">
        <v>43441</v>
      </c>
      <c r="D341" s="17">
        <v>43485</v>
      </c>
      <c r="E341" s="32">
        <f>D341-C341</f>
        <v>44</v>
      </c>
      <c r="F341" s="16" t="s">
        <v>14</v>
      </c>
      <c r="G341" s="44"/>
      <c r="H341" s="44"/>
      <c r="I341" s="44"/>
      <c r="K341" s="7" t="s">
        <v>483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.75" customHeight="1">
      <c r="A342" s="57" t="s">
        <v>773</v>
      </c>
      <c r="B342" s="38" t="s">
        <v>774</v>
      </c>
      <c r="C342" s="39">
        <v>43653</v>
      </c>
      <c r="D342" s="39">
        <v>43697</v>
      </c>
      <c r="E342" s="47">
        <f>D342-C342</f>
        <v>44</v>
      </c>
      <c r="F342" s="43" t="s">
        <v>0</v>
      </c>
      <c r="G342" s="45" t="s">
        <v>312</v>
      </c>
      <c r="H342" s="45"/>
      <c r="I342" s="45"/>
      <c r="J342" s="42"/>
      <c r="K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 spans="1:27" s="182" customFormat="1" ht="15.75" customHeight="1">
      <c r="A343" s="181" t="s">
        <v>1252</v>
      </c>
      <c r="B343" s="181" t="s">
        <v>1253</v>
      </c>
      <c r="C343" s="177">
        <v>43944</v>
      </c>
      <c r="D343" s="186">
        <v>43988</v>
      </c>
      <c r="E343" s="187">
        <f>D343-C343</f>
        <v>44</v>
      </c>
      <c r="F343" s="185" t="s">
        <v>1093</v>
      </c>
      <c r="G343" s="180" t="s">
        <v>33</v>
      </c>
      <c r="H343" s="180"/>
      <c r="I343" s="180"/>
      <c r="J343" s="183"/>
      <c r="K343" s="183"/>
      <c r="L343" s="183"/>
      <c r="M343" s="183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</row>
    <row r="344" spans="1:27" ht="15.75" customHeight="1">
      <c r="A344" s="77" t="s">
        <v>1533</v>
      </c>
      <c r="B344" s="75" t="s">
        <v>1534</v>
      </c>
      <c r="C344" s="39">
        <v>44238</v>
      </c>
      <c r="D344" s="40">
        <v>44282</v>
      </c>
      <c r="E344" s="41">
        <f>D344-C344</f>
        <v>44</v>
      </c>
      <c r="F344" s="43" t="s">
        <v>0</v>
      </c>
      <c r="G344" s="78" t="s">
        <v>43</v>
      </c>
      <c r="H344" s="78"/>
      <c r="I344" s="46"/>
      <c r="J344" s="77"/>
      <c r="K344" s="76" t="s">
        <v>1535</v>
      </c>
      <c r="L344" s="77"/>
      <c r="M344" s="77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 spans="1:27" s="182" customFormat="1" ht="15.75" customHeight="1">
      <c r="A345" s="190" t="s">
        <v>1801</v>
      </c>
      <c r="B345" s="190" t="s">
        <v>1802</v>
      </c>
      <c r="C345" s="235">
        <v>44399</v>
      </c>
      <c r="D345" s="191">
        <v>44443</v>
      </c>
      <c r="E345" s="187">
        <f>D345-C345</f>
        <v>44</v>
      </c>
      <c r="F345" s="179" t="s">
        <v>0</v>
      </c>
      <c r="G345" s="192"/>
      <c r="H345" s="192"/>
      <c r="I345" s="192"/>
      <c r="J345" s="193"/>
      <c r="K345" s="193"/>
      <c r="L345" s="193"/>
      <c r="M345" s="193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</row>
    <row r="346" spans="1:27" ht="15.75" customHeight="1">
      <c r="A346" s="77" t="s">
        <v>2849</v>
      </c>
      <c r="B346" s="82" t="s">
        <v>2083</v>
      </c>
      <c r="C346" s="79">
        <v>44696</v>
      </c>
      <c r="D346" s="80">
        <v>44740</v>
      </c>
      <c r="E346" s="41">
        <f>D346-C346</f>
        <v>44</v>
      </c>
      <c r="F346" s="43" t="s">
        <v>0</v>
      </c>
      <c r="G346" s="81" t="s">
        <v>1</v>
      </c>
      <c r="H346" s="83" t="s">
        <v>11</v>
      </c>
      <c r="I346" s="81" t="s">
        <v>125</v>
      </c>
      <c r="J346" s="77"/>
      <c r="K346" s="76" t="s">
        <v>2085</v>
      </c>
      <c r="L346" s="77"/>
      <c r="M346" s="77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 spans="1:27" s="248" customFormat="1" ht="15.75" customHeight="1">
      <c r="A347" s="243" t="s">
        <v>437</v>
      </c>
      <c r="B347" s="244" t="s">
        <v>438</v>
      </c>
      <c r="C347" s="245">
        <v>43362</v>
      </c>
      <c r="D347" s="245">
        <v>43407</v>
      </c>
      <c r="E347" s="246">
        <f>D347-C347</f>
        <v>45</v>
      </c>
      <c r="F347" s="247"/>
      <c r="G347" s="247"/>
      <c r="H347" s="247"/>
      <c r="I347" s="247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  <c r="AA347" s="243"/>
    </row>
    <row r="348" spans="1:27" s="248" customFormat="1" ht="15.75" customHeight="1">
      <c r="A348" s="243" t="s">
        <v>635</v>
      </c>
      <c r="B348" s="244" t="s">
        <v>636</v>
      </c>
      <c r="C348" s="245">
        <v>43544</v>
      </c>
      <c r="D348" s="245">
        <v>43589</v>
      </c>
      <c r="E348" s="249">
        <f>D348-C348</f>
        <v>45</v>
      </c>
      <c r="F348" s="250" t="s">
        <v>524</v>
      </c>
      <c r="G348" s="251"/>
      <c r="H348" s="251"/>
      <c r="I348" s="251"/>
      <c r="J348" s="243"/>
      <c r="K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</row>
    <row r="349" spans="1:27" s="182" customFormat="1" ht="15.75" customHeight="1">
      <c r="A349" s="183" t="s">
        <v>1301</v>
      </c>
      <c r="B349" s="181" t="s">
        <v>1302</v>
      </c>
      <c r="C349" s="177">
        <v>43971</v>
      </c>
      <c r="D349" s="186">
        <v>44016</v>
      </c>
      <c r="E349" s="187">
        <f>D349-C349</f>
        <v>45</v>
      </c>
      <c r="F349" s="185" t="s">
        <v>1212</v>
      </c>
      <c r="G349" s="192"/>
      <c r="H349" s="192"/>
      <c r="I349" s="192"/>
      <c r="J349" s="183"/>
      <c r="K349" s="252" t="s">
        <v>1303</v>
      </c>
      <c r="L349" s="183"/>
      <c r="M349" s="183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</row>
    <row r="350" spans="1:27" ht="15.75" customHeight="1">
      <c r="A350" s="37" t="s">
        <v>641</v>
      </c>
      <c r="B350" s="42" t="s">
        <v>1021</v>
      </c>
      <c r="C350" s="39">
        <v>44881</v>
      </c>
      <c r="D350" s="40">
        <v>44926</v>
      </c>
      <c r="E350" s="41">
        <f>D350-C350</f>
        <v>45</v>
      </c>
      <c r="F350" s="43" t="s">
        <v>0</v>
      </c>
      <c r="G350" s="45" t="s">
        <v>1</v>
      </c>
      <c r="H350" s="46" t="s">
        <v>2</v>
      </c>
      <c r="I350" s="46"/>
      <c r="J350" s="37"/>
      <c r="K350" s="53" t="s">
        <v>1022</v>
      </c>
      <c r="L350" s="37"/>
      <c r="M350" s="37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 spans="1:27" s="182" customFormat="1" ht="15.75" customHeight="1">
      <c r="A351" s="181" t="s">
        <v>546</v>
      </c>
      <c r="B351" s="184" t="s">
        <v>547</v>
      </c>
      <c r="C351" s="177">
        <v>43487</v>
      </c>
      <c r="D351" s="177">
        <v>43533</v>
      </c>
      <c r="E351" s="178">
        <f>D351-C351</f>
        <v>46</v>
      </c>
      <c r="F351" s="180" t="s">
        <v>527</v>
      </c>
      <c r="G351" s="180"/>
      <c r="H351" s="180"/>
      <c r="I351" s="180"/>
      <c r="J351" s="181"/>
      <c r="K351" s="181"/>
    </row>
    <row r="352" spans="1:27" s="182" customFormat="1" ht="15.75" customHeight="1">
      <c r="A352" s="183" t="s">
        <v>645</v>
      </c>
      <c r="B352" s="184" t="s">
        <v>646</v>
      </c>
      <c r="C352" s="177">
        <v>43548</v>
      </c>
      <c r="D352" s="177">
        <v>43594</v>
      </c>
      <c r="E352" s="178">
        <f>D352-C352</f>
        <v>46</v>
      </c>
      <c r="F352" s="192" t="s">
        <v>647</v>
      </c>
      <c r="G352" s="180" t="s">
        <v>1</v>
      </c>
      <c r="H352" s="180"/>
      <c r="I352" s="180"/>
      <c r="J352" s="181"/>
      <c r="K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</row>
    <row r="353" spans="1:27" ht="15.75" customHeight="1">
      <c r="A353" s="37" t="s">
        <v>363</v>
      </c>
      <c r="B353" s="42" t="s">
        <v>364</v>
      </c>
      <c r="C353" s="39">
        <v>43870</v>
      </c>
      <c r="D353" s="40">
        <v>43916</v>
      </c>
      <c r="E353" s="41">
        <f>D353-C353</f>
        <v>46</v>
      </c>
      <c r="F353" s="48" t="s">
        <v>1027</v>
      </c>
      <c r="G353" s="45"/>
      <c r="H353" s="45"/>
      <c r="I353" s="45"/>
      <c r="J353" s="42"/>
      <c r="K353" s="53" t="s">
        <v>366</v>
      </c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 spans="1:27" s="182" customFormat="1" ht="15.75" customHeight="1">
      <c r="A354" s="183" t="s">
        <v>1209</v>
      </c>
      <c r="B354" s="181" t="s">
        <v>1210</v>
      </c>
      <c r="C354" s="177">
        <v>43913</v>
      </c>
      <c r="D354" s="177">
        <v>43959</v>
      </c>
      <c r="E354" s="178">
        <f>D354-C354</f>
        <v>46</v>
      </c>
      <c r="F354" s="185" t="s">
        <v>1211</v>
      </c>
      <c r="G354" s="180"/>
      <c r="H354" s="180"/>
      <c r="I354" s="180"/>
      <c r="J354" s="183"/>
      <c r="K354" s="183"/>
      <c r="L354" s="183"/>
      <c r="M354" s="183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</row>
    <row r="355" spans="1:27" s="182" customFormat="1" ht="15.75" customHeight="1">
      <c r="A355" s="193" t="s">
        <v>1536</v>
      </c>
      <c r="B355" s="253" t="s">
        <v>1537</v>
      </c>
      <c r="C355" s="177">
        <v>44195</v>
      </c>
      <c r="D355" s="186">
        <v>44241</v>
      </c>
      <c r="E355" s="187">
        <f>D355-C355</f>
        <v>46</v>
      </c>
      <c r="F355" s="179" t="s">
        <v>0</v>
      </c>
      <c r="G355" s="192"/>
      <c r="H355" s="192"/>
      <c r="I355" s="192"/>
      <c r="J355" s="193"/>
      <c r="K355" s="237" t="s">
        <v>1538</v>
      </c>
      <c r="L355" s="193"/>
      <c r="M355" s="193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</row>
    <row r="356" spans="1:27" s="182" customFormat="1" ht="15.75" customHeight="1">
      <c r="A356" s="183" t="s">
        <v>2263</v>
      </c>
      <c r="B356" s="182" t="s">
        <v>2264</v>
      </c>
      <c r="C356" s="235">
        <v>44735</v>
      </c>
      <c r="D356" s="191">
        <v>44781</v>
      </c>
      <c r="E356" s="187">
        <f>D356-C356</f>
        <v>46</v>
      </c>
      <c r="F356" s="242" t="s">
        <v>2265</v>
      </c>
      <c r="G356" s="236"/>
      <c r="H356" s="242" t="s">
        <v>2</v>
      </c>
      <c r="I356" s="236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</row>
    <row r="357" spans="1:27" ht="15.75" customHeight="1">
      <c r="A357" s="87" t="s">
        <v>2247</v>
      </c>
      <c r="B357" s="87" t="s">
        <v>2248</v>
      </c>
      <c r="C357" s="79">
        <v>44810</v>
      </c>
      <c r="D357" s="80">
        <v>44856</v>
      </c>
      <c r="E357" s="41">
        <f>D357-C357</f>
        <v>46</v>
      </c>
      <c r="F357" s="43" t="s">
        <v>174</v>
      </c>
      <c r="G357" s="81"/>
      <c r="H357" s="83" t="s">
        <v>2</v>
      </c>
      <c r="I357" s="81" t="s">
        <v>21</v>
      </c>
      <c r="J357" s="87"/>
      <c r="K357" s="87"/>
      <c r="L357" s="87"/>
      <c r="M357" s="87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 spans="1:27" s="1" customFormat="1" ht="15.75" customHeight="1">
      <c r="A358" s="4" t="s">
        <v>458</v>
      </c>
      <c r="B358" s="31" t="s">
        <v>459</v>
      </c>
      <c r="C358" s="17">
        <v>43380</v>
      </c>
      <c r="D358" s="17">
        <v>43427</v>
      </c>
      <c r="E358" s="29">
        <f>D358-C358</f>
        <v>47</v>
      </c>
      <c r="F358" s="16" t="s">
        <v>0</v>
      </c>
      <c r="G358" s="12" t="s">
        <v>1</v>
      </c>
      <c r="H358" s="12"/>
      <c r="I358" s="44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.75" customHeight="1">
      <c r="A359" s="37" t="s">
        <v>652</v>
      </c>
      <c r="B359" s="51">
        <v>1373757850</v>
      </c>
      <c r="C359" s="39">
        <v>43620</v>
      </c>
      <c r="D359" s="39">
        <v>43667</v>
      </c>
      <c r="E359" s="47">
        <f>D359-C359</f>
        <v>47</v>
      </c>
      <c r="F359" s="43" t="s">
        <v>0</v>
      </c>
      <c r="G359" s="45" t="s">
        <v>225</v>
      </c>
      <c r="H359" s="45"/>
      <c r="I359" s="45"/>
      <c r="J359" s="42"/>
      <c r="K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 spans="1:27" s="248" customFormat="1" ht="15.75" customHeight="1">
      <c r="A360" s="254" t="s">
        <v>1250</v>
      </c>
      <c r="B360" s="243" t="s">
        <v>1251</v>
      </c>
      <c r="C360" s="245">
        <v>43940</v>
      </c>
      <c r="D360" s="245">
        <v>43987</v>
      </c>
      <c r="E360" s="246">
        <f>D360-C360</f>
        <v>47</v>
      </c>
      <c r="F360" s="250" t="s">
        <v>0</v>
      </c>
      <c r="G360" s="251"/>
      <c r="H360" s="251"/>
      <c r="I360" s="251"/>
      <c r="J360" s="254"/>
      <c r="K360" s="254"/>
      <c r="L360" s="254"/>
      <c r="M360" s="254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</row>
    <row r="361" spans="1:27" ht="15.75" customHeight="1">
      <c r="A361" s="42" t="s">
        <v>1054</v>
      </c>
      <c r="B361" s="42" t="s">
        <v>1055</v>
      </c>
      <c r="C361" s="39">
        <v>44102</v>
      </c>
      <c r="D361" s="40">
        <v>44149</v>
      </c>
      <c r="E361" s="41">
        <f>D361-C361</f>
        <v>47</v>
      </c>
      <c r="F361" s="43" t="s">
        <v>0</v>
      </c>
      <c r="G361" s="45" t="s">
        <v>33</v>
      </c>
      <c r="H361" s="46"/>
      <c r="I361" s="46"/>
      <c r="J361" s="37"/>
      <c r="K361" s="37"/>
      <c r="L361" s="37"/>
      <c r="M361" s="37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 spans="1:27" s="1" customFormat="1" ht="15.75" customHeight="1">
      <c r="A362" s="116" t="s">
        <v>2053</v>
      </c>
      <c r="B362" s="116" t="s">
        <v>2054</v>
      </c>
      <c r="C362" s="2">
        <v>44571</v>
      </c>
      <c r="D362" s="14">
        <v>44618</v>
      </c>
      <c r="E362" s="29">
        <f>D362-C362</f>
        <v>47</v>
      </c>
      <c r="F362" s="16" t="s">
        <v>0</v>
      </c>
      <c r="G362" s="27"/>
      <c r="H362" s="5" t="s">
        <v>2</v>
      </c>
      <c r="I362" s="27"/>
      <c r="J362" s="21"/>
      <c r="K362" s="21"/>
      <c r="L362" s="21"/>
      <c r="M362" s="2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.75" customHeight="1">
      <c r="A363" s="42" t="s">
        <v>672</v>
      </c>
      <c r="B363" s="38" t="s">
        <v>673</v>
      </c>
      <c r="C363" s="39">
        <v>44704</v>
      </c>
      <c r="D363" s="80">
        <v>44751</v>
      </c>
      <c r="E363" s="41">
        <f>D363-C363</f>
        <v>47</v>
      </c>
      <c r="F363" s="43" t="s">
        <v>0</v>
      </c>
      <c r="G363" s="81" t="s">
        <v>70</v>
      </c>
      <c r="H363" s="45" t="s">
        <v>2</v>
      </c>
      <c r="I363" s="46"/>
      <c r="J363" s="37"/>
      <c r="K363" s="37"/>
      <c r="L363" s="77"/>
      <c r="M363" s="77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 spans="1:27" ht="15.75" customHeight="1">
      <c r="A364" s="52" t="s">
        <v>496</v>
      </c>
      <c r="B364" s="51" t="s">
        <v>497</v>
      </c>
      <c r="C364" s="39">
        <v>43451</v>
      </c>
      <c r="D364" s="39">
        <v>43499</v>
      </c>
      <c r="E364" s="47">
        <f>D364-C364</f>
        <v>48</v>
      </c>
      <c r="F364" s="45" t="s">
        <v>474</v>
      </c>
      <c r="G364" s="45"/>
      <c r="H364" s="45"/>
      <c r="I364" s="45"/>
      <c r="J364" s="42"/>
      <c r="K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 spans="1:27" ht="15.75" customHeight="1">
      <c r="A365" s="42" t="s">
        <v>599</v>
      </c>
      <c r="B365" s="38" t="s">
        <v>600</v>
      </c>
      <c r="C365" s="39">
        <v>43520</v>
      </c>
      <c r="D365" s="39">
        <v>43568</v>
      </c>
      <c r="E365" s="47">
        <f>D365-C365</f>
        <v>48</v>
      </c>
      <c r="F365" s="43" t="s">
        <v>0</v>
      </c>
      <c r="G365" s="45"/>
      <c r="H365" s="45"/>
      <c r="I365" s="45"/>
      <c r="J365" s="42"/>
      <c r="K365" s="42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 s="182" customFormat="1" ht="15.75" customHeight="1">
      <c r="A366" s="183" t="s">
        <v>749</v>
      </c>
      <c r="B366" s="184" t="s">
        <v>750</v>
      </c>
      <c r="C366" s="177">
        <v>43632</v>
      </c>
      <c r="D366" s="177">
        <v>43680</v>
      </c>
      <c r="E366" s="178">
        <f>D366-C366</f>
        <v>48</v>
      </c>
      <c r="F366" s="179" t="s">
        <v>0</v>
      </c>
      <c r="G366" s="180" t="s">
        <v>751</v>
      </c>
      <c r="H366" s="180"/>
      <c r="I366" s="180"/>
      <c r="J366" s="181"/>
      <c r="K366" s="181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</row>
    <row r="367" spans="1:27" ht="15.75" customHeight="1">
      <c r="A367" s="65" t="s">
        <v>1012</v>
      </c>
      <c r="B367" s="65" t="s">
        <v>1012</v>
      </c>
      <c r="C367" s="39">
        <v>43884</v>
      </c>
      <c r="D367" s="39">
        <v>43932</v>
      </c>
      <c r="E367" s="47">
        <f>D367-C367</f>
        <v>48</v>
      </c>
      <c r="F367" s="48" t="s">
        <v>1134</v>
      </c>
      <c r="G367" s="45"/>
      <c r="H367" s="45"/>
      <c r="I367" s="45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 s="182" customFormat="1" ht="15.75" customHeight="1">
      <c r="A368" s="193" t="s">
        <v>1746</v>
      </c>
      <c r="B368" s="190" t="s">
        <v>1747</v>
      </c>
      <c r="C368" s="235">
        <v>44346</v>
      </c>
      <c r="D368" s="191">
        <v>44394</v>
      </c>
      <c r="E368" s="187">
        <f>D368-C368</f>
        <v>48</v>
      </c>
      <c r="F368" s="185" t="s">
        <v>174</v>
      </c>
      <c r="G368" s="192"/>
      <c r="H368" s="192"/>
      <c r="I368" s="192"/>
      <c r="J368" s="193"/>
      <c r="K368" s="193"/>
      <c r="L368" s="193"/>
      <c r="M368" s="19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</row>
    <row r="369" spans="1:27" ht="15.75" customHeight="1">
      <c r="A369" s="42" t="s">
        <v>694</v>
      </c>
      <c r="B369" s="38" t="s">
        <v>695</v>
      </c>
      <c r="C369" s="39">
        <v>44384</v>
      </c>
      <c r="D369" s="39">
        <v>44432</v>
      </c>
      <c r="E369" s="41">
        <f>D369-C369</f>
        <v>48</v>
      </c>
      <c r="F369" s="43" t="s">
        <v>0</v>
      </c>
      <c r="G369" s="45" t="s">
        <v>33</v>
      </c>
      <c r="H369" s="46"/>
      <c r="I369" s="46"/>
      <c r="J369" s="87"/>
      <c r="K369" s="53" t="s">
        <v>696</v>
      </c>
      <c r="L369" s="77"/>
      <c r="M369" s="7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 ht="15.75" customHeight="1">
      <c r="A370" s="37" t="s">
        <v>359</v>
      </c>
      <c r="B370" s="38" t="s">
        <v>360</v>
      </c>
      <c r="C370" s="39">
        <v>44394</v>
      </c>
      <c r="D370" s="39">
        <v>44442</v>
      </c>
      <c r="E370" s="41">
        <f>D370-C370</f>
        <v>48</v>
      </c>
      <c r="F370" s="43" t="s">
        <v>0</v>
      </c>
      <c r="G370" s="45" t="s">
        <v>995</v>
      </c>
      <c r="H370" s="46"/>
      <c r="I370" s="46"/>
      <c r="J370" s="37"/>
      <c r="K370" s="76" t="s">
        <v>362</v>
      </c>
      <c r="L370" s="77"/>
      <c r="M370" s="7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 ht="15.75" customHeight="1">
      <c r="A371" s="42" t="s">
        <v>1480</v>
      </c>
      <c r="B371" s="42" t="s">
        <v>1481</v>
      </c>
      <c r="C371" s="39">
        <v>44682</v>
      </c>
      <c r="D371" s="80">
        <v>44730</v>
      </c>
      <c r="E371" s="41">
        <f>D371-C371</f>
        <v>48</v>
      </c>
      <c r="F371" s="43" t="s">
        <v>0</v>
      </c>
      <c r="G371" s="46"/>
      <c r="H371" s="45" t="s">
        <v>2</v>
      </c>
      <c r="I371" s="46"/>
      <c r="J371" s="77"/>
      <c r="K371" s="77"/>
      <c r="L371" s="37" t="s">
        <v>1482</v>
      </c>
      <c r="M371" s="7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 s="182" customFormat="1" ht="15.75" customHeight="1">
      <c r="A372" s="182" t="s">
        <v>2273</v>
      </c>
      <c r="B372" s="182" t="s">
        <v>2274</v>
      </c>
      <c r="C372" s="235">
        <v>44748</v>
      </c>
      <c r="D372" s="191">
        <v>44796</v>
      </c>
      <c r="E372" s="187">
        <f>D372-C372</f>
        <v>48</v>
      </c>
      <c r="F372" s="242" t="s">
        <v>2275</v>
      </c>
      <c r="G372" s="236"/>
      <c r="H372" s="242" t="s">
        <v>2</v>
      </c>
      <c r="I372" s="236"/>
    </row>
    <row r="373" spans="1:27" ht="15.75" customHeight="1">
      <c r="A373" s="37" t="s">
        <v>615</v>
      </c>
      <c r="B373" s="38" t="s">
        <v>616</v>
      </c>
      <c r="C373" s="39">
        <v>43526</v>
      </c>
      <c r="D373" s="39">
        <v>43575</v>
      </c>
      <c r="E373" s="47">
        <f>D373-C373</f>
        <v>49</v>
      </c>
      <c r="F373" s="43" t="s">
        <v>617</v>
      </c>
      <c r="G373" s="45" t="s">
        <v>43</v>
      </c>
      <c r="H373" s="45"/>
      <c r="I373" s="46" t="s">
        <v>455</v>
      </c>
      <c r="J373" s="42"/>
      <c r="K373" s="42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1:27" ht="15.75" customHeight="1">
      <c r="A374" s="42" t="s">
        <v>599</v>
      </c>
      <c r="B374" s="38" t="s">
        <v>600</v>
      </c>
      <c r="C374" s="39">
        <v>43638</v>
      </c>
      <c r="D374" s="39">
        <v>43687</v>
      </c>
      <c r="E374" s="47">
        <f>D374-C374</f>
        <v>49</v>
      </c>
      <c r="F374" s="43" t="s">
        <v>0</v>
      </c>
      <c r="G374" s="45"/>
      <c r="H374" s="45"/>
      <c r="I374" s="45"/>
      <c r="J374" s="42"/>
      <c r="K374" s="42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1:27" s="182" customFormat="1" ht="15.75" customHeight="1">
      <c r="A375" s="256" t="s">
        <v>1135</v>
      </c>
      <c r="B375" s="181" t="s">
        <v>1136</v>
      </c>
      <c r="C375" s="177">
        <v>43883</v>
      </c>
      <c r="D375" s="177">
        <v>43932</v>
      </c>
      <c r="E375" s="178">
        <f>D375-C375</f>
        <v>49</v>
      </c>
      <c r="F375" s="185" t="s">
        <v>1137</v>
      </c>
      <c r="G375" s="180"/>
      <c r="H375" s="180"/>
      <c r="I375" s="180"/>
      <c r="J375" s="183"/>
      <c r="K375" s="252" t="s">
        <v>1138</v>
      </c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</row>
    <row r="376" spans="1:27" ht="15.75" customHeight="1">
      <c r="A376" s="37" t="s">
        <v>1383</v>
      </c>
      <c r="B376" s="42" t="s">
        <v>1384</v>
      </c>
      <c r="C376" s="39">
        <v>44121</v>
      </c>
      <c r="D376" s="40">
        <v>44170</v>
      </c>
      <c r="E376" s="47">
        <f>D376-C376</f>
        <v>49</v>
      </c>
      <c r="F376" s="43" t="s">
        <v>0</v>
      </c>
      <c r="G376" s="45" t="s">
        <v>1491</v>
      </c>
      <c r="H376" s="46"/>
      <c r="I376" s="45" t="s">
        <v>1450</v>
      </c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1:27" ht="15.75" customHeight="1">
      <c r="A377" s="82" t="s">
        <v>1854</v>
      </c>
      <c r="B377" s="82" t="s">
        <v>1855</v>
      </c>
      <c r="C377" s="79">
        <v>44488</v>
      </c>
      <c r="D377" s="80">
        <v>44537</v>
      </c>
      <c r="E377" s="41">
        <f>D377-C377</f>
        <v>49</v>
      </c>
      <c r="F377" s="43" t="s">
        <v>0</v>
      </c>
      <c r="G377" s="81" t="s">
        <v>1</v>
      </c>
      <c r="H377" s="46"/>
      <c r="I377" s="46"/>
      <c r="J377" s="77"/>
      <c r="K377" s="76" t="s">
        <v>1856</v>
      </c>
      <c r="L377" s="77"/>
      <c r="M377" s="7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1:27" s="1" customFormat="1" ht="15.75" customHeight="1">
      <c r="A378" s="1" t="s">
        <v>2360</v>
      </c>
      <c r="B378" s="1" t="s">
        <v>2361</v>
      </c>
      <c r="C378" s="2">
        <v>44839</v>
      </c>
      <c r="D378" s="14">
        <v>44888</v>
      </c>
      <c r="E378" s="29">
        <f>D378-C378</f>
        <v>49</v>
      </c>
      <c r="F378" s="5" t="s">
        <v>144</v>
      </c>
      <c r="G378" s="44"/>
      <c r="H378" s="5" t="s">
        <v>11</v>
      </c>
      <c r="I378" s="4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s="182" customFormat="1" ht="15.75" customHeight="1">
      <c r="A379" s="181" t="s">
        <v>439</v>
      </c>
      <c r="B379" s="184" t="s">
        <v>440</v>
      </c>
      <c r="C379" s="177">
        <v>43362</v>
      </c>
      <c r="D379" s="177">
        <v>43412</v>
      </c>
      <c r="E379" s="187">
        <f>D379-C379</f>
        <v>50</v>
      </c>
      <c r="F379" s="236"/>
      <c r="G379" s="236"/>
      <c r="H379" s="236"/>
      <c r="I379" s="236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</row>
    <row r="380" spans="1:27" ht="15.75" customHeight="1">
      <c r="A380" s="42" t="s">
        <v>467</v>
      </c>
      <c r="B380" s="42" t="s">
        <v>468</v>
      </c>
      <c r="C380" s="39">
        <v>43813</v>
      </c>
      <c r="D380" s="39">
        <v>43863</v>
      </c>
      <c r="E380" s="41">
        <f>D380-C380</f>
        <v>50</v>
      </c>
      <c r="F380" s="43" t="s">
        <v>0</v>
      </c>
      <c r="G380" s="45"/>
      <c r="H380" s="45"/>
      <c r="I380" s="45"/>
      <c r="J380" s="42"/>
      <c r="K380" s="42"/>
      <c r="L380" s="42"/>
      <c r="M380" s="42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1:27" ht="15.75" customHeight="1">
      <c r="A381" s="37" t="s">
        <v>641</v>
      </c>
      <c r="B381" s="42" t="s">
        <v>1021</v>
      </c>
      <c r="C381" s="39">
        <v>43910</v>
      </c>
      <c r="D381" s="39">
        <v>43960</v>
      </c>
      <c r="E381" s="41">
        <f>D381-C381</f>
        <v>50</v>
      </c>
      <c r="F381" s="43" t="s">
        <v>524</v>
      </c>
      <c r="G381" s="45" t="s">
        <v>1</v>
      </c>
      <c r="H381" s="45"/>
      <c r="I381" s="45"/>
      <c r="J381" s="37"/>
      <c r="K381" s="53" t="s">
        <v>1022</v>
      </c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1:27" s="248" customFormat="1" ht="15.75" customHeight="1">
      <c r="A382" s="254" t="s">
        <v>1483</v>
      </c>
      <c r="B382" s="243" t="s">
        <v>1484</v>
      </c>
      <c r="C382" s="245">
        <v>44114</v>
      </c>
      <c r="D382" s="257">
        <v>44164</v>
      </c>
      <c r="E382" s="246">
        <f>D382-C382</f>
        <v>50</v>
      </c>
      <c r="F382" s="250" t="s">
        <v>68</v>
      </c>
      <c r="G382" s="255"/>
      <c r="H382" s="255"/>
      <c r="I382" s="255"/>
      <c r="J382" s="258"/>
      <c r="K382" s="258"/>
      <c r="L382" s="258"/>
      <c r="M382" s="258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4"/>
      <c r="Z382" s="254"/>
      <c r="AA382" s="254"/>
    </row>
    <row r="383" spans="1:27" ht="15.75" customHeight="1">
      <c r="A383" s="84" t="s">
        <v>1701</v>
      </c>
      <c r="B383" s="75" t="s">
        <v>1702</v>
      </c>
      <c r="C383" s="39">
        <v>44316</v>
      </c>
      <c r="D383" s="39">
        <v>44366</v>
      </c>
      <c r="E383" s="41">
        <f>D383-C383</f>
        <v>50</v>
      </c>
      <c r="F383" s="48" t="s">
        <v>1570</v>
      </c>
      <c r="G383" s="46"/>
      <c r="H383" s="46"/>
      <c r="I383" s="46"/>
      <c r="J383" s="77"/>
      <c r="K383" s="77"/>
      <c r="L383" s="77"/>
      <c r="M383" s="7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1:27" ht="15.75" customHeight="1">
      <c r="A384" s="77" t="s">
        <v>1883</v>
      </c>
      <c r="B384" s="82" t="s">
        <v>1884</v>
      </c>
      <c r="C384" s="79">
        <v>44446</v>
      </c>
      <c r="D384" s="80">
        <v>44496</v>
      </c>
      <c r="E384" s="41">
        <f>D384-C384</f>
        <v>50</v>
      </c>
      <c r="F384" s="83" t="s">
        <v>144</v>
      </c>
      <c r="G384" s="46"/>
      <c r="H384" s="46"/>
      <c r="I384" s="46"/>
      <c r="J384" s="77"/>
      <c r="K384" s="77"/>
      <c r="L384" s="77"/>
      <c r="M384" s="7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1:27" ht="15.75" customHeight="1">
      <c r="A385" s="37" t="s">
        <v>1570</v>
      </c>
      <c r="B385" s="42" t="s">
        <v>1864</v>
      </c>
      <c r="C385" s="79">
        <v>44596</v>
      </c>
      <c r="D385" s="80">
        <v>44646</v>
      </c>
      <c r="E385" s="41">
        <f>D385-C385</f>
        <v>50</v>
      </c>
      <c r="F385" s="83" t="s">
        <v>0</v>
      </c>
      <c r="G385" s="81" t="s">
        <v>33</v>
      </c>
      <c r="H385" s="81" t="s">
        <v>11</v>
      </c>
      <c r="I385" s="46"/>
      <c r="J385" s="77"/>
      <c r="K385" s="53" t="s">
        <v>1865</v>
      </c>
      <c r="L385" s="42" t="s">
        <v>1866</v>
      </c>
      <c r="M385" s="7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1:27" s="248" customFormat="1" ht="15.75" customHeight="1">
      <c r="A386" s="254" t="s">
        <v>2850</v>
      </c>
      <c r="B386" s="244" t="s">
        <v>463</v>
      </c>
      <c r="C386" s="245">
        <v>43398</v>
      </c>
      <c r="D386" s="245">
        <v>43449</v>
      </c>
      <c r="E386" s="246">
        <f>D386-C386</f>
        <v>51</v>
      </c>
      <c r="F386" s="250" t="s">
        <v>464</v>
      </c>
      <c r="G386" s="243"/>
      <c r="H386" s="243"/>
      <c r="I386" s="251"/>
      <c r="J386" s="243"/>
      <c r="K386" s="243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4"/>
      <c r="Z386" s="254"/>
      <c r="AA386" s="254"/>
    </row>
    <row r="387" spans="1:27" ht="15.75" customHeight="1">
      <c r="A387" s="42" t="s">
        <v>668</v>
      </c>
      <c r="B387" s="38" t="s">
        <v>669</v>
      </c>
      <c r="C387" s="39">
        <v>43729</v>
      </c>
      <c r="D387" s="39">
        <v>43780</v>
      </c>
      <c r="E387" s="47">
        <f>D387-C387</f>
        <v>51</v>
      </c>
      <c r="F387" s="43" t="s">
        <v>0</v>
      </c>
      <c r="G387" s="45" t="s">
        <v>33</v>
      </c>
      <c r="H387" s="45"/>
      <c r="I387" s="45"/>
      <c r="J387" s="42"/>
      <c r="K387" s="42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1:27" s="248" customFormat="1" ht="15.75" customHeight="1">
      <c r="A388" s="243" t="s">
        <v>994</v>
      </c>
      <c r="B388" s="243" t="s">
        <v>994</v>
      </c>
      <c r="C388" s="245">
        <v>43813</v>
      </c>
      <c r="D388" s="245">
        <v>43864</v>
      </c>
      <c r="E388" s="249">
        <f>D388-C388</f>
        <v>51</v>
      </c>
      <c r="F388" s="250" t="s">
        <v>1009</v>
      </c>
      <c r="G388" s="251"/>
      <c r="H388" s="251"/>
      <c r="I388" s="251"/>
      <c r="J388" s="243"/>
      <c r="K388" s="243"/>
      <c r="L388" s="243"/>
      <c r="M388" s="243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4"/>
      <c r="Z388" s="254"/>
      <c r="AA388" s="254"/>
    </row>
    <row r="389" spans="1:27" ht="15.75" customHeight="1">
      <c r="A389" s="42" t="s">
        <v>1044</v>
      </c>
      <c r="B389" s="42" t="s">
        <v>1045</v>
      </c>
      <c r="C389" s="39">
        <v>43839</v>
      </c>
      <c r="D389" s="40">
        <v>43890</v>
      </c>
      <c r="E389" s="47">
        <f>D389-C389</f>
        <v>51</v>
      </c>
      <c r="F389" s="43" t="s">
        <v>0</v>
      </c>
      <c r="G389" s="45" t="s">
        <v>33</v>
      </c>
      <c r="H389" s="45"/>
      <c r="I389" s="45"/>
      <c r="J389" s="42"/>
      <c r="K389" s="53" t="s">
        <v>1046</v>
      </c>
      <c r="L389" s="42"/>
      <c r="M389" s="42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1:27" ht="15.75" customHeight="1">
      <c r="A390" s="37" t="s">
        <v>1715</v>
      </c>
      <c r="B390" s="42" t="s">
        <v>1716</v>
      </c>
      <c r="C390" s="79">
        <v>44413</v>
      </c>
      <c r="D390" s="80">
        <v>44464</v>
      </c>
      <c r="E390" s="41">
        <f>D390-C390</f>
        <v>51</v>
      </c>
      <c r="F390" s="43" t="s">
        <v>0</v>
      </c>
      <c r="G390" s="45" t="s">
        <v>1</v>
      </c>
      <c r="H390" s="46"/>
      <c r="I390" s="46"/>
      <c r="J390" s="77"/>
      <c r="K390" s="76" t="s">
        <v>1717</v>
      </c>
      <c r="L390" s="42" t="s">
        <v>1718</v>
      </c>
      <c r="M390" s="7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1:27" s="182" customFormat="1" ht="15.75" customHeight="1">
      <c r="A391" s="193" t="s">
        <v>2098</v>
      </c>
      <c r="B391" s="190" t="s">
        <v>2099</v>
      </c>
      <c r="C391" s="235">
        <v>44593</v>
      </c>
      <c r="D391" s="191">
        <v>44644</v>
      </c>
      <c r="E391" s="187">
        <f>D391-C391</f>
        <v>51</v>
      </c>
      <c r="F391" s="179" t="s">
        <v>0</v>
      </c>
      <c r="G391" s="192"/>
      <c r="H391" s="242" t="s">
        <v>2</v>
      </c>
      <c r="I391" s="192"/>
      <c r="J391" s="193"/>
      <c r="K391" s="193"/>
      <c r="L391" s="193"/>
      <c r="M391" s="19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</row>
    <row r="392" spans="1:27" ht="15.75" customHeight="1">
      <c r="A392" s="57" t="s">
        <v>773</v>
      </c>
      <c r="B392" s="38" t="s">
        <v>774</v>
      </c>
      <c r="C392" s="39">
        <v>44874</v>
      </c>
      <c r="D392" s="39">
        <v>44925</v>
      </c>
      <c r="E392" s="41">
        <f>D392-C392</f>
        <v>51</v>
      </c>
      <c r="F392" s="43" t="s">
        <v>0</v>
      </c>
      <c r="G392" s="45" t="s">
        <v>312</v>
      </c>
      <c r="H392" s="45" t="s">
        <v>11</v>
      </c>
      <c r="I392" s="45"/>
      <c r="J392" s="42"/>
      <c r="K392" s="42"/>
      <c r="L392" s="87"/>
      <c r="M392" s="8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1:27" s="182" customFormat="1" ht="15.75" customHeight="1">
      <c r="A393" s="181" t="s">
        <v>2851</v>
      </c>
      <c r="B393" s="184" t="s">
        <v>433</v>
      </c>
      <c r="C393" s="177">
        <v>43345</v>
      </c>
      <c r="D393" s="177">
        <v>43397</v>
      </c>
      <c r="E393" s="187">
        <f>D393-C393</f>
        <v>52</v>
      </c>
      <c r="F393" s="236"/>
      <c r="G393" s="180" t="s">
        <v>1</v>
      </c>
      <c r="H393" s="180"/>
      <c r="I393" s="236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</row>
    <row r="394" spans="1:27" s="1" customFormat="1" ht="15.75" customHeight="1">
      <c r="A394" s="10" t="s">
        <v>569</v>
      </c>
      <c r="B394" s="31" t="s">
        <v>570</v>
      </c>
      <c r="C394" s="17">
        <v>43494</v>
      </c>
      <c r="D394" s="17">
        <v>43546</v>
      </c>
      <c r="E394" s="32">
        <f>D394-C394</f>
        <v>52</v>
      </c>
      <c r="F394" s="12" t="s">
        <v>539</v>
      </c>
      <c r="G394" s="12" t="s">
        <v>33</v>
      </c>
      <c r="H394" s="12"/>
      <c r="I394" s="27" t="s">
        <v>455</v>
      </c>
      <c r="J394" s="10"/>
      <c r="K394" s="10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>
      <c r="A395" s="37" t="s">
        <v>550</v>
      </c>
      <c r="B395" s="38" t="s">
        <v>551</v>
      </c>
      <c r="C395" s="39">
        <v>44312</v>
      </c>
      <c r="D395" s="40">
        <v>44364</v>
      </c>
      <c r="E395" s="41">
        <f>D395-C395</f>
        <v>52</v>
      </c>
      <c r="F395" s="43" t="s">
        <v>0</v>
      </c>
      <c r="G395" s="46"/>
      <c r="H395" s="46"/>
      <c r="I395" s="46"/>
      <c r="J395" s="77"/>
      <c r="K395" s="77"/>
      <c r="L395" s="77"/>
      <c r="M395" s="7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1:27" ht="15.75" customHeight="1">
      <c r="A396" s="75" t="s">
        <v>1635</v>
      </c>
      <c r="B396" s="75" t="s">
        <v>1636</v>
      </c>
      <c r="C396" s="39">
        <v>44665</v>
      </c>
      <c r="D396" s="80">
        <v>44717</v>
      </c>
      <c r="E396" s="41">
        <f>D396-C396</f>
        <v>52</v>
      </c>
      <c r="F396" s="43" t="s">
        <v>0</v>
      </c>
      <c r="G396" s="45" t="s">
        <v>2205</v>
      </c>
      <c r="H396" s="83" t="s">
        <v>2</v>
      </c>
      <c r="I396" s="46"/>
      <c r="J396" s="77"/>
      <c r="K396" s="76" t="s">
        <v>2100</v>
      </c>
      <c r="L396" s="75" t="s">
        <v>2101</v>
      </c>
      <c r="M396" s="7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1:27" s="1" customFormat="1" ht="15.75" customHeight="1">
      <c r="A397" s="1" t="s">
        <v>2395</v>
      </c>
      <c r="B397" s="1" t="s">
        <v>2396</v>
      </c>
      <c r="C397" s="2">
        <v>44867</v>
      </c>
      <c r="D397" s="14">
        <v>44919</v>
      </c>
      <c r="E397" s="29">
        <f>D397-C397</f>
        <v>52</v>
      </c>
      <c r="F397" s="16" t="s">
        <v>0</v>
      </c>
      <c r="G397" s="44"/>
      <c r="H397" s="5" t="s">
        <v>2</v>
      </c>
      <c r="I397" s="4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>
      <c r="A398" s="57" t="s">
        <v>882</v>
      </c>
      <c r="B398" s="51" t="s">
        <v>883</v>
      </c>
      <c r="C398" s="39">
        <v>43845</v>
      </c>
      <c r="D398" s="40">
        <v>43898</v>
      </c>
      <c r="E398" s="41">
        <f>D398-C398</f>
        <v>53</v>
      </c>
      <c r="F398" s="43" t="s">
        <v>1062</v>
      </c>
      <c r="G398" s="45" t="s">
        <v>43</v>
      </c>
      <c r="H398" s="45"/>
      <c r="I398" s="45"/>
      <c r="J398" s="42"/>
      <c r="K398" s="42"/>
      <c r="L398" s="42"/>
      <c r="M398" s="42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spans="1:27" s="1" customFormat="1" ht="15.75" customHeight="1">
      <c r="A399" s="116" t="s">
        <v>1922</v>
      </c>
      <c r="B399" s="116" t="s">
        <v>1923</v>
      </c>
      <c r="C399" s="2">
        <v>44473</v>
      </c>
      <c r="D399" s="14">
        <v>44526</v>
      </c>
      <c r="E399" s="29">
        <f>D399-C399</f>
        <v>53</v>
      </c>
      <c r="F399" s="5" t="s">
        <v>1917</v>
      </c>
      <c r="G399" s="27"/>
      <c r="H399" s="27"/>
      <c r="I399" s="27"/>
      <c r="J399" s="21"/>
      <c r="K399" s="21"/>
      <c r="L399" s="21"/>
      <c r="M399" s="2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>
      <c r="A400" s="42" t="s">
        <v>475</v>
      </c>
      <c r="B400" s="38" t="s">
        <v>476</v>
      </c>
      <c r="C400" s="39">
        <v>43415</v>
      </c>
      <c r="D400" s="39">
        <v>43469</v>
      </c>
      <c r="E400" s="47">
        <f>D400-C400</f>
        <v>54</v>
      </c>
      <c r="F400" s="48" t="s">
        <v>31</v>
      </c>
      <c r="G400" s="45"/>
      <c r="H400" s="45"/>
      <c r="I400" s="44"/>
      <c r="J400" s="1"/>
      <c r="K400" s="1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spans="1:27" s="182" customFormat="1" ht="15.75" customHeight="1">
      <c r="A401" s="181" t="s">
        <v>687</v>
      </c>
      <c r="B401" s="184" t="s">
        <v>688</v>
      </c>
      <c r="C401" s="177">
        <v>43568</v>
      </c>
      <c r="D401" s="177">
        <v>43622</v>
      </c>
      <c r="E401" s="178">
        <f>D401-C401</f>
        <v>54</v>
      </c>
      <c r="F401" s="179" t="s">
        <v>0</v>
      </c>
      <c r="G401" s="180" t="s">
        <v>26</v>
      </c>
      <c r="H401" s="180"/>
      <c r="I401" s="180"/>
      <c r="J401" s="181"/>
      <c r="K401" s="181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</row>
    <row r="402" spans="1:27" ht="15.75" customHeight="1">
      <c r="A402" s="57" t="s">
        <v>1189</v>
      </c>
      <c r="B402" s="42" t="s">
        <v>1190</v>
      </c>
      <c r="C402" s="39">
        <v>43979</v>
      </c>
      <c r="D402" s="39">
        <v>44033</v>
      </c>
      <c r="E402" s="41">
        <f>D402-C402</f>
        <v>54</v>
      </c>
      <c r="F402" s="43" t="s">
        <v>0</v>
      </c>
      <c r="G402" s="46"/>
      <c r="H402" s="46"/>
      <c r="I402" s="46"/>
      <c r="J402" s="37"/>
      <c r="K402" s="53" t="s">
        <v>1191</v>
      </c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1:27" ht="15.75" customHeight="1">
      <c r="A403" s="37" t="s">
        <v>1295</v>
      </c>
      <c r="B403" s="42" t="s">
        <v>1296</v>
      </c>
      <c r="C403" s="39">
        <v>44065</v>
      </c>
      <c r="D403" s="40">
        <v>44119</v>
      </c>
      <c r="E403" s="41">
        <f>D403-C403</f>
        <v>54</v>
      </c>
      <c r="F403" s="43" t="s">
        <v>0</v>
      </c>
      <c r="G403" s="46"/>
      <c r="H403" s="46"/>
      <c r="I403" s="46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1:27" ht="15.75" customHeight="1">
      <c r="A404" s="57" t="s">
        <v>911</v>
      </c>
      <c r="B404" s="38" t="s">
        <v>912</v>
      </c>
      <c r="C404" s="39">
        <v>44088</v>
      </c>
      <c r="D404" s="40">
        <v>44142</v>
      </c>
      <c r="E404" s="41">
        <f>D404-C404</f>
        <v>54</v>
      </c>
      <c r="F404" s="43" t="s">
        <v>0</v>
      </c>
      <c r="G404" s="46"/>
      <c r="H404" s="46"/>
      <c r="I404" s="46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spans="1:27" ht="15.75" customHeight="1">
      <c r="A405" s="42" t="s">
        <v>1480</v>
      </c>
      <c r="B405" s="42" t="s">
        <v>1481</v>
      </c>
      <c r="C405" s="39">
        <v>44334</v>
      </c>
      <c r="D405" s="40">
        <v>44388</v>
      </c>
      <c r="E405" s="41">
        <f>D405-C405</f>
        <v>54</v>
      </c>
      <c r="F405" s="43" t="s">
        <v>0</v>
      </c>
      <c r="G405" s="46"/>
      <c r="H405" s="46"/>
      <c r="I405" s="46"/>
      <c r="J405" s="77"/>
      <c r="K405" s="77"/>
      <c r="L405" s="37" t="s">
        <v>1482</v>
      </c>
      <c r="M405" s="7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spans="1:27" s="1" customFormat="1" ht="15.75" customHeight="1">
      <c r="A406" s="21" t="s">
        <v>1887</v>
      </c>
      <c r="B406" s="116" t="s">
        <v>1888</v>
      </c>
      <c r="C406" s="2">
        <v>44445</v>
      </c>
      <c r="D406" s="14">
        <v>44499</v>
      </c>
      <c r="E406" s="29">
        <f>D406-C406</f>
        <v>54</v>
      </c>
      <c r="F406" s="5" t="s">
        <v>1889</v>
      </c>
      <c r="G406" s="27"/>
      <c r="H406" s="27"/>
      <c r="I406" s="27"/>
      <c r="J406" s="21"/>
      <c r="K406" s="21"/>
      <c r="L406" s="21"/>
      <c r="M406" s="2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s="182" customFormat="1" ht="15.75" customHeight="1">
      <c r="A407" s="193" t="s">
        <v>2249</v>
      </c>
      <c r="B407" s="190" t="s">
        <v>2250</v>
      </c>
      <c r="C407" s="235">
        <v>44702</v>
      </c>
      <c r="D407" s="191">
        <v>44756</v>
      </c>
      <c r="E407" s="187">
        <f>D407-C407</f>
        <v>54</v>
      </c>
      <c r="F407" s="179" t="s">
        <v>0</v>
      </c>
      <c r="G407" s="192"/>
      <c r="H407" s="242" t="s">
        <v>2</v>
      </c>
      <c r="I407" s="192"/>
      <c r="J407" s="193"/>
      <c r="K407" s="193"/>
      <c r="L407" s="193"/>
      <c r="M407" s="19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</row>
    <row r="408" spans="1:27" s="1" customFormat="1" ht="15.75" customHeight="1">
      <c r="A408" s="1" t="s">
        <v>2852</v>
      </c>
      <c r="B408" s="1" t="s">
        <v>2388</v>
      </c>
      <c r="C408" s="2">
        <v>44858</v>
      </c>
      <c r="D408" s="14">
        <v>44912</v>
      </c>
      <c r="E408" s="29">
        <f>D408-C408</f>
        <v>54</v>
      </c>
      <c r="F408" s="5" t="s">
        <v>219</v>
      </c>
      <c r="G408" s="44"/>
      <c r="H408" s="5" t="s">
        <v>2</v>
      </c>
      <c r="I408" s="4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s="1" customFormat="1" ht="15.75" customHeight="1">
      <c r="A409" s="10" t="s">
        <v>650</v>
      </c>
      <c r="B409" s="31" t="s">
        <v>651</v>
      </c>
      <c r="C409" s="17">
        <v>43541</v>
      </c>
      <c r="D409" s="17">
        <v>43596</v>
      </c>
      <c r="E409" s="32">
        <f>D409-C409</f>
        <v>55</v>
      </c>
      <c r="F409" s="16" t="s">
        <v>0</v>
      </c>
      <c r="G409" s="12"/>
      <c r="H409" s="12"/>
      <c r="I409" s="12"/>
      <c r="J409" s="10"/>
      <c r="K409" s="10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s="1" customFormat="1" ht="15.75" customHeight="1">
      <c r="A410" s="10" t="s">
        <v>747</v>
      </c>
      <c r="B410" s="31" t="s">
        <v>748</v>
      </c>
      <c r="C410" s="17">
        <v>43619</v>
      </c>
      <c r="D410" s="17">
        <v>43674</v>
      </c>
      <c r="E410" s="32">
        <f>D410-C410</f>
        <v>55</v>
      </c>
      <c r="F410" s="16" t="s">
        <v>0</v>
      </c>
      <c r="G410" s="12"/>
      <c r="H410" s="12"/>
      <c r="I410" s="12"/>
      <c r="J410" s="10"/>
      <c r="K410" s="10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>
      <c r="A411" s="37" t="s">
        <v>2853</v>
      </c>
      <c r="B411" s="42" t="s">
        <v>349</v>
      </c>
      <c r="C411" s="79">
        <v>44444</v>
      </c>
      <c r="D411" s="80">
        <v>44499</v>
      </c>
      <c r="E411" s="41">
        <f>D411-C411</f>
        <v>55</v>
      </c>
      <c r="F411" s="43" t="s">
        <v>0</v>
      </c>
      <c r="G411" s="45" t="s">
        <v>33</v>
      </c>
      <c r="H411" s="46"/>
      <c r="I411" s="46"/>
      <c r="J411" s="77"/>
      <c r="K411" s="53" t="s">
        <v>348</v>
      </c>
      <c r="L411" s="77"/>
      <c r="M411" s="7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spans="1:27" s="182" customFormat="1" ht="15.75" customHeight="1">
      <c r="A412" s="193" t="s">
        <v>2034</v>
      </c>
      <c r="B412" s="190" t="s">
        <v>2035</v>
      </c>
      <c r="C412" s="235">
        <v>44549</v>
      </c>
      <c r="D412" s="191">
        <v>44604</v>
      </c>
      <c r="E412" s="187">
        <f>D412-C412</f>
        <v>55</v>
      </c>
      <c r="F412" s="236" t="s">
        <v>221</v>
      </c>
      <c r="G412" s="192"/>
      <c r="H412" s="242" t="s">
        <v>2</v>
      </c>
      <c r="I412" s="236" t="s">
        <v>2036</v>
      </c>
      <c r="J412" s="193"/>
      <c r="K412" s="193"/>
      <c r="L412" s="193"/>
      <c r="M412" s="19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</row>
    <row r="413" spans="1:27" s="248" customFormat="1" ht="15.75" customHeight="1">
      <c r="A413" s="260" t="s">
        <v>2059</v>
      </c>
      <c r="B413" s="260" t="s">
        <v>2060</v>
      </c>
      <c r="C413" s="261">
        <v>44571</v>
      </c>
      <c r="D413" s="262">
        <v>44626</v>
      </c>
      <c r="E413" s="246">
        <f>D413-C413</f>
        <v>55</v>
      </c>
      <c r="F413" s="250" t="s">
        <v>0</v>
      </c>
      <c r="G413" s="255"/>
      <c r="H413" s="263" t="s">
        <v>2</v>
      </c>
      <c r="I413" s="255"/>
      <c r="J413" s="264"/>
      <c r="K413" s="264"/>
      <c r="L413" s="264"/>
      <c r="M413" s="26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  <c r="AA413" s="254"/>
    </row>
    <row r="414" spans="1:27" s="248" customFormat="1" ht="15.75" customHeight="1">
      <c r="A414" s="248" t="s">
        <v>2182</v>
      </c>
      <c r="B414" s="260" t="s">
        <v>2183</v>
      </c>
      <c r="C414" s="261">
        <v>44647</v>
      </c>
      <c r="D414" s="262">
        <v>44702</v>
      </c>
      <c r="E414" s="246">
        <f>D414-C414</f>
        <v>55</v>
      </c>
      <c r="F414" s="250" t="s">
        <v>0</v>
      </c>
      <c r="G414" s="255"/>
      <c r="H414" s="263" t="s">
        <v>2</v>
      </c>
      <c r="I414" s="255"/>
      <c r="J414" s="264"/>
      <c r="K414" s="264"/>
      <c r="L414" s="264"/>
      <c r="M414" s="26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</row>
    <row r="415" spans="1:27" ht="15.75" customHeight="1">
      <c r="A415" s="37" t="s">
        <v>2066</v>
      </c>
      <c r="B415" s="87" t="s">
        <v>2067</v>
      </c>
      <c r="C415" s="79">
        <v>44773</v>
      </c>
      <c r="D415" s="80">
        <v>44828</v>
      </c>
      <c r="E415" s="41">
        <f>D415-C415</f>
        <v>55</v>
      </c>
      <c r="F415" s="43" t="s">
        <v>0</v>
      </c>
      <c r="G415" s="81" t="s">
        <v>33</v>
      </c>
      <c r="H415" s="83" t="s">
        <v>2</v>
      </c>
      <c r="I415" s="81" t="s">
        <v>2068</v>
      </c>
      <c r="J415" s="87"/>
      <c r="K415" s="76" t="s">
        <v>2069</v>
      </c>
      <c r="L415" s="87"/>
      <c r="M415" s="8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spans="1:27" s="182" customFormat="1" ht="15.75" customHeight="1">
      <c r="A416" s="181" t="s">
        <v>548</v>
      </c>
      <c r="B416" s="184" t="s">
        <v>548</v>
      </c>
      <c r="C416" s="177">
        <v>43478</v>
      </c>
      <c r="D416" s="177">
        <v>43534</v>
      </c>
      <c r="E416" s="178">
        <f>D416-C416</f>
        <v>56</v>
      </c>
      <c r="F416" s="180" t="s">
        <v>549</v>
      </c>
      <c r="G416" s="180"/>
      <c r="H416" s="180"/>
      <c r="I416" s="180"/>
      <c r="J416" s="181"/>
      <c r="K416" s="181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</row>
    <row r="417" spans="1:27" s="1" customFormat="1" ht="15.75" customHeight="1">
      <c r="A417" s="4" t="s">
        <v>811</v>
      </c>
      <c r="B417" s="31" t="s">
        <v>812</v>
      </c>
      <c r="C417" s="17">
        <v>43666</v>
      </c>
      <c r="D417" s="28">
        <v>43722</v>
      </c>
      <c r="E417" s="29">
        <f>D417-C417</f>
        <v>56</v>
      </c>
      <c r="F417" s="12" t="s">
        <v>813</v>
      </c>
      <c r="G417" s="12"/>
      <c r="H417" s="12"/>
      <c r="I417" s="12"/>
      <c r="J417" s="10"/>
      <c r="K417" s="10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s="182" customFormat="1" ht="15.75" customHeight="1">
      <c r="A418" s="181" t="s">
        <v>1213</v>
      </c>
      <c r="B418" s="181" t="s">
        <v>1214</v>
      </c>
      <c r="C418" s="177">
        <v>43904</v>
      </c>
      <c r="D418" s="177">
        <v>43960</v>
      </c>
      <c r="E418" s="187">
        <f>D418-C418</f>
        <v>56</v>
      </c>
      <c r="F418" s="180" t="s">
        <v>0</v>
      </c>
      <c r="G418" s="180"/>
      <c r="H418" s="180"/>
      <c r="I418" s="180"/>
      <c r="J418" s="183"/>
      <c r="K418" s="252" t="s">
        <v>1215</v>
      </c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</row>
    <row r="419" spans="1:27" ht="15.75" customHeight="1">
      <c r="A419" s="37" t="s">
        <v>1374</v>
      </c>
      <c r="B419" s="42" t="s">
        <v>1375</v>
      </c>
      <c r="C419" s="39">
        <v>44024</v>
      </c>
      <c r="D419" s="40">
        <v>44080</v>
      </c>
      <c r="E419" s="41">
        <f>D419-C419</f>
        <v>56</v>
      </c>
      <c r="F419" s="43" t="s">
        <v>1376</v>
      </c>
      <c r="G419" s="46"/>
      <c r="H419" s="46"/>
      <c r="I419" s="46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spans="1:27" s="182" customFormat="1" ht="15.75" customHeight="1">
      <c r="A420" s="190" t="s">
        <v>1571</v>
      </c>
      <c r="B420" s="234" t="s">
        <v>1572</v>
      </c>
      <c r="C420" s="235">
        <v>44219</v>
      </c>
      <c r="D420" s="191">
        <v>44275</v>
      </c>
      <c r="E420" s="187">
        <f>D420-C420</f>
        <v>56</v>
      </c>
      <c r="F420" s="179" t="s">
        <v>0</v>
      </c>
      <c r="G420" s="192"/>
      <c r="H420" s="192"/>
      <c r="I420" s="236" t="s">
        <v>90</v>
      </c>
      <c r="J420" s="190"/>
      <c r="K420" s="190"/>
      <c r="L420" s="190"/>
      <c r="M420" s="190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</row>
    <row r="421" spans="1:27" s="182" customFormat="1" ht="15.75" customHeight="1">
      <c r="A421" s="182" t="s">
        <v>2333</v>
      </c>
      <c r="B421" s="182" t="s">
        <v>2334</v>
      </c>
      <c r="C421" s="235">
        <v>44807</v>
      </c>
      <c r="D421" s="191">
        <v>44863</v>
      </c>
      <c r="E421" s="187">
        <f>D421-C421</f>
        <v>56</v>
      </c>
      <c r="F421" s="179" t="s">
        <v>0</v>
      </c>
      <c r="G421" s="236"/>
      <c r="H421" s="242" t="s">
        <v>11</v>
      </c>
      <c r="I421" s="236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</row>
    <row r="422" spans="1:27" ht="15.75" customHeight="1">
      <c r="A422" s="37" t="s">
        <v>552</v>
      </c>
      <c r="B422" s="38" t="s">
        <v>553</v>
      </c>
      <c r="C422" s="39">
        <v>43561</v>
      </c>
      <c r="D422" s="39">
        <v>43618</v>
      </c>
      <c r="E422" s="47">
        <f>D422-C422</f>
        <v>57</v>
      </c>
      <c r="F422" s="45" t="s">
        <v>539</v>
      </c>
      <c r="G422" s="45" t="s">
        <v>33</v>
      </c>
      <c r="H422" s="45"/>
      <c r="I422" s="46" t="s">
        <v>455</v>
      </c>
      <c r="J422" s="42"/>
      <c r="K422" s="42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spans="1:27" ht="15.75" customHeight="1">
      <c r="A423" s="37" t="s">
        <v>1362</v>
      </c>
      <c r="B423" s="42" t="s">
        <v>1363</v>
      </c>
      <c r="C423" s="39">
        <v>44016</v>
      </c>
      <c r="D423" s="40">
        <v>44073</v>
      </c>
      <c r="E423" s="41">
        <f>D423-C423</f>
        <v>57</v>
      </c>
      <c r="F423" s="43" t="s">
        <v>0</v>
      </c>
      <c r="G423" s="46"/>
      <c r="H423" s="46"/>
      <c r="I423" s="46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spans="1:27" ht="15.75" customHeight="1">
      <c r="A424" s="77" t="s">
        <v>2015</v>
      </c>
      <c r="B424" s="91" t="s">
        <v>2016</v>
      </c>
      <c r="C424" s="79">
        <v>44667</v>
      </c>
      <c r="D424" s="80">
        <v>44724</v>
      </c>
      <c r="E424" s="41">
        <f>D424-C424</f>
        <v>57</v>
      </c>
      <c r="F424" s="43" t="s">
        <v>0</v>
      </c>
      <c r="G424" s="46"/>
      <c r="H424" s="45" t="s">
        <v>11</v>
      </c>
      <c r="I424" s="46"/>
      <c r="J424" s="77"/>
      <c r="K424" s="77"/>
      <c r="L424" s="77"/>
      <c r="M424" s="7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spans="1:27" ht="15.75" customHeight="1">
      <c r="A425" s="77" t="s">
        <v>1883</v>
      </c>
      <c r="B425" s="82" t="s">
        <v>1884</v>
      </c>
      <c r="C425" s="79">
        <v>44560</v>
      </c>
      <c r="D425" s="80">
        <v>44618</v>
      </c>
      <c r="E425" s="41">
        <f>D425-C425</f>
        <v>58</v>
      </c>
      <c r="F425" s="43" t="s">
        <v>0</v>
      </c>
      <c r="G425" s="46"/>
      <c r="H425" s="83" t="s">
        <v>2</v>
      </c>
      <c r="I425" s="46"/>
      <c r="J425" s="77"/>
      <c r="K425" s="77"/>
      <c r="L425" s="77"/>
      <c r="M425" s="7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spans="1:27" ht="15.75" customHeight="1">
      <c r="A426" s="77" t="s">
        <v>1944</v>
      </c>
      <c r="B426" s="82" t="s">
        <v>1945</v>
      </c>
      <c r="C426" s="79">
        <v>44560</v>
      </c>
      <c r="D426" s="80">
        <v>44618</v>
      </c>
      <c r="E426" s="41">
        <f>D426-C426</f>
        <v>58</v>
      </c>
      <c r="F426" s="48" t="s">
        <v>1013</v>
      </c>
      <c r="G426" s="45" t="s">
        <v>336</v>
      </c>
      <c r="H426" s="83" t="s">
        <v>11</v>
      </c>
      <c r="I426" s="46"/>
      <c r="J426" s="77"/>
      <c r="K426" s="77"/>
      <c r="L426" s="77"/>
      <c r="M426" s="7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spans="1:27" ht="15.75" customHeight="1">
      <c r="A427" s="77" t="s">
        <v>1662</v>
      </c>
      <c r="B427" s="75" t="s">
        <v>1663</v>
      </c>
      <c r="C427" s="39">
        <v>44832</v>
      </c>
      <c r="D427" s="40">
        <v>44890</v>
      </c>
      <c r="E427" s="41">
        <f>D427-C427</f>
        <v>58</v>
      </c>
      <c r="F427" s="43" t="s">
        <v>0</v>
      </c>
      <c r="G427" s="46"/>
      <c r="H427" s="45" t="s">
        <v>2</v>
      </c>
      <c r="I427" s="46"/>
      <c r="J427" s="77"/>
      <c r="K427" s="76" t="s">
        <v>1664</v>
      </c>
      <c r="L427" s="77"/>
      <c r="M427" s="7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spans="1:27" ht="15.75" customHeight="1">
      <c r="A428" s="57" t="s">
        <v>752</v>
      </c>
      <c r="B428" s="51" t="s">
        <v>753</v>
      </c>
      <c r="C428" s="39">
        <v>43622</v>
      </c>
      <c r="D428" s="39">
        <v>43681</v>
      </c>
      <c r="E428" s="47">
        <f>D428-C428</f>
        <v>59</v>
      </c>
      <c r="F428" s="43" t="s">
        <v>0</v>
      </c>
      <c r="G428" s="45" t="s">
        <v>1</v>
      </c>
      <c r="H428" s="45"/>
      <c r="I428" s="45"/>
      <c r="J428" s="42"/>
      <c r="K428" s="42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spans="1:27" s="182" customFormat="1" ht="15.75" customHeight="1">
      <c r="A429" s="181" t="s">
        <v>1171</v>
      </c>
      <c r="B429" s="181" t="s">
        <v>1172</v>
      </c>
      <c r="C429" s="177">
        <v>43887</v>
      </c>
      <c r="D429" s="186">
        <v>43946</v>
      </c>
      <c r="E429" s="187">
        <f>D429-C429</f>
        <v>59</v>
      </c>
      <c r="F429" s="179" t="s">
        <v>0</v>
      </c>
      <c r="G429" s="180" t="s">
        <v>1</v>
      </c>
      <c r="H429" s="180"/>
      <c r="I429" s="180" t="s">
        <v>954</v>
      </c>
      <c r="J429" s="183"/>
      <c r="K429" s="252" t="s">
        <v>1173</v>
      </c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</row>
    <row r="430" spans="1:27" s="1" customFormat="1" ht="15.75" customHeight="1">
      <c r="A430" s="4" t="s">
        <v>1452</v>
      </c>
      <c r="B430" s="10" t="s">
        <v>1453</v>
      </c>
      <c r="C430" s="17">
        <v>44090</v>
      </c>
      <c r="D430" s="28">
        <v>44149</v>
      </c>
      <c r="E430" s="29">
        <f>D430-C430</f>
        <v>59</v>
      </c>
      <c r="F430" s="16" t="s">
        <v>853</v>
      </c>
      <c r="G430" s="27"/>
      <c r="H430" s="27"/>
      <c r="I430" s="2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s="1" customFormat="1" ht="15.75" customHeight="1">
      <c r="A431" s="4" t="s">
        <v>1488</v>
      </c>
      <c r="B431" s="10" t="s">
        <v>1489</v>
      </c>
      <c r="C431" s="17">
        <v>44109</v>
      </c>
      <c r="D431" s="28">
        <v>44168</v>
      </c>
      <c r="E431" s="29">
        <f>D431-C431</f>
        <v>59</v>
      </c>
      <c r="F431" s="16" t="s">
        <v>0</v>
      </c>
      <c r="G431" s="12" t="s">
        <v>1119</v>
      </c>
      <c r="H431" s="27"/>
      <c r="I431" s="27"/>
      <c r="J431" s="18"/>
      <c r="K431" s="18"/>
      <c r="L431" s="18"/>
      <c r="M431" s="18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>
      <c r="A432" s="42" t="s">
        <v>474</v>
      </c>
      <c r="B432" s="38" t="s">
        <v>630</v>
      </c>
      <c r="C432" s="39">
        <v>44578</v>
      </c>
      <c r="D432" s="39">
        <v>44637</v>
      </c>
      <c r="E432" s="41">
        <f>D432-C432</f>
        <v>59</v>
      </c>
      <c r="F432" s="43" t="s">
        <v>0</v>
      </c>
      <c r="G432" s="45" t="s">
        <v>471</v>
      </c>
      <c r="H432" s="45" t="s">
        <v>11</v>
      </c>
      <c r="I432" s="46"/>
      <c r="J432" s="37"/>
      <c r="K432" s="37"/>
      <c r="L432" s="77"/>
      <c r="M432" s="7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spans="1:27" ht="15.75" customHeight="1">
      <c r="A433" s="57" t="s">
        <v>1371</v>
      </c>
      <c r="B433" s="52" t="s">
        <v>1372</v>
      </c>
      <c r="C433" s="39">
        <v>44601</v>
      </c>
      <c r="D433" s="39">
        <v>44660</v>
      </c>
      <c r="E433" s="41">
        <f>D433-C433</f>
        <v>59</v>
      </c>
      <c r="F433" s="43" t="s">
        <v>0</v>
      </c>
      <c r="G433" s="77"/>
      <c r="H433" s="83" t="s">
        <v>2</v>
      </c>
      <c r="I433" s="46"/>
      <c r="J433" s="37"/>
      <c r="K433" s="53" t="s">
        <v>1373</v>
      </c>
      <c r="L433" s="42" t="s">
        <v>2137</v>
      </c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spans="1:27" s="182" customFormat="1" ht="15.75" customHeight="1">
      <c r="A434" s="181" t="s">
        <v>484</v>
      </c>
      <c r="B434" s="184" t="s">
        <v>485</v>
      </c>
      <c r="C434" s="177">
        <v>43431</v>
      </c>
      <c r="D434" s="177">
        <v>43491</v>
      </c>
      <c r="E434" s="178">
        <f>D434-C434</f>
        <v>60</v>
      </c>
      <c r="F434" s="179" t="s">
        <v>474</v>
      </c>
      <c r="G434" s="180"/>
      <c r="H434" s="180"/>
      <c r="I434" s="180"/>
      <c r="J434" s="181"/>
      <c r="K434" s="181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</row>
    <row r="435" spans="1:27" ht="15.75" customHeight="1">
      <c r="A435" s="42" t="s">
        <v>503</v>
      </c>
      <c r="B435" s="38" t="s">
        <v>504</v>
      </c>
      <c r="C435" s="39">
        <v>43450</v>
      </c>
      <c r="D435" s="39">
        <v>43510</v>
      </c>
      <c r="E435" s="47">
        <f>D435-C435</f>
        <v>60</v>
      </c>
      <c r="F435" s="45" t="s">
        <v>505</v>
      </c>
      <c r="G435" s="45" t="s">
        <v>33</v>
      </c>
      <c r="H435" s="45"/>
      <c r="I435" s="45"/>
      <c r="J435" s="42"/>
      <c r="K435" s="42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spans="1:27" s="1" customFormat="1" ht="15.75" customHeight="1">
      <c r="A436" s="4" t="s">
        <v>563</v>
      </c>
      <c r="B436" s="31" t="s">
        <v>564</v>
      </c>
      <c r="C436" s="17">
        <v>43485</v>
      </c>
      <c r="D436" s="17">
        <v>43545</v>
      </c>
      <c r="E436" s="32">
        <f>D436-C436</f>
        <v>60</v>
      </c>
      <c r="F436" s="27" t="s">
        <v>565</v>
      </c>
      <c r="G436" s="12" t="s">
        <v>1</v>
      </c>
      <c r="H436" s="12"/>
      <c r="I436" s="12"/>
      <c r="J436" s="10"/>
      <c r="K436" s="10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>
      <c r="A437" s="57" t="s">
        <v>789</v>
      </c>
      <c r="B437" s="52" t="s">
        <v>790</v>
      </c>
      <c r="C437" s="39">
        <v>43956</v>
      </c>
      <c r="D437" s="40">
        <v>44016</v>
      </c>
      <c r="E437" s="41">
        <f>D437-C437</f>
        <v>60</v>
      </c>
      <c r="F437" s="43" t="s">
        <v>0</v>
      </c>
      <c r="G437" s="46"/>
      <c r="H437" s="46"/>
      <c r="I437" s="46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spans="1:27" ht="15.75" customHeight="1">
      <c r="A438" s="42" t="s">
        <v>1054</v>
      </c>
      <c r="B438" s="42" t="s">
        <v>1055</v>
      </c>
      <c r="C438" s="39">
        <v>44173</v>
      </c>
      <c r="D438" s="40">
        <v>44233</v>
      </c>
      <c r="E438" s="41">
        <f>D438-C438</f>
        <v>60</v>
      </c>
      <c r="F438" s="43" t="s">
        <v>0</v>
      </c>
      <c r="G438" s="45" t="s">
        <v>1</v>
      </c>
      <c r="H438" s="46"/>
      <c r="I438" s="46"/>
      <c r="J438" s="37"/>
      <c r="K438" s="76" t="s">
        <v>1529</v>
      </c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spans="1:27" ht="15.75" customHeight="1">
      <c r="A439" s="84" t="s">
        <v>1744</v>
      </c>
      <c r="B439" s="75" t="s">
        <v>1745</v>
      </c>
      <c r="C439" s="79">
        <v>44332</v>
      </c>
      <c r="D439" s="80">
        <v>44392</v>
      </c>
      <c r="E439" s="41">
        <f>D439-C439</f>
        <v>60</v>
      </c>
      <c r="F439" s="43" t="s">
        <v>0</v>
      </c>
      <c r="G439" s="46"/>
      <c r="H439" s="46"/>
      <c r="I439" s="46"/>
      <c r="J439" s="77"/>
      <c r="K439" s="77"/>
      <c r="L439" s="77"/>
      <c r="M439" s="7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spans="1:27" ht="15.75" customHeight="1">
      <c r="A440" s="84" t="s">
        <v>1683</v>
      </c>
      <c r="B440" s="75" t="s">
        <v>1684</v>
      </c>
      <c r="C440" s="79">
        <v>44411</v>
      </c>
      <c r="D440" s="80">
        <v>44471</v>
      </c>
      <c r="E440" s="41">
        <f>D440-C440</f>
        <v>60</v>
      </c>
      <c r="F440" s="43" t="s">
        <v>0</v>
      </c>
      <c r="G440" s="46"/>
      <c r="H440" s="46"/>
      <c r="I440" s="46"/>
      <c r="J440" s="77"/>
      <c r="K440" s="76" t="s">
        <v>1844</v>
      </c>
      <c r="L440" s="77"/>
      <c r="M440" s="7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spans="1:27" s="182" customFormat="1" ht="15.75" customHeight="1">
      <c r="A441" s="193" t="s">
        <v>1845</v>
      </c>
      <c r="B441" s="190" t="s">
        <v>1846</v>
      </c>
      <c r="C441" s="235">
        <v>44413</v>
      </c>
      <c r="D441" s="191">
        <v>44473</v>
      </c>
      <c r="E441" s="187">
        <f>D441-C441</f>
        <v>60</v>
      </c>
      <c r="F441" s="179" t="s">
        <v>0</v>
      </c>
      <c r="G441" s="236" t="s">
        <v>230</v>
      </c>
      <c r="H441" s="192"/>
      <c r="I441" s="192"/>
      <c r="J441" s="193"/>
      <c r="K441" s="193"/>
      <c r="L441" s="193"/>
      <c r="M441" s="19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</row>
    <row r="442" spans="1:27" ht="15.75" customHeight="1">
      <c r="A442" s="82" t="s">
        <v>1933</v>
      </c>
      <c r="B442" s="82" t="s">
        <v>1934</v>
      </c>
      <c r="C442" s="79">
        <v>44474</v>
      </c>
      <c r="D442" s="80">
        <v>44534</v>
      </c>
      <c r="E442" s="41">
        <f>D442-C442</f>
        <v>60</v>
      </c>
      <c r="F442" s="43" t="s">
        <v>0</v>
      </c>
      <c r="G442" s="81" t="s">
        <v>26</v>
      </c>
      <c r="H442" s="46"/>
      <c r="I442" s="46"/>
      <c r="J442" s="77"/>
      <c r="K442" s="77"/>
      <c r="L442" s="77"/>
      <c r="M442" s="7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spans="1:27" s="1" customFormat="1" ht="15.75" customHeight="1">
      <c r="A443" s="4" t="s">
        <v>854</v>
      </c>
      <c r="B443" s="31" t="s">
        <v>855</v>
      </c>
      <c r="C443" s="17">
        <v>43681</v>
      </c>
      <c r="D443" s="17">
        <v>43742</v>
      </c>
      <c r="E443" s="32">
        <f>D443-C443</f>
        <v>61</v>
      </c>
      <c r="F443" s="11" t="s">
        <v>770</v>
      </c>
      <c r="G443" s="12" t="s">
        <v>33</v>
      </c>
      <c r="H443" s="12"/>
      <c r="I443" s="12"/>
      <c r="J443" s="10"/>
      <c r="K443" s="10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s="182" customFormat="1" ht="15.75" customHeight="1">
      <c r="A444" s="183" t="s">
        <v>1047</v>
      </c>
      <c r="B444" s="181" t="s">
        <v>1048</v>
      </c>
      <c r="C444" s="177">
        <v>43829</v>
      </c>
      <c r="D444" s="186">
        <v>43890</v>
      </c>
      <c r="E444" s="187">
        <f>D444-C444</f>
        <v>61</v>
      </c>
      <c r="F444" s="179" t="s">
        <v>0</v>
      </c>
      <c r="G444" s="180"/>
      <c r="H444" s="180"/>
      <c r="I444" s="180"/>
      <c r="J444" s="181"/>
      <c r="K444" s="252" t="s">
        <v>1049</v>
      </c>
      <c r="L444" s="181"/>
      <c r="M444" s="181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</row>
    <row r="445" spans="1:27" s="182" customFormat="1" ht="15.75" customHeight="1">
      <c r="A445" s="181" t="s">
        <v>1159</v>
      </c>
      <c r="B445" s="181" t="s">
        <v>1160</v>
      </c>
      <c r="C445" s="177">
        <v>43878</v>
      </c>
      <c r="D445" s="186">
        <v>43939</v>
      </c>
      <c r="E445" s="178">
        <f>D445-C445</f>
        <v>61</v>
      </c>
      <c r="F445" s="179" t="s">
        <v>0</v>
      </c>
      <c r="G445" s="180" t="s">
        <v>995</v>
      </c>
      <c r="H445" s="180"/>
      <c r="I445" s="180"/>
      <c r="J445" s="183"/>
      <c r="K445" s="252" t="s">
        <v>1161</v>
      </c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</row>
    <row r="446" spans="1:27" s="1" customFormat="1" ht="15.75" customHeight="1">
      <c r="A446" s="10" t="s">
        <v>1261</v>
      </c>
      <c r="B446" s="10" t="s">
        <v>1262</v>
      </c>
      <c r="C446" s="17">
        <v>43933</v>
      </c>
      <c r="D446" s="28">
        <v>43994</v>
      </c>
      <c r="E446" s="29">
        <f>D446-C446</f>
        <v>61</v>
      </c>
      <c r="F446" s="11" t="s">
        <v>174</v>
      </c>
      <c r="G446" s="12"/>
      <c r="H446" s="12"/>
      <c r="I446" s="12"/>
      <c r="J446" s="4"/>
      <c r="K446" s="4"/>
      <c r="L446" s="10" t="s">
        <v>1263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s="1" customFormat="1" ht="15.75" customHeight="1">
      <c r="A447" s="18" t="s">
        <v>1581</v>
      </c>
      <c r="B447" s="18" t="s">
        <v>1582</v>
      </c>
      <c r="C447" s="17">
        <v>44218</v>
      </c>
      <c r="D447" s="28">
        <v>44279</v>
      </c>
      <c r="E447" s="29">
        <f>D447-C447</f>
        <v>61</v>
      </c>
      <c r="F447" s="11" t="s">
        <v>1523</v>
      </c>
      <c r="G447" s="12" t="s">
        <v>942</v>
      </c>
      <c r="H447" s="27"/>
      <c r="I447" s="27"/>
      <c r="J447" s="21"/>
      <c r="K447" s="21"/>
      <c r="L447" s="21"/>
      <c r="M447" s="2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>
      <c r="A448" s="82" t="s">
        <v>1854</v>
      </c>
      <c r="B448" s="82" t="s">
        <v>1855</v>
      </c>
      <c r="C448" s="79">
        <v>44419</v>
      </c>
      <c r="D448" s="80">
        <v>44480</v>
      </c>
      <c r="E448" s="41">
        <f>D448-C448</f>
        <v>61</v>
      </c>
      <c r="F448" s="43" t="s">
        <v>0</v>
      </c>
      <c r="G448" s="46"/>
      <c r="H448" s="46"/>
      <c r="I448" s="46"/>
      <c r="J448" s="77"/>
      <c r="K448" s="76" t="s">
        <v>1856</v>
      </c>
      <c r="L448" s="77"/>
      <c r="M448" s="7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spans="1:27" ht="15.75" customHeight="1">
      <c r="A449" s="37" t="s">
        <v>534</v>
      </c>
      <c r="B449" s="38" t="s">
        <v>535</v>
      </c>
      <c r="C449" s="39">
        <v>43469</v>
      </c>
      <c r="D449" s="39">
        <v>43531</v>
      </c>
      <c r="E449" s="47">
        <f>D449-C449</f>
        <v>62</v>
      </c>
      <c r="F449" s="45" t="s">
        <v>481</v>
      </c>
      <c r="G449" s="45" t="s">
        <v>1</v>
      </c>
      <c r="H449" s="45"/>
      <c r="I449" s="45"/>
      <c r="J449" s="42"/>
      <c r="K449" s="42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spans="1:27" s="1" customFormat="1" ht="15.75" customHeight="1">
      <c r="A450" s="10" t="s">
        <v>1304</v>
      </c>
      <c r="B450" s="10" t="s">
        <v>1305</v>
      </c>
      <c r="C450" s="17">
        <v>43954</v>
      </c>
      <c r="D450" s="28">
        <v>44016</v>
      </c>
      <c r="E450" s="29">
        <f>D450-C450</f>
        <v>62</v>
      </c>
      <c r="F450" s="11" t="s">
        <v>1222</v>
      </c>
      <c r="G450" s="27"/>
      <c r="H450" s="27"/>
      <c r="I450" s="27"/>
      <c r="J450" s="4"/>
      <c r="K450" s="7" t="s">
        <v>1306</v>
      </c>
      <c r="L450" s="10" t="s">
        <v>1307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s="1" customFormat="1" ht="15.75" customHeight="1">
      <c r="A451" s="13" t="s">
        <v>715</v>
      </c>
      <c r="B451" s="31" t="s">
        <v>801</v>
      </c>
      <c r="C451" s="17">
        <v>43647</v>
      </c>
      <c r="D451" s="28">
        <v>43710</v>
      </c>
      <c r="E451" s="29">
        <f>D451-C451</f>
        <v>63</v>
      </c>
      <c r="F451" s="16" t="s">
        <v>0</v>
      </c>
      <c r="G451" s="12"/>
      <c r="H451" s="12"/>
      <c r="I451" s="12"/>
      <c r="J451" s="10"/>
      <c r="K451" s="10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s="182" customFormat="1" ht="15.75" customHeight="1">
      <c r="A452" s="181" t="s">
        <v>75</v>
      </c>
      <c r="B452" s="181" t="s">
        <v>1073</v>
      </c>
      <c r="C452" s="177">
        <v>43842</v>
      </c>
      <c r="D452" s="186">
        <v>43905</v>
      </c>
      <c r="E452" s="187">
        <f>D452-C452</f>
        <v>63</v>
      </c>
      <c r="F452" s="179" t="s">
        <v>0</v>
      </c>
      <c r="G452" s="180" t="s">
        <v>70</v>
      </c>
      <c r="H452" s="180"/>
      <c r="I452" s="180"/>
      <c r="J452" s="181"/>
      <c r="K452" s="252" t="s">
        <v>1074</v>
      </c>
      <c r="L452" s="181"/>
      <c r="M452" s="181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</row>
    <row r="453" spans="1:27" ht="15.75" customHeight="1">
      <c r="A453" s="42" t="s">
        <v>668</v>
      </c>
      <c r="B453" s="42" t="s">
        <v>669</v>
      </c>
      <c r="C453" s="39">
        <v>43845</v>
      </c>
      <c r="D453" s="39">
        <v>43908</v>
      </c>
      <c r="E453" s="47">
        <f>D453-C453</f>
        <v>63</v>
      </c>
      <c r="F453" s="43" t="s">
        <v>0</v>
      </c>
      <c r="G453" s="45" t="s">
        <v>33</v>
      </c>
      <c r="H453" s="45"/>
      <c r="I453" s="45"/>
      <c r="J453" s="42"/>
      <c r="K453" s="53" t="s">
        <v>1079</v>
      </c>
      <c r="L453" s="42"/>
      <c r="M453" s="42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spans="1:27" ht="15.75" customHeight="1">
      <c r="A454" s="37" t="s">
        <v>1075</v>
      </c>
      <c r="B454" s="52" t="s">
        <v>1076</v>
      </c>
      <c r="C454" s="39">
        <v>43918</v>
      </c>
      <c r="D454" s="39">
        <v>43981</v>
      </c>
      <c r="E454" s="47">
        <f>D454-C454</f>
        <v>63</v>
      </c>
      <c r="F454" s="43" t="s">
        <v>0</v>
      </c>
      <c r="G454" s="45" t="s">
        <v>43</v>
      </c>
      <c r="H454" s="45"/>
      <c r="I454" s="45"/>
      <c r="J454" s="37"/>
      <c r="K454" s="53" t="s">
        <v>1078</v>
      </c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spans="1:27" ht="15.75" customHeight="1">
      <c r="A455" s="77" t="s">
        <v>1729</v>
      </c>
      <c r="B455" s="75" t="s">
        <v>1730</v>
      </c>
      <c r="C455" s="79">
        <v>44317</v>
      </c>
      <c r="D455" s="80">
        <v>44380</v>
      </c>
      <c r="E455" s="41">
        <f>D455-C455</f>
        <v>63</v>
      </c>
      <c r="F455" s="43" t="s">
        <v>0</v>
      </c>
      <c r="G455" s="46"/>
      <c r="H455" s="46"/>
      <c r="I455" s="46"/>
      <c r="J455" s="77"/>
      <c r="K455" s="77"/>
      <c r="L455" s="77"/>
      <c r="M455" s="7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spans="1:27" s="248" customFormat="1" ht="15.75" customHeight="1">
      <c r="A456" s="254" t="s">
        <v>647</v>
      </c>
      <c r="B456" s="244" t="s">
        <v>670</v>
      </c>
      <c r="C456" s="245">
        <v>43544</v>
      </c>
      <c r="D456" s="245">
        <v>43608</v>
      </c>
      <c r="E456" s="249">
        <f>D456-C456</f>
        <v>64</v>
      </c>
      <c r="F456" s="250" t="s">
        <v>0</v>
      </c>
      <c r="G456" s="251" t="s">
        <v>671</v>
      </c>
      <c r="H456" s="251"/>
      <c r="I456" s="251"/>
      <c r="J456" s="243"/>
      <c r="K456" s="243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  <c r="AA456" s="254"/>
    </row>
    <row r="457" spans="1:27" ht="15.75" customHeight="1">
      <c r="A457" s="37" t="s">
        <v>754</v>
      </c>
      <c r="B457" s="38" t="s">
        <v>755</v>
      </c>
      <c r="C457" s="39">
        <v>43618</v>
      </c>
      <c r="D457" s="39">
        <v>43682</v>
      </c>
      <c r="E457" s="47">
        <f>D457-C457</f>
        <v>64</v>
      </c>
      <c r="F457" s="43" t="s">
        <v>54</v>
      </c>
      <c r="G457" s="45"/>
      <c r="H457" s="45"/>
      <c r="I457" s="45"/>
      <c r="J457" s="42"/>
      <c r="K457" s="42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spans="1:27" s="182" customFormat="1" ht="15.75" customHeight="1">
      <c r="A458" s="181" t="s">
        <v>1216</v>
      </c>
      <c r="B458" s="181" t="s">
        <v>1217</v>
      </c>
      <c r="C458" s="177">
        <v>43896</v>
      </c>
      <c r="D458" s="177">
        <v>43960</v>
      </c>
      <c r="E458" s="187">
        <f>D458-C458</f>
        <v>64</v>
      </c>
      <c r="F458" s="180" t="s">
        <v>0</v>
      </c>
      <c r="G458" s="180"/>
      <c r="H458" s="180"/>
      <c r="I458" s="180"/>
      <c r="J458" s="183"/>
      <c r="K458" s="252" t="s">
        <v>1218</v>
      </c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</row>
    <row r="459" spans="1:27" ht="15.75" customHeight="1">
      <c r="A459" s="37" t="s">
        <v>1362</v>
      </c>
      <c r="B459" s="42" t="s">
        <v>1363</v>
      </c>
      <c r="C459" s="39">
        <v>44092</v>
      </c>
      <c r="D459" s="40">
        <v>44156</v>
      </c>
      <c r="E459" s="41">
        <f>D459-C459</f>
        <v>64</v>
      </c>
      <c r="F459" s="43" t="s">
        <v>0</v>
      </c>
      <c r="G459" s="46"/>
      <c r="H459" s="46"/>
      <c r="I459" s="46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spans="1:27" s="1" customFormat="1" ht="15.75" customHeight="1">
      <c r="A460" s="4" t="s">
        <v>1065</v>
      </c>
      <c r="B460" s="10" t="s">
        <v>1066</v>
      </c>
      <c r="C460" s="17">
        <v>43839</v>
      </c>
      <c r="D460" s="17">
        <v>43904</v>
      </c>
      <c r="E460" s="29">
        <f>D460-C460</f>
        <v>65</v>
      </c>
      <c r="F460" s="16" t="s">
        <v>0</v>
      </c>
      <c r="G460" s="12" t="s">
        <v>33</v>
      </c>
      <c r="H460" s="12"/>
      <c r="I460" s="12"/>
      <c r="J460" s="10"/>
      <c r="K460" s="7" t="s">
        <v>1067</v>
      </c>
      <c r="L460" s="10"/>
      <c r="M460" s="10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>
      <c r="A461" s="57" t="s">
        <v>752</v>
      </c>
      <c r="B461" s="51" t="s">
        <v>753</v>
      </c>
      <c r="C461" s="39">
        <v>43922</v>
      </c>
      <c r="D461" s="39">
        <v>43987</v>
      </c>
      <c r="E461" s="47">
        <f>D461-C461</f>
        <v>65</v>
      </c>
      <c r="F461" s="43" t="s">
        <v>0</v>
      </c>
      <c r="G461" s="45" t="s">
        <v>1</v>
      </c>
      <c r="H461" s="45"/>
      <c r="I461" s="45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spans="1:27" ht="15.75" customHeight="1">
      <c r="A462" s="37" t="s">
        <v>363</v>
      </c>
      <c r="B462" s="42" t="s">
        <v>364</v>
      </c>
      <c r="C462" s="39">
        <v>43971</v>
      </c>
      <c r="D462" s="40">
        <v>44036</v>
      </c>
      <c r="E462" s="41">
        <f>D462-C462</f>
        <v>65</v>
      </c>
      <c r="F462" s="43" t="s">
        <v>0</v>
      </c>
      <c r="G462" s="46"/>
      <c r="H462" s="46"/>
      <c r="I462" s="46"/>
      <c r="J462" s="37"/>
      <c r="K462" s="53" t="s">
        <v>366</v>
      </c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spans="1:27" ht="15.75" customHeight="1">
      <c r="A463" s="42" t="s">
        <v>506</v>
      </c>
      <c r="B463" s="38" t="s">
        <v>507</v>
      </c>
      <c r="C463" s="39">
        <v>43444</v>
      </c>
      <c r="D463" s="39">
        <v>43510</v>
      </c>
      <c r="E463" s="47">
        <f>D463-C463</f>
        <v>66</v>
      </c>
      <c r="F463" s="43" t="s">
        <v>0</v>
      </c>
      <c r="G463" s="45" t="s">
        <v>508</v>
      </c>
      <c r="H463" s="45"/>
      <c r="I463" s="45"/>
      <c r="J463" s="42"/>
      <c r="K463" s="42"/>
      <c r="M463" s="38" t="s">
        <v>509</v>
      </c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spans="1:27" ht="15.75" customHeight="1">
      <c r="A464" s="37" t="s">
        <v>573</v>
      </c>
      <c r="B464" s="38" t="s">
        <v>629</v>
      </c>
      <c r="C464" s="39">
        <v>43517</v>
      </c>
      <c r="D464" s="39">
        <v>43583</v>
      </c>
      <c r="E464" s="47">
        <f>D464-C464</f>
        <v>66</v>
      </c>
      <c r="F464" s="45" t="s">
        <v>2854</v>
      </c>
      <c r="G464" s="45" t="s">
        <v>26</v>
      </c>
      <c r="H464" s="45"/>
      <c r="I464" s="45"/>
      <c r="J464" s="42"/>
      <c r="K464" s="42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spans="1:27" ht="15.75" customHeight="1">
      <c r="A465" s="37" t="s">
        <v>639</v>
      </c>
      <c r="B465" s="38" t="s">
        <v>640</v>
      </c>
      <c r="C465" s="39">
        <v>43524</v>
      </c>
      <c r="D465" s="39">
        <v>43590</v>
      </c>
      <c r="E465" s="47">
        <f>D465-C465</f>
        <v>66</v>
      </c>
      <c r="F465" s="48" t="s">
        <v>641</v>
      </c>
      <c r="G465" s="45"/>
      <c r="H465" s="45"/>
      <c r="I465" s="45"/>
      <c r="J465" s="42"/>
      <c r="K465" s="42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spans="1:27" ht="15.75" customHeight="1">
      <c r="A466" s="42" t="s">
        <v>672</v>
      </c>
      <c r="B466" s="38" t="s">
        <v>673</v>
      </c>
      <c r="C466" s="39">
        <v>43544</v>
      </c>
      <c r="D466" s="39">
        <v>43610</v>
      </c>
      <c r="E466" s="47">
        <f>D466-C466</f>
        <v>66</v>
      </c>
      <c r="F466" s="43" t="s">
        <v>524</v>
      </c>
      <c r="G466" s="45" t="s">
        <v>674</v>
      </c>
      <c r="H466" s="45"/>
      <c r="I466" s="45"/>
      <c r="J466" s="42"/>
      <c r="K466" s="42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spans="1:27" s="182" customFormat="1" ht="15.75" customHeight="1">
      <c r="A467" s="182" t="s">
        <v>2296</v>
      </c>
      <c r="B467" s="182" t="s">
        <v>2297</v>
      </c>
      <c r="C467" s="235">
        <v>44775</v>
      </c>
      <c r="D467" s="191">
        <v>44841</v>
      </c>
      <c r="E467" s="187">
        <f>D467-C467</f>
        <v>66</v>
      </c>
      <c r="F467" s="185" t="s">
        <v>258</v>
      </c>
      <c r="G467" s="236" t="s">
        <v>1612</v>
      </c>
      <c r="H467" s="242" t="s">
        <v>11</v>
      </c>
      <c r="I467" s="236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</row>
    <row r="468" spans="1:27" s="248" customFormat="1" ht="15.75" customHeight="1">
      <c r="A468" s="254" t="s">
        <v>1387</v>
      </c>
      <c r="B468" s="243" t="s">
        <v>1388</v>
      </c>
      <c r="C468" s="245">
        <v>44026</v>
      </c>
      <c r="D468" s="245">
        <v>44093</v>
      </c>
      <c r="E468" s="246">
        <f>D468-C468</f>
        <v>67</v>
      </c>
      <c r="F468" s="265" t="s">
        <v>31</v>
      </c>
      <c r="G468" s="255"/>
      <c r="H468" s="255"/>
      <c r="I468" s="255"/>
      <c r="J468" s="254"/>
      <c r="K468" s="254"/>
      <c r="L468" s="243" t="s">
        <v>1389</v>
      </c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</row>
    <row r="469" spans="1:27" s="248" customFormat="1" ht="15.75" customHeight="1">
      <c r="A469" s="243" t="s">
        <v>1498</v>
      </c>
      <c r="B469" s="243" t="s">
        <v>1498</v>
      </c>
      <c r="C469" s="245">
        <v>44111</v>
      </c>
      <c r="D469" s="245">
        <v>44178</v>
      </c>
      <c r="E469" s="246">
        <f>D469-C469</f>
        <v>67</v>
      </c>
      <c r="F469" s="250" t="s">
        <v>853</v>
      </c>
      <c r="G469" s="255"/>
      <c r="H469" s="255"/>
      <c r="I469" s="255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</row>
    <row r="470" spans="1:27" s="248" customFormat="1" ht="15.75" customHeight="1">
      <c r="A470" s="243" t="s">
        <v>2855</v>
      </c>
      <c r="B470" s="243" t="s">
        <v>1410</v>
      </c>
      <c r="C470" s="245">
        <v>44334</v>
      </c>
      <c r="D470" s="257">
        <v>44401</v>
      </c>
      <c r="E470" s="246">
        <f>D470-C470</f>
        <v>67</v>
      </c>
      <c r="F470" s="250" t="s">
        <v>0</v>
      </c>
      <c r="G470" s="251" t="s">
        <v>43</v>
      </c>
      <c r="H470" s="255"/>
      <c r="I470" s="255"/>
      <c r="J470" s="264"/>
      <c r="K470" s="264"/>
      <c r="L470" s="264"/>
      <c r="M470" s="26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</row>
    <row r="471" spans="1:27" s="182" customFormat="1" ht="15.75" customHeight="1">
      <c r="A471" s="190" t="s">
        <v>2021</v>
      </c>
      <c r="B471" s="190" t="s">
        <v>2022</v>
      </c>
      <c r="C471" s="235">
        <v>44528</v>
      </c>
      <c r="D471" s="191">
        <v>44595</v>
      </c>
      <c r="E471" s="187">
        <f>D471-C471</f>
        <v>67</v>
      </c>
      <c r="F471" s="242" t="s">
        <v>2023</v>
      </c>
      <c r="G471" s="192"/>
      <c r="H471" s="242" t="s">
        <v>2</v>
      </c>
      <c r="I471" s="236" t="s">
        <v>21</v>
      </c>
      <c r="J471" s="193"/>
      <c r="K471" s="237" t="s">
        <v>2024</v>
      </c>
      <c r="L471" s="193"/>
      <c r="M471" s="19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</row>
    <row r="472" spans="1:27" s="1" customFormat="1" ht="15.75" customHeight="1">
      <c r="A472" s="4" t="s">
        <v>796</v>
      </c>
      <c r="B472" s="31" t="s">
        <v>797</v>
      </c>
      <c r="C472" s="17">
        <v>43640</v>
      </c>
      <c r="D472" s="17">
        <v>43708</v>
      </c>
      <c r="E472" s="32">
        <f>D472-C472</f>
        <v>68</v>
      </c>
      <c r="F472" s="27" t="s">
        <v>737</v>
      </c>
      <c r="G472" s="12"/>
      <c r="H472" s="12"/>
      <c r="I472" s="12"/>
      <c r="J472" s="10"/>
      <c r="K472" s="10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>
      <c r="A473" s="42" t="s">
        <v>689</v>
      </c>
      <c r="B473" s="38" t="s">
        <v>914</v>
      </c>
      <c r="C473" s="39">
        <v>43731</v>
      </c>
      <c r="D473" s="39">
        <v>43799</v>
      </c>
      <c r="E473" s="47">
        <f>D473-C473</f>
        <v>68</v>
      </c>
      <c r="F473" s="43" t="s">
        <v>813</v>
      </c>
      <c r="G473" s="45" t="s">
        <v>1</v>
      </c>
      <c r="H473" s="45"/>
      <c r="I473" s="45" t="s">
        <v>1</v>
      </c>
      <c r="J473" s="42"/>
      <c r="K473" s="42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spans="1:27" s="182" customFormat="1" ht="15.75" customHeight="1">
      <c r="A474" s="183" t="s">
        <v>1010</v>
      </c>
      <c r="B474" s="181" t="s">
        <v>1011</v>
      </c>
      <c r="C474" s="177">
        <v>43801</v>
      </c>
      <c r="D474" s="177">
        <v>43869</v>
      </c>
      <c r="E474" s="178">
        <f>D474-C474</f>
        <v>68</v>
      </c>
      <c r="F474" s="179" t="s">
        <v>0</v>
      </c>
      <c r="G474" s="180" t="s">
        <v>26</v>
      </c>
      <c r="H474" s="180"/>
      <c r="I474" s="180" t="s">
        <v>954</v>
      </c>
      <c r="J474" s="181"/>
      <c r="K474" s="181"/>
      <c r="L474" s="181"/>
      <c r="M474" s="181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</row>
    <row r="475" spans="1:27" s="1" customFormat="1" ht="15.75" customHeight="1">
      <c r="A475" s="18" t="s">
        <v>1654</v>
      </c>
      <c r="B475" s="18" t="s">
        <v>1655</v>
      </c>
      <c r="C475" s="17">
        <v>44270</v>
      </c>
      <c r="D475" s="28">
        <v>44338</v>
      </c>
      <c r="E475" s="29">
        <f>D475-C475</f>
        <v>68</v>
      </c>
      <c r="F475" s="16" t="s">
        <v>0</v>
      </c>
      <c r="G475" s="44" t="s">
        <v>33</v>
      </c>
      <c r="H475" s="27"/>
      <c r="I475" s="27"/>
      <c r="J475" s="21"/>
      <c r="K475" s="21"/>
      <c r="L475" s="116" t="s">
        <v>1656</v>
      </c>
      <c r="M475" s="2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s="182" customFormat="1" ht="15.75" customHeight="1">
      <c r="A476" s="190" t="s">
        <v>1885</v>
      </c>
      <c r="B476" s="190" t="s">
        <v>1886</v>
      </c>
      <c r="C476" s="235">
        <v>44429</v>
      </c>
      <c r="D476" s="191">
        <v>44497</v>
      </c>
      <c r="E476" s="187">
        <f>D476-C476</f>
        <v>68</v>
      </c>
      <c r="F476" s="242" t="s">
        <v>196</v>
      </c>
      <c r="G476" s="192"/>
      <c r="H476" s="192"/>
      <c r="I476" s="192"/>
      <c r="J476" s="193"/>
      <c r="K476" s="193"/>
      <c r="L476" s="193"/>
      <c r="M476" s="19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</row>
    <row r="477" spans="1:27" s="182" customFormat="1" ht="15.75" customHeight="1">
      <c r="A477" s="256" t="s">
        <v>1924</v>
      </c>
      <c r="B477" s="181" t="s">
        <v>1925</v>
      </c>
      <c r="C477" s="235">
        <v>44459</v>
      </c>
      <c r="D477" s="191">
        <v>44527</v>
      </c>
      <c r="E477" s="187">
        <f>D477-C477</f>
        <v>68</v>
      </c>
      <c r="F477" s="179" t="s">
        <v>0</v>
      </c>
      <c r="G477" s="192"/>
      <c r="H477" s="192"/>
      <c r="I477" s="192"/>
      <c r="J477" s="183"/>
      <c r="K477" s="237" t="s">
        <v>1926</v>
      </c>
      <c r="L477" s="181" t="s">
        <v>1927</v>
      </c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</row>
    <row r="478" spans="1:27" s="182" customFormat="1" ht="15.75" customHeight="1">
      <c r="A478" s="183" t="s">
        <v>446</v>
      </c>
      <c r="B478" s="184" t="s">
        <v>447</v>
      </c>
      <c r="C478" s="177">
        <v>43352</v>
      </c>
      <c r="D478" s="177">
        <v>43421</v>
      </c>
      <c r="E478" s="187">
        <f>D478-C478</f>
        <v>69</v>
      </c>
      <c r="F478" s="180"/>
      <c r="G478" s="181"/>
      <c r="H478" s="181"/>
      <c r="I478" s="236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</row>
    <row r="479" spans="1:27" ht="15.75" customHeight="1">
      <c r="A479" s="37" t="s">
        <v>652</v>
      </c>
      <c r="B479" s="51">
        <v>1373757850</v>
      </c>
      <c r="C479" s="39">
        <v>43527</v>
      </c>
      <c r="D479" s="39">
        <v>43596</v>
      </c>
      <c r="E479" s="47">
        <f>D479-C479</f>
        <v>69</v>
      </c>
      <c r="F479" s="43" t="s">
        <v>0</v>
      </c>
      <c r="G479" s="45" t="s">
        <v>225</v>
      </c>
      <c r="H479" s="45"/>
      <c r="I479" s="45"/>
      <c r="J479" s="42"/>
      <c r="K479" s="42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spans="1:27" s="1" customFormat="1" ht="15.75" customHeight="1">
      <c r="A480" s="4" t="s">
        <v>684</v>
      </c>
      <c r="B480" s="31" t="s">
        <v>685</v>
      </c>
      <c r="C480" s="17">
        <v>43548</v>
      </c>
      <c r="D480" s="17">
        <v>43617</v>
      </c>
      <c r="E480" s="32">
        <f>D480-C480</f>
        <v>69</v>
      </c>
      <c r="F480" s="12" t="s">
        <v>686</v>
      </c>
      <c r="G480" s="12"/>
      <c r="H480" s="12"/>
      <c r="I480" s="12"/>
      <c r="J480" s="10"/>
      <c r="K480" s="10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>
      <c r="A481" s="42" t="s">
        <v>1399</v>
      </c>
      <c r="B481" s="42" t="s">
        <v>1400</v>
      </c>
      <c r="C481" s="39">
        <v>44234</v>
      </c>
      <c r="D481" s="40">
        <v>44303</v>
      </c>
      <c r="E481" s="41">
        <f>D481-C481</f>
        <v>69</v>
      </c>
      <c r="F481" s="43" t="s">
        <v>0</v>
      </c>
      <c r="G481" s="45" t="s">
        <v>1</v>
      </c>
      <c r="H481" s="46"/>
      <c r="I481" s="46"/>
      <c r="J481" s="82"/>
      <c r="K481" s="76" t="s">
        <v>1615</v>
      </c>
      <c r="L481" s="82"/>
      <c r="M481" s="82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spans="1:27" ht="15.75" customHeight="1">
      <c r="A482" s="82" t="s">
        <v>1963</v>
      </c>
      <c r="B482" s="82" t="s">
        <v>1964</v>
      </c>
      <c r="C482" s="79">
        <v>44500</v>
      </c>
      <c r="D482" s="80">
        <v>44569</v>
      </c>
      <c r="E482" s="41">
        <f>D482-C482</f>
        <v>69</v>
      </c>
      <c r="F482" s="83" t="s">
        <v>1965</v>
      </c>
      <c r="G482" s="46"/>
      <c r="H482" s="83" t="s">
        <v>11</v>
      </c>
      <c r="I482" s="46"/>
      <c r="J482" s="77"/>
      <c r="K482" s="77"/>
      <c r="L482" s="77"/>
      <c r="M482" s="7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spans="1:27" s="182" customFormat="1" ht="15.75" customHeight="1">
      <c r="A483" s="190" t="s">
        <v>2065</v>
      </c>
      <c r="B483" s="190" t="s">
        <v>2065</v>
      </c>
      <c r="C483" s="235">
        <v>44563</v>
      </c>
      <c r="D483" s="191">
        <v>44632</v>
      </c>
      <c r="E483" s="187">
        <f>D483-C483</f>
        <v>69</v>
      </c>
      <c r="F483" s="185" t="s">
        <v>1928</v>
      </c>
      <c r="G483" s="192"/>
      <c r="H483" s="187" t="s">
        <v>11</v>
      </c>
      <c r="I483" s="192"/>
      <c r="J483" s="193"/>
      <c r="K483" s="193"/>
      <c r="L483" s="193"/>
      <c r="M483" s="19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</row>
    <row r="484" spans="1:27" ht="15.75" customHeight="1">
      <c r="A484" s="42" t="s">
        <v>475</v>
      </c>
      <c r="B484" s="38" t="s">
        <v>476</v>
      </c>
      <c r="C484" s="39">
        <v>43736</v>
      </c>
      <c r="D484" s="39">
        <v>43806</v>
      </c>
      <c r="E484" s="47">
        <f>D484-C484</f>
        <v>70</v>
      </c>
      <c r="F484" s="48" t="s">
        <v>624</v>
      </c>
      <c r="G484" s="45" t="s">
        <v>33</v>
      </c>
      <c r="H484" s="45"/>
      <c r="I484" s="45"/>
      <c r="J484" s="42"/>
      <c r="K484" s="42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spans="1:27" ht="15.75" customHeight="1">
      <c r="A485" s="42" t="s">
        <v>1174</v>
      </c>
      <c r="B485" s="42" t="s">
        <v>1175</v>
      </c>
      <c r="C485" s="39">
        <v>43876</v>
      </c>
      <c r="D485" s="40">
        <v>43946</v>
      </c>
      <c r="E485" s="41">
        <f>D485-C485</f>
        <v>70</v>
      </c>
      <c r="F485" s="43" t="s">
        <v>0</v>
      </c>
      <c r="G485" s="45"/>
      <c r="H485" s="45"/>
      <c r="I485" s="45"/>
      <c r="J485" s="37"/>
      <c r="K485" s="53" t="s">
        <v>1176</v>
      </c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spans="1:27" ht="15.75" customHeight="1">
      <c r="A486" s="77" t="s">
        <v>1533</v>
      </c>
      <c r="B486" s="75" t="s">
        <v>1534</v>
      </c>
      <c r="C486" s="39">
        <v>44167</v>
      </c>
      <c r="D486" s="40">
        <v>44237</v>
      </c>
      <c r="E486" s="41">
        <f>D486-C486</f>
        <v>70</v>
      </c>
      <c r="F486" s="43" t="s">
        <v>0</v>
      </c>
      <c r="G486" s="78" t="s">
        <v>43</v>
      </c>
      <c r="H486" s="78"/>
      <c r="I486" s="46"/>
      <c r="J486" s="77"/>
      <c r="K486" s="76" t="s">
        <v>1535</v>
      </c>
      <c r="L486" s="77"/>
      <c r="M486" s="7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spans="1:27" ht="15.75" customHeight="1">
      <c r="A487" s="77" t="s">
        <v>1662</v>
      </c>
      <c r="B487" s="75" t="s">
        <v>1663</v>
      </c>
      <c r="C487" s="39">
        <v>44269</v>
      </c>
      <c r="D487" s="40">
        <v>44339</v>
      </c>
      <c r="E487" s="41">
        <f>D487-C487</f>
        <v>70</v>
      </c>
      <c r="F487" s="43" t="s">
        <v>0</v>
      </c>
      <c r="G487" s="46"/>
      <c r="H487" s="46"/>
      <c r="I487" s="46"/>
      <c r="J487" s="77"/>
      <c r="K487" s="76" t="s">
        <v>1664</v>
      </c>
      <c r="L487" s="77"/>
      <c r="M487" s="7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spans="1:27" ht="15.75" customHeight="1">
      <c r="A488" s="57" t="s">
        <v>758</v>
      </c>
      <c r="B488" s="52" t="s">
        <v>962</v>
      </c>
      <c r="C488" s="39">
        <v>43752</v>
      </c>
      <c r="D488" s="39">
        <v>43823</v>
      </c>
      <c r="E488" s="47">
        <f>D488-C488</f>
        <v>71</v>
      </c>
      <c r="F488" s="43" t="s">
        <v>54</v>
      </c>
      <c r="G488" s="44"/>
      <c r="H488" s="44"/>
      <c r="I488" s="44"/>
      <c r="J488" s="1"/>
      <c r="K488" s="1"/>
      <c r="L488" s="1"/>
      <c r="M488" s="1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spans="1:27" ht="15.75" customHeight="1">
      <c r="A489" s="42" t="s">
        <v>1480</v>
      </c>
      <c r="B489" s="42" t="s">
        <v>1481</v>
      </c>
      <c r="C489" s="39">
        <v>44091</v>
      </c>
      <c r="D489" s="40">
        <v>44162</v>
      </c>
      <c r="E489" s="41">
        <f>D489-C489</f>
        <v>71</v>
      </c>
      <c r="F489" s="48" t="s">
        <v>174</v>
      </c>
      <c r="G489" s="46"/>
      <c r="H489" s="46"/>
      <c r="I489" s="46"/>
      <c r="J489" s="75"/>
      <c r="K489" s="75"/>
      <c r="L489" s="37" t="s">
        <v>1482</v>
      </c>
      <c r="M489" s="75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spans="1:27" ht="15.75" customHeight="1">
      <c r="A490" s="77" t="s">
        <v>1736</v>
      </c>
      <c r="B490" s="75" t="s">
        <v>1737</v>
      </c>
      <c r="C490" s="79">
        <v>44311</v>
      </c>
      <c r="D490" s="80">
        <v>44382</v>
      </c>
      <c r="E490" s="41">
        <f>D490-C490</f>
        <v>71</v>
      </c>
      <c r="F490" s="48" t="s">
        <v>174</v>
      </c>
      <c r="G490" s="46"/>
      <c r="H490" s="46"/>
      <c r="I490" s="81" t="s">
        <v>90</v>
      </c>
      <c r="J490" s="77"/>
      <c r="K490" s="77"/>
      <c r="L490" s="77"/>
      <c r="M490" s="7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1:27" ht="14.25" customHeight="1">
      <c r="A491" s="42" t="s">
        <v>745</v>
      </c>
      <c r="B491" s="38" t="s">
        <v>746</v>
      </c>
      <c r="C491" s="39">
        <v>44415</v>
      </c>
      <c r="D491" s="80">
        <v>44486</v>
      </c>
      <c r="E491" s="41">
        <f>D491-C491</f>
        <v>71</v>
      </c>
      <c r="F491" s="43" t="s">
        <v>0</v>
      </c>
      <c r="G491" s="46"/>
      <c r="H491" s="46"/>
      <c r="I491" s="46"/>
      <c r="J491" s="87"/>
      <c r="K491" s="87"/>
      <c r="L491" s="77"/>
      <c r="M491" s="7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spans="1:27" ht="15.75" customHeight="1">
      <c r="A492" s="82" t="s">
        <v>1946</v>
      </c>
      <c r="B492" s="82" t="s">
        <v>1947</v>
      </c>
      <c r="C492" s="79">
        <v>44479</v>
      </c>
      <c r="D492" s="80">
        <v>44550</v>
      </c>
      <c r="E492" s="41">
        <f>D492-C492</f>
        <v>71</v>
      </c>
      <c r="F492" s="43" t="s">
        <v>0</v>
      </c>
      <c r="G492" s="43" t="s">
        <v>43</v>
      </c>
      <c r="H492" s="48"/>
      <c r="I492" s="46"/>
      <c r="J492" s="77"/>
      <c r="K492" s="77"/>
      <c r="L492" s="77"/>
      <c r="M492" s="7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spans="1:27" ht="15.75" customHeight="1">
      <c r="A493" s="82" t="s">
        <v>1989</v>
      </c>
      <c r="B493" s="82" t="s">
        <v>1990</v>
      </c>
      <c r="C493" s="79">
        <v>44505</v>
      </c>
      <c r="D493" s="79">
        <v>44576</v>
      </c>
      <c r="E493" s="41">
        <f>D493-C493</f>
        <v>71</v>
      </c>
      <c r="F493" s="43" t="s">
        <v>0</v>
      </c>
      <c r="G493" s="46"/>
      <c r="H493" s="83" t="s">
        <v>11</v>
      </c>
      <c r="I493" s="46"/>
      <c r="J493" s="77"/>
      <c r="K493" s="77"/>
      <c r="L493" s="77"/>
      <c r="M493" s="7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spans="1:27" ht="15.75" customHeight="1">
      <c r="A494" s="42" t="s">
        <v>590</v>
      </c>
      <c r="B494" s="38" t="s">
        <v>591</v>
      </c>
      <c r="C494" s="39">
        <v>43491</v>
      </c>
      <c r="D494" s="39">
        <v>43563</v>
      </c>
      <c r="E494" s="47">
        <f>D494-C494</f>
        <v>72</v>
      </c>
      <c r="F494" s="46" t="s">
        <v>592</v>
      </c>
      <c r="G494" s="45"/>
      <c r="H494" s="45"/>
      <c r="I494" s="45"/>
      <c r="J494" s="42"/>
      <c r="K494" s="42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spans="1:27" ht="15.75" customHeight="1">
      <c r="A495" s="42" t="s">
        <v>730</v>
      </c>
      <c r="B495" s="42" t="s">
        <v>731</v>
      </c>
      <c r="C495" s="39">
        <v>43784</v>
      </c>
      <c r="D495" s="39">
        <v>43856</v>
      </c>
      <c r="E495" s="47">
        <f>D495-C495</f>
        <v>72</v>
      </c>
      <c r="F495" s="43" t="s">
        <v>0</v>
      </c>
      <c r="G495" s="45" t="s">
        <v>33</v>
      </c>
      <c r="H495" s="45"/>
      <c r="I495" s="45"/>
      <c r="J495" s="42"/>
      <c r="K495" s="42"/>
      <c r="L495" s="42"/>
      <c r="M495" s="42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spans="1:27" ht="15.75" customHeight="1">
      <c r="A496" s="87" t="s">
        <v>2349</v>
      </c>
      <c r="B496" s="87" t="s">
        <v>2350</v>
      </c>
      <c r="C496" s="79">
        <v>44805</v>
      </c>
      <c r="D496" s="80">
        <v>44877</v>
      </c>
      <c r="E496" s="41">
        <f>D496-C496</f>
        <v>72</v>
      </c>
      <c r="F496" s="83" t="s">
        <v>2351</v>
      </c>
      <c r="G496" s="81" t="s">
        <v>2352</v>
      </c>
      <c r="H496" s="83" t="s">
        <v>2</v>
      </c>
      <c r="I496" s="81"/>
      <c r="J496" s="87"/>
      <c r="K496" s="87"/>
      <c r="L496" s="87"/>
      <c r="M496" s="8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spans="1:27" ht="15.75" customHeight="1">
      <c r="A497" s="42" t="s">
        <v>878</v>
      </c>
      <c r="B497" s="42" t="s">
        <v>878</v>
      </c>
      <c r="C497" s="39">
        <v>43806</v>
      </c>
      <c r="D497" s="40">
        <v>43879</v>
      </c>
      <c r="E497" s="41">
        <f>D497-C497</f>
        <v>73</v>
      </c>
      <c r="F497" s="43" t="s">
        <v>0</v>
      </c>
      <c r="G497" s="45"/>
      <c r="H497" s="45"/>
      <c r="I497" s="45"/>
      <c r="J497" s="42"/>
      <c r="K497" s="42"/>
      <c r="L497" s="42"/>
      <c r="M497" s="42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spans="1:27" ht="15.75" customHeight="1">
      <c r="A498" s="42" t="s">
        <v>1044</v>
      </c>
      <c r="B498" s="42" t="s">
        <v>1045</v>
      </c>
      <c r="C498" s="39">
        <v>44290</v>
      </c>
      <c r="D498" s="40">
        <v>44363</v>
      </c>
      <c r="E498" s="41">
        <f>D498-C498</f>
        <v>73</v>
      </c>
      <c r="F498" s="43" t="s">
        <v>0</v>
      </c>
      <c r="G498" s="45" t="s">
        <v>70</v>
      </c>
      <c r="H498" s="46"/>
      <c r="I498" s="46"/>
      <c r="J498" s="37"/>
      <c r="K498" s="53" t="s">
        <v>1046</v>
      </c>
      <c r="L498" s="42" t="s">
        <v>1696</v>
      </c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spans="1:27" ht="15.75" customHeight="1">
      <c r="A499" s="82" t="s">
        <v>1914</v>
      </c>
      <c r="B499" s="82" t="s">
        <v>1915</v>
      </c>
      <c r="C499" s="79">
        <v>44447</v>
      </c>
      <c r="D499" s="80">
        <v>44520</v>
      </c>
      <c r="E499" s="41">
        <f>D499-C499</f>
        <v>73</v>
      </c>
      <c r="F499" s="43" t="s">
        <v>0</v>
      </c>
      <c r="G499" s="81" t="s">
        <v>225</v>
      </c>
      <c r="H499" s="46"/>
      <c r="I499" s="46"/>
      <c r="J499" s="77"/>
      <c r="K499" s="77"/>
      <c r="L499" s="77"/>
      <c r="M499" s="7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spans="1:27" ht="15.75" customHeight="1">
      <c r="A500" s="42" t="s">
        <v>510</v>
      </c>
      <c r="B500" s="38" t="s">
        <v>510</v>
      </c>
      <c r="C500" s="39">
        <v>43438</v>
      </c>
      <c r="D500" s="39">
        <v>43512</v>
      </c>
      <c r="E500" s="47">
        <f>D500-C500</f>
        <v>74</v>
      </c>
      <c r="F500" s="45" t="s">
        <v>511</v>
      </c>
      <c r="G500" s="45" t="s">
        <v>512</v>
      </c>
      <c r="H500" s="45"/>
      <c r="I500" s="46" t="s">
        <v>455</v>
      </c>
      <c r="J500" s="42"/>
      <c r="K500" s="53" t="s">
        <v>513</v>
      </c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spans="1:27" ht="15.75" customHeight="1">
      <c r="A501" s="52" t="s">
        <v>525</v>
      </c>
      <c r="B501" s="51" t="s">
        <v>526</v>
      </c>
      <c r="C501" s="39">
        <v>43452</v>
      </c>
      <c r="D501" s="39">
        <v>43526</v>
      </c>
      <c r="E501" s="41">
        <f>D501-C501</f>
        <v>74</v>
      </c>
      <c r="F501" s="43" t="s">
        <v>0</v>
      </c>
      <c r="G501" s="45" t="s">
        <v>280</v>
      </c>
      <c r="H501" s="45"/>
      <c r="I501" s="45"/>
      <c r="J501" s="42"/>
      <c r="K501" s="42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spans="1:27" ht="15.75" customHeight="1">
      <c r="A502" s="42" t="s">
        <v>691</v>
      </c>
      <c r="B502" s="38" t="s">
        <v>691</v>
      </c>
      <c r="C502" s="39">
        <v>43550</v>
      </c>
      <c r="D502" s="39">
        <v>43624</v>
      </c>
      <c r="E502" s="47">
        <f>D502-C502</f>
        <v>74</v>
      </c>
      <c r="F502" s="43" t="s">
        <v>511</v>
      </c>
      <c r="G502" s="45"/>
      <c r="H502" s="45"/>
      <c r="I502" s="45"/>
      <c r="J502" s="42"/>
      <c r="K502" s="42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spans="1:27" ht="15.75" customHeight="1">
      <c r="A503" s="37" t="s">
        <v>1013</v>
      </c>
      <c r="B503" s="42" t="s">
        <v>1014</v>
      </c>
      <c r="C503" s="39">
        <v>43801</v>
      </c>
      <c r="D503" s="39">
        <v>43875</v>
      </c>
      <c r="E503" s="47">
        <f>D503-C503</f>
        <v>74</v>
      </c>
      <c r="F503" s="43" t="s">
        <v>0</v>
      </c>
      <c r="G503" s="44"/>
      <c r="H503" s="44"/>
      <c r="I503" s="44"/>
      <c r="J503" s="1"/>
      <c r="K503" s="1"/>
      <c r="L503" s="1"/>
      <c r="M503" s="1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spans="1:27" ht="15.75" customHeight="1">
      <c r="A504" s="42" t="s">
        <v>1080</v>
      </c>
      <c r="B504" s="42" t="s">
        <v>1081</v>
      </c>
      <c r="C504" s="39">
        <v>43837</v>
      </c>
      <c r="D504" s="40">
        <v>43911</v>
      </c>
      <c r="E504" s="41">
        <f>D504-C504</f>
        <v>74</v>
      </c>
      <c r="F504" s="43" t="s">
        <v>0</v>
      </c>
      <c r="G504" s="45"/>
      <c r="H504" s="45"/>
      <c r="I504" s="45"/>
      <c r="J504" s="53"/>
      <c r="K504" s="42"/>
      <c r="L504" s="42"/>
      <c r="M504" s="42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spans="1:27" ht="15.75" customHeight="1">
      <c r="A505" s="37" t="s">
        <v>641</v>
      </c>
      <c r="B505" s="42" t="s">
        <v>1021</v>
      </c>
      <c r="C505" s="39">
        <v>44068</v>
      </c>
      <c r="D505" s="40">
        <v>44142</v>
      </c>
      <c r="E505" s="41">
        <f>D505-C505</f>
        <v>74</v>
      </c>
      <c r="F505" s="43" t="s">
        <v>0</v>
      </c>
      <c r="G505" s="45" t="s">
        <v>1</v>
      </c>
      <c r="H505" s="46"/>
      <c r="I505" s="46"/>
      <c r="J505" s="37"/>
      <c r="K505" s="53" t="s">
        <v>1022</v>
      </c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spans="1:27" ht="15.75" customHeight="1">
      <c r="A506" s="75" t="s">
        <v>1685</v>
      </c>
      <c r="B506" s="75" t="s">
        <v>1686</v>
      </c>
      <c r="C506" s="79">
        <v>44285</v>
      </c>
      <c r="D506" s="80">
        <v>44359</v>
      </c>
      <c r="E506" s="41">
        <f>D506-C506</f>
        <v>74</v>
      </c>
      <c r="F506" s="43" t="s">
        <v>0</v>
      </c>
      <c r="G506" s="81" t="s">
        <v>1</v>
      </c>
      <c r="H506" s="46"/>
      <c r="I506" s="81" t="s">
        <v>85</v>
      </c>
      <c r="J506" s="77"/>
      <c r="K506" s="77"/>
      <c r="L506" s="82" t="s">
        <v>1687</v>
      </c>
      <c r="M506" s="7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spans="1:27" ht="15.75" customHeight="1">
      <c r="A507" s="77" t="s">
        <v>1928</v>
      </c>
      <c r="B507" s="82" t="s">
        <v>1929</v>
      </c>
      <c r="C507" s="79">
        <v>44453</v>
      </c>
      <c r="D507" s="80">
        <v>44527</v>
      </c>
      <c r="E507" s="41">
        <f>D507-C507</f>
        <v>74</v>
      </c>
      <c r="F507" s="83" t="s">
        <v>1885</v>
      </c>
      <c r="G507" s="46"/>
      <c r="H507" s="46"/>
      <c r="I507" s="46"/>
      <c r="J507" s="77"/>
      <c r="K507" s="77"/>
      <c r="L507" s="77"/>
      <c r="M507" s="7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spans="1:27" ht="15.75" customHeight="1">
      <c r="A508" s="82" t="s">
        <v>1943</v>
      </c>
      <c r="B508" s="82" t="s">
        <v>1943</v>
      </c>
      <c r="C508" s="79">
        <v>44469</v>
      </c>
      <c r="D508" s="80">
        <v>44543</v>
      </c>
      <c r="E508" s="41">
        <f>D508-C508</f>
        <v>74</v>
      </c>
      <c r="F508" s="83" t="s">
        <v>196</v>
      </c>
      <c r="G508" s="46"/>
      <c r="H508" s="46"/>
      <c r="I508" s="46"/>
      <c r="J508" s="77"/>
      <c r="K508" s="77"/>
      <c r="L508" s="77"/>
      <c r="M508" s="7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spans="1:27" ht="15.75" customHeight="1">
      <c r="A509" s="82" t="s">
        <v>2044</v>
      </c>
      <c r="B509" s="82" t="s">
        <v>2045</v>
      </c>
      <c r="C509" s="79">
        <v>44537</v>
      </c>
      <c r="D509" s="80">
        <v>44611</v>
      </c>
      <c r="E509" s="41">
        <f>D509-C509</f>
        <v>74</v>
      </c>
      <c r="F509" s="43" t="s">
        <v>0</v>
      </c>
      <c r="G509" s="46"/>
      <c r="H509" s="83" t="s">
        <v>11</v>
      </c>
      <c r="I509" s="46"/>
      <c r="J509" s="77"/>
      <c r="K509" s="76" t="s">
        <v>2046</v>
      </c>
      <c r="L509" s="82" t="s">
        <v>2047</v>
      </c>
      <c r="M509" s="7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spans="1:27" ht="15.75" customHeight="1">
      <c r="A510" s="77" t="s">
        <v>2251</v>
      </c>
      <c r="B510" s="82" t="s">
        <v>2252</v>
      </c>
      <c r="C510" s="79">
        <v>44684</v>
      </c>
      <c r="D510" s="80">
        <v>44758</v>
      </c>
      <c r="E510" s="41">
        <f>D510-C510</f>
        <v>74</v>
      </c>
      <c r="F510" s="43" t="s">
        <v>0</v>
      </c>
      <c r="G510" s="46"/>
      <c r="H510" s="83" t="s">
        <v>2</v>
      </c>
      <c r="I510" s="46"/>
      <c r="J510" s="77"/>
      <c r="K510" s="77"/>
      <c r="L510" s="77"/>
      <c r="M510" s="7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spans="1:27" ht="15.75" customHeight="1">
      <c r="A511" s="87" t="s">
        <v>2157</v>
      </c>
      <c r="B511" s="87" t="s">
        <v>2158</v>
      </c>
      <c r="C511" s="79">
        <v>44724</v>
      </c>
      <c r="D511" s="80">
        <v>44798</v>
      </c>
      <c r="E511" s="41">
        <f>D511-C511</f>
        <v>74</v>
      </c>
      <c r="F511" s="43" t="s">
        <v>0</v>
      </c>
      <c r="G511" s="81"/>
      <c r="H511" s="41" t="s">
        <v>11</v>
      </c>
      <c r="I511" s="81"/>
      <c r="J511" s="87"/>
      <c r="K511" s="87"/>
      <c r="L511" s="87"/>
      <c r="M511" s="8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spans="1:27" ht="15.75" customHeight="1">
      <c r="A512" s="57" t="s">
        <v>789</v>
      </c>
      <c r="B512" s="51" t="s">
        <v>790</v>
      </c>
      <c r="C512" s="39">
        <v>43626</v>
      </c>
      <c r="D512" s="39">
        <v>43701</v>
      </c>
      <c r="E512" s="47">
        <f>D512-C512</f>
        <v>75</v>
      </c>
      <c r="F512" s="43" t="s">
        <v>54</v>
      </c>
      <c r="G512" s="45"/>
      <c r="H512" s="45"/>
      <c r="I512" s="45"/>
      <c r="J512" s="42"/>
      <c r="K512" s="42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spans="1:27" ht="15.75" customHeight="1">
      <c r="A513" s="77" t="s">
        <v>2080</v>
      </c>
      <c r="B513" s="82" t="s">
        <v>2081</v>
      </c>
      <c r="C513" s="39">
        <v>44564</v>
      </c>
      <c r="D513" s="80">
        <v>44639</v>
      </c>
      <c r="E513" s="41">
        <f>D513-C513</f>
        <v>75</v>
      </c>
      <c r="F513" s="43" t="s">
        <v>0</v>
      </c>
      <c r="G513" s="46"/>
      <c r="H513" s="41" t="s">
        <v>11</v>
      </c>
      <c r="I513" s="46"/>
      <c r="J513" s="77"/>
      <c r="K513" s="77"/>
      <c r="L513" s="77"/>
      <c r="M513" s="7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spans="1:27" ht="15.75" customHeight="1">
      <c r="A514" s="87" t="s">
        <v>2369</v>
      </c>
      <c r="B514" s="87" t="s">
        <v>2370</v>
      </c>
      <c r="C514" s="79">
        <v>44823</v>
      </c>
      <c r="D514" s="80">
        <v>44898</v>
      </c>
      <c r="E514" s="41">
        <f>D514-C514</f>
        <v>75</v>
      </c>
      <c r="F514" s="43" t="s">
        <v>0</v>
      </c>
      <c r="G514" s="81"/>
      <c r="H514" s="83" t="s">
        <v>11</v>
      </c>
      <c r="I514" s="81"/>
      <c r="J514" s="87"/>
      <c r="K514" s="87"/>
      <c r="L514" s="87"/>
      <c r="M514" s="8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spans="1:27" ht="15.75" customHeight="1">
      <c r="A515" s="42" t="s">
        <v>448</v>
      </c>
      <c r="B515" s="38" t="s">
        <v>449</v>
      </c>
      <c r="C515" s="39">
        <v>43345</v>
      </c>
      <c r="D515" s="39">
        <v>43421</v>
      </c>
      <c r="E515" s="41">
        <f>D515-C515</f>
        <v>76</v>
      </c>
      <c r="G515" s="44"/>
      <c r="H515" s="44"/>
      <c r="I515" s="44"/>
      <c r="J515" s="1"/>
      <c r="K515" s="1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spans="1:27" ht="15.75" customHeight="1">
      <c r="A516" s="37" t="s">
        <v>662</v>
      </c>
      <c r="B516" s="38" t="s">
        <v>663</v>
      </c>
      <c r="C516" s="39">
        <v>43527</v>
      </c>
      <c r="D516" s="39">
        <v>43603</v>
      </c>
      <c r="E516" s="47">
        <f>D516-C516</f>
        <v>76</v>
      </c>
      <c r="F516" s="43" t="s">
        <v>664</v>
      </c>
      <c r="G516" s="44"/>
      <c r="H516" s="44"/>
      <c r="I516" s="44"/>
      <c r="J516" s="1"/>
      <c r="K516" s="1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spans="1:27" ht="15.75" customHeight="1">
      <c r="A517" s="42" t="s">
        <v>511</v>
      </c>
      <c r="B517" s="38" t="s">
        <v>466</v>
      </c>
      <c r="C517" s="39">
        <v>43541</v>
      </c>
      <c r="D517" s="39">
        <v>43617</v>
      </c>
      <c r="E517" s="47">
        <f>D517-C517</f>
        <v>76</v>
      </c>
      <c r="F517" s="45" t="s">
        <v>539</v>
      </c>
      <c r="G517" s="45" t="s">
        <v>628</v>
      </c>
      <c r="H517" s="45"/>
      <c r="I517" s="46"/>
      <c r="J517" s="42"/>
      <c r="K517" s="42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spans="1:27" ht="15.75" customHeight="1">
      <c r="A518" s="57" t="s">
        <v>780</v>
      </c>
      <c r="B518" s="51" t="s">
        <v>781</v>
      </c>
      <c r="C518" s="39">
        <v>43624</v>
      </c>
      <c r="D518" s="39">
        <v>43700</v>
      </c>
      <c r="E518" s="47">
        <f>D518-C518</f>
        <v>76</v>
      </c>
      <c r="F518" s="43" t="s">
        <v>782</v>
      </c>
      <c r="I518" s="45" t="s">
        <v>783</v>
      </c>
      <c r="J518" s="42"/>
      <c r="K518" s="42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spans="1:27" ht="15.75" customHeight="1">
      <c r="A519" s="42" t="s">
        <v>894</v>
      </c>
      <c r="B519" s="38" t="s">
        <v>895</v>
      </c>
      <c r="C519" s="39">
        <v>43702</v>
      </c>
      <c r="D519" s="39">
        <v>43778</v>
      </c>
      <c r="E519" s="47">
        <f>D519-C519</f>
        <v>76</v>
      </c>
      <c r="F519" s="43" t="s">
        <v>54</v>
      </c>
      <c r="G519" s="45" t="s">
        <v>1</v>
      </c>
      <c r="H519" s="45"/>
      <c r="I519" s="45"/>
      <c r="J519" s="42"/>
      <c r="K519" s="42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spans="1:27" ht="15.75" customHeight="1">
      <c r="A520" s="37" t="s">
        <v>1504</v>
      </c>
      <c r="B520" s="42" t="s">
        <v>1505</v>
      </c>
      <c r="C520" s="39">
        <v>44116</v>
      </c>
      <c r="D520" s="40">
        <v>44192</v>
      </c>
      <c r="E520" s="41">
        <f>D520-C520</f>
        <v>76</v>
      </c>
      <c r="F520" s="43" t="s">
        <v>0</v>
      </c>
      <c r="G520" s="46"/>
      <c r="H520" s="46"/>
      <c r="I520" s="46"/>
      <c r="J520" s="75"/>
      <c r="K520" s="75"/>
      <c r="L520" s="75"/>
      <c r="M520" s="75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spans="1:27" ht="15.75" customHeight="1">
      <c r="A521" s="82" t="s">
        <v>1827</v>
      </c>
      <c r="B521" s="82" t="s">
        <v>1828</v>
      </c>
      <c r="C521" s="39">
        <v>44387</v>
      </c>
      <c r="D521" s="80">
        <v>44463</v>
      </c>
      <c r="E521" s="41">
        <f>D521-C521</f>
        <v>76</v>
      </c>
      <c r="F521" s="83" t="s">
        <v>1499</v>
      </c>
      <c r="G521" s="46"/>
      <c r="H521" s="46"/>
      <c r="I521" s="46"/>
      <c r="J521" s="77"/>
      <c r="K521" s="77"/>
      <c r="L521" s="77"/>
      <c r="M521" s="7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spans="1:27" ht="15.75" customHeight="1">
      <c r="A522" s="42" t="s">
        <v>1345</v>
      </c>
      <c r="B522" s="51" t="s">
        <v>1346</v>
      </c>
      <c r="C522" s="39">
        <v>44657</v>
      </c>
      <c r="D522" s="40">
        <v>44733</v>
      </c>
      <c r="E522" s="41">
        <f>D522-C522</f>
        <v>76</v>
      </c>
      <c r="F522" s="43" t="s">
        <v>0</v>
      </c>
      <c r="G522" s="45" t="s">
        <v>26</v>
      </c>
      <c r="H522" s="45" t="s">
        <v>2</v>
      </c>
      <c r="I522" s="46"/>
      <c r="J522" s="37"/>
      <c r="K522" s="53" t="s">
        <v>1347</v>
      </c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spans="1:27" ht="15.75" customHeight="1">
      <c r="A523" s="37" t="s">
        <v>453</v>
      </c>
      <c r="B523" s="38" t="s">
        <v>454</v>
      </c>
      <c r="C523" s="39">
        <v>43345</v>
      </c>
      <c r="D523" s="39">
        <v>43422</v>
      </c>
      <c r="E523" s="41">
        <f>D523-C523</f>
        <v>77</v>
      </c>
      <c r="G523" s="44"/>
      <c r="H523" s="44"/>
      <c r="I523" s="44"/>
      <c r="J523" s="1"/>
      <c r="K523" s="1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spans="1:27" ht="15.75" customHeight="1">
      <c r="A524" s="42" t="s">
        <v>1264</v>
      </c>
      <c r="B524" s="42" t="s">
        <v>1264</v>
      </c>
      <c r="C524" s="39">
        <v>43918</v>
      </c>
      <c r="D524" s="40">
        <v>43995</v>
      </c>
      <c r="E524" s="41">
        <f>D524-C524</f>
        <v>77</v>
      </c>
      <c r="F524" s="43" t="s">
        <v>0</v>
      </c>
      <c r="G524" s="45"/>
      <c r="H524" s="45"/>
      <c r="I524" s="45"/>
      <c r="J524" s="37"/>
      <c r="K524" s="53" t="s">
        <v>1265</v>
      </c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spans="1:27" ht="15.75" customHeight="1">
      <c r="A525" s="37" t="s">
        <v>1474</v>
      </c>
      <c r="B525" s="74" t="s">
        <v>1475</v>
      </c>
      <c r="C525" s="39">
        <v>44079</v>
      </c>
      <c r="D525" s="40">
        <v>44156</v>
      </c>
      <c r="E525" s="41">
        <f>D525-C525</f>
        <v>77</v>
      </c>
      <c r="F525" s="43" t="s">
        <v>68</v>
      </c>
      <c r="G525" s="46"/>
      <c r="H525" s="46"/>
      <c r="I525" s="45" t="s">
        <v>90</v>
      </c>
      <c r="J525" s="75"/>
      <c r="K525" s="75"/>
      <c r="L525" s="75"/>
      <c r="M525" s="75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spans="1:27" ht="15.75" customHeight="1">
      <c r="A526" s="75" t="s">
        <v>1676</v>
      </c>
      <c r="B526" s="75" t="s">
        <v>1677</v>
      </c>
      <c r="C526" s="79">
        <v>44269</v>
      </c>
      <c r="D526" s="80">
        <v>44346</v>
      </c>
      <c r="E526" s="41">
        <f>D526-C526</f>
        <v>77</v>
      </c>
      <c r="F526" s="46" t="s">
        <v>1678</v>
      </c>
      <c r="G526" s="46"/>
      <c r="H526" s="46"/>
      <c r="I526" s="46"/>
      <c r="J526" s="77"/>
      <c r="K526" s="77"/>
      <c r="L526" s="77"/>
      <c r="M526" s="7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spans="1:27" ht="15.75" customHeight="1">
      <c r="A527" s="82" t="s">
        <v>2011</v>
      </c>
      <c r="B527" s="82" t="s">
        <v>2012</v>
      </c>
      <c r="C527" s="79">
        <v>44513</v>
      </c>
      <c r="D527" s="39">
        <v>44590</v>
      </c>
      <c r="E527" s="41">
        <f>D527-C527</f>
        <v>77</v>
      </c>
      <c r="F527" s="43" t="s">
        <v>0</v>
      </c>
      <c r="G527" s="46"/>
      <c r="H527" s="83" t="s">
        <v>11</v>
      </c>
      <c r="I527" s="81" t="s">
        <v>1450</v>
      </c>
      <c r="J527" s="77"/>
      <c r="K527" s="77"/>
      <c r="L527" s="77"/>
      <c r="M527" s="7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spans="1:27" ht="15.75" customHeight="1">
      <c r="A528" s="82" t="s">
        <v>1963</v>
      </c>
      <c r="B528" s="82" t="s">
        <v>1964</v>
      </c>
      <c r="C528" s="79">
        <v>44685</v>
      </c>
      <c r="D528" s="80">
        <v>44762</v>
      </c>
      <c r="E528" s="41">
        <f>D528-C528</f>
        <v>77</v>
      </c>
      <c r="F528" s="43" t="s">
        <v>0</v>
      </c>
      <c r="G528" s="46"/>
      <c r="H528" s="83" t="s">
        <v>11</v>
      </c>
      <c r="I528" s="46"/>
      <c r="J528" s="77"/>
      <c r="K528" s="77"/>
      <c r="L528" s="77"/>
      <c r="M528" s="7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spans="1:27" ht="17.25" customHeight="1">
      <c r="A529" s="37" t="s">
        <v>456</v>
      </c>
      <c r="B529" s="38" t="s">
        <v>457</v>
      </c>
      <c r="C529" s="39">
        <v>43345</v>
      </c>
      <c r="D529" s="39">
        <v>43423</v>
      </c>
      <c r="E529" s="41">
        <f>D529-C529</f>
        <v>78</v>
      </c>
      <c r="F529" s="45"/>
      <c r="G529" s="45"/>
      <c r="H529" s="45"/>
      <c r="I529" s="45"/>
      <c r="J529" s="42"/>
      <c r="K529" s="42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spans="1:27" ht="15.75" customHeight="1">
      <c r="A530" s="42" t="s">
        <v>536</v>
      </c>
      <c r="B530" s="38" t="s">
        <v>537</v>
      </c>
      <c r="C530" s="39">
        <v>43453</v>
      </c>
      <c r="D530" s="39">
        <v>43531</v>
      </c>
      <c r="E530" s="47">
        <f>D530-C530</f>
        <v>78</v>
      </c>
      <c r="F530" s="43" t="s">
        <v>0</v>
      </c>
      <c r="G530" s="45" t="s">
        <v>33</v>
      </c>
      <c r="H530" s="45"/>
      <c r="I530" s="45"/>
      <c r="J530" s="42"/>
      <c r="K530" s="53" t="s">
        <v>538</v>
      </c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spans="1:27" ht="15.75" customHeight="1">
      <c r="A531" s="42" t="s">
        <v>566</v>
      </c>
      <c r="B531" s="38" t="s">
        <v>567</v>
      </c>
      <c r="C531" s="39">
        <v>43467</v>
      </c>
      <c r="D531" s="39">
        <v>43545</v>
      </c>
      <c r="E531" s="47">
        <f>D531-C531</f>
        <v>78</v>
      </c>
      <c r="F531" s="46" t="s">
        <v>568</v>
      </c>
      <c r="G531" s="45"/>
      <c r="H531" s="45"/>
      <c r="I531" s="45"/>
      <c r="J531" s="42"/>
      <c r="K531" s="42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spans="1:27" ht="15.75" customHeight="1">
      <c r="A532" s="42" t="s">
        <v>717</v>
      </c>
      <c r="B532" s="38" t="s">
        <v>718</v>
      </c>
      <c r="C532" s="39">
        <v>43575</v>
      </c>
      <c r="D532" s="39">
        <v>43653</v>
      </c>
      <c r="E532" s="47">
        <f>D532-C532</f>
        <v>78</v>
      </c>
      <c r="F532" s="43" t="s">
        <v>54</v>
      </c>
      <c r="G532" s="44"/>
      <c r="H532" s="44"/>
      <c r="I532" s="44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spans="1:27" ht="15.75" customHeight="1">
      <c r="A533" s="42" t="s">
        <v>1082</v>
      </c>
      <c r="B533" s="42" t="s">
        <v>1083</v>
      </c>
      <c r="C533" s="39">
        <v>43833</v>
      </c>
      <c r="D533" s="40">
        <v>43911</v>
      </c>
      <c r="E533" s="41">
        <f>D533-C533</f>
        <v>78</v>
      </c>
      <c r="F533" s="43" t="s">
        <v>1084</v>
      </c>
      <c r="G533" s="45"/>
      <c r="H533" s="45"/>
      <c r="I533" s="45"/>
      <c r="J533" s="42"/>
      <c r="K533" s="42"/>
      <c r="L533" s="42"/>
      <c r="M533" s="42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spans="1:27" ht="15.75" customHeight="1">
      <c r="A534" s="37" t="s">
        <v>1201</v>
      </c>
      <c r="B534" s="42" t="s">
        <v>1202</v>
      </c>
      <c r="C534" s="39">
        <v>43878</v>
      </c>
      <c r="D534" s="40">
        <v>43956</v>
      </c>
      <c r="E534" s="41">
        <f>D534-C534</f>
        <v>78</v>
      </c>
      <c r="F534" s="48" t="s">
        <v>1101</v>
      </c>
      <c r="G534" s="45"/>
      <c r="H534" s="45"/>
      <c r="I534" s="45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spans="1:27" ht="15.75" customHeight="1">
      <c r="A535" s="37" t="s">
        <v>799</v>
      </c>
      <c r="B535" s="38" t="s">
        <v>800</v>
      </c>
      <c r="C535" s="39">
        <v>43630</v>
      </c>
      <c r="D535" s="39">
        <v>43709</v>
      </c>
      <c r="E535" s="47">
        <f>D535-C535</f>
        <v>79</v>
      </c>
      <c r="F535" s="43" t="s">
        <v>0</v>
      </c>
      <c r="G535" s="45"/>
      <c r="H535" s="45"/>
      <c r="I535" s="45"/>
      <c r="J535" s="42"/>
      <c r="K535" s="42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spans="1:27" ht="15.75" customHeight="1">
      <c r="A536" s="37" t="s">
        <v>893</v>
      </c>
      <c r="B536" s="52" t="s">
        <v>952</v>
      </c>
      <c r="C536" s="39">
        <v>43739</v>
      </c>
      <c r="D536" s="39">
        <v>43818</v>
      </c>
      <c r="E536" s="47">
        <f>D536-C536</f>
        <v>79</v>
      </c>
      <c r="F536" s="43" t="s">
        <v>0</v>
      </c>
      <c r="G536" s="45" t="s">
        <v>33</v>
      </c>
      <c r="H536" s="45"/>
      <c r="I536" s="45"/>
      <c r="J536" s="42"/>
      <c r="K536" s="42"/>
      <c r="L536" s="42"/>
      <c r="M536" s="42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spans="1:27" ht="15.75" customHeight="1">
      <c r="A537" s="42" t="s">
        <v>1087</v>
      </c>
      <c r="B537" s="42" t="s">
        <v>1088</v>
      </c>
      <c r="C537" s="39">
        <v>43833</v>
      </c>
      <c r="D537" s="40">
        <v>43912</v>
      </c>
      <c r="E537" s="41">
        <f>D537-C537</f>
        <v>79</v>
      </c>
      <c r="F537" s="43" t="s">
        <v>0</v>
      </c>
      <c r="G537" s="45" t="s">
        <v>1089</v>
      </c>
      <c r="H537" s="45"/>
      <c r="I537" s="45"/>
      <c r="J537" s="42"/>
      <c r="K537" s="53" t="s">
        <v>1090</v>
      </c>
      <c r="L537" s="42"/>
      <c r="M537" s="42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spans="1:27" ht="15.75" customHeight="1">
      <c r="A538" s="37" t="s">
        <v>1184</v>
      </c>
      <c r="B538" s="42" t="s">
        <v>1185</v>
      </c>
      <c r="C538" s="39">
        <v>43870</v>
      </c>
      <c r="D538" s="40">
        <v>43949</v>
      </c>
      <c r="E538" s="41">
        <f>D538-C538</f>
        <v>79</v>
      </c>
      <c r="F538" s="43" t="s">
        <v>0</v>
      </c>
      <c r="G538" s="45" t="s">
        <v>43</v>
      </c>
      <c r="H538" s="45"/>
      <c r="I538" s="45"/>
      <c r="J538" s="37"/>
      <c r="K538" s="53" t="s">
        <v>1186</v>
      </c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spans="1:27" ht="15.75" customHeight="1">
      <c r="A539" s="37" t="s">
        <v>424</v>
      </c>
      <c r="B539" s="38" t="s">
        <v>425</v>
      </c>
      <c r="C539" s="39">
        <v>43442</v>
      </c>
      <c r="D539" s="39">
        <v>43522</v>
      </c>
      <c r="E539" s="47">
        <f>D539-C539</f>
        <v>80</v>
      </c>
      <c r="F539" s="43" t="s">
        <v>0</v>
      </c>
      <c r="G539" s="45" t="s">
        <v>1</v>
      </c>
      <c r="H539" s="45"/>
      <c r="I539" s="45"/>
      <c r="J539" s="42"/>
      <c r="K539" s="53" t="s">
        <v>518</v>
      </c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spans="1:27" ht="15.75" customHeight="1">
      <c r="A540" s="37" t="s">
        <v>877</v>
      </c>
      <c r="B540" s="38" t="s">
        <v>890</v>
      </c>
      <c r="C540" s="39">
        <v>43964</v>
      </c>
      <c r="D540" s="40">
        <v>44044</v>
      </c>
      <c r="E540" s="41">
        <f>D540-C540</f>
        <v>80</v>
      </c>
      <c r="F540" s="43" t="s">
        <v>0</v>
      </c>
      <c r="G540" s="46"/>
      <c r="H540" s="46"/>
      <c r="I540" s="46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spans="1:27" ht="15.75" customHeight="1">
      <c r="A541" s="42" t="s">
        <v>1345</v>
      </c>
      <c r="B541" s="51" t="s">
        <v>1346</v>
      </c>
      <c r="C541" s="39">
        <v>43971</v>
      </c>
      <c r="D541" s="40">
        <v>44051</v>
      </c>
      <c r="E541" s="47">
        <f>D541-C541</f>
        <v>80</v>
      </c>
      <c r="F541" s="48" t="s">
        <v>1212</v>
      </c>
      <c r="G541" s="45" t="s">
        <v>26</v>
      </c>
      <c r="H541" s="46"/>
      <c r="I541" s="46"/>
      <c r="J541" s="37"/>
      <c r="K541" s="53" t="s">
        <v>1347</v>
      </c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spans="1:27" ht="15.75" customHeight="1">
      <c r="A542" s="82" t="s">
        <v>2856</v>
      </c>
      <c r="B542" s="82" t="s">
        <v>2049</v>
      </c>
      <c r="C542" s="79">
        <v>44531</v>
      </c>
      <c r="D542" s="80">
        <v>44611</v>
      </c>
      <c r="E542" s="41">
        <f>D542-C542</f>
        <v>80</v>
      </c>
      <c r="F542" s="83" t="s">
        <v>196</v>
      </c>
      <c r="G542" s="46"/>
      <c r="H542" s="83" t="s">
        <v>11</v>
      </c>
      <c r="I542" s="81" t="s">
        <v>21</v>
      </c>
      <c r="J542" s="77"/>
      <c r="K542" s="77"/>
      <c r="L542" s="77"/>
      <c r="M542" s="7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spans="1:27" ht="15.75" customHeight="1">
      <c r="A543" s="42" t="s">
        <v>778</v>
      </c>
      <c r="B543" s="38" t="s">
        <v>779</v>
      </c>
      <c r="C543" s="39">
        <v>43618</v>
      </c>
      <c r="D543" s="39">
        <v>43699</v>
      </c>
      <c r="E543" s="47">
        <f>D543-C543</f>
        <v>81</v>
      </c>
      <c r="F543" s="43" t="s">
        <v>17</v>
      </c>
      <c r="G543" s="45"/>
      <c r="H543" s="45"/>
      <c r="I543" s="45"/>
      <c r="J543" s="42"/>
      <c r="K543" s="42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spans="1:27" ht="15.75" customHeight="1">
      <c r="A544" s="37" t="s">
        <v>1105</v>
      </c>
      <c r="B544" s="42" t="s">
        <v>1106</v>
      </c>
      <c r="C544" s="39">
        <v>43843</v>
      </c>
      <c r="D544" s="40">
        <v>43924</v>
      </c>
      <c r="E544" s="41">
        <f>D544-C544</f>
        <v>81</v>
      </c>
      <c r="F544" s="43" t="s">
        <v>595</v>
      </c>
      <c r="G544" s="45"/>
      <c r="H544" s="45"/>
      <c r="I544" s="45"/>
      <c r="J544" s="37"/>
      <c r="K544" s="53" t="s">
        <v>1107</v>
      </c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spans="1:27" ht="15.75" customHeight="1">
      <c r="A545" s="37" t="s">
        <v>943</v>
      </c>
      <c r="B545" s="38" t="s">
        <v>944</v>
      </c>
      <c r="C545" s="39">
        <v>43865</v>
      </c>
      <c r="D545" s="40">
        <v>43946</v>
      </c>
      <c r="E545" s="47">
        <f>D545-C545</f>
        <v>81</v>
      </c>
      <c r="F545" s="43" t="s">
        <v>0</v>
      </c>
      <c r="G545" s="45"/>
      <c r="H545" s="45"/>
      <c r="I545" s="45"/>
      <c r="J545" s="37"/>
      <c r="K545" s="53" t="s">
        <v>1177</v>
      </c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spans="1:27" ht="15.75" customHeight="1">
      <c r="A546" s="42" t="s">
        <v>601</v>
      </c>
      <c r="B546" s="38" t="s">
        <v>602</v>
      </c>
      <c r="C546" s="39">
        <v>43889</v>
      </c>
      <c r="D546" s="39">
        <v>43971</v>
      </c>
      <c r="E546" s="47">
        <f>D546-C546</f>
        <v>82</v>
      </c>
      <c r="F546" s="45" t="s">
        <v>0</v>
      </c>
      <c r="G546" s="45" t="s">
        <v>33</v>
      </c>
      <c r="H546" s="45"/>
      <c r="I546" s="45"/>
      <c r="J546" s="37"/>
      <c r="K546" s="53" t="s">
        <v>1235</v>
      </c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spans="1:27" ht="15.75" customHeight="1">
      <c r="A547" s="37" t="s">
        <v>1240</v>
      </c>
      <c r="B547" s="42" t="s">
        <v>1241</v>
      </c>
      <c r="C547" s="39">
        <v>43899</v>
      </c>
      <c r="D547" s="39">
        <v>43981</v>
      </c>
      <c r="E547" s="41">
        <f>D547-C547</f>
        <v>82</v>
      </c>
      <c r="F547" s="45" t="s">
        <v>0</v>
      </c>
      <c r="G547" s="45"/>
      <c r="H547" s="45"/>
      <c r="I547" s="45"/>
      <c r="J547" s="37"/>
      <c r="K547" s="53" t="s">
        <v>1242</v>
      </c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spans="1:27" ht="15.75" customHeight="1">
      <c r="A548" s="42" t="s">
        <v>595</v>
      </c>
      <c r="B548" s="42" t="s">
        <v>1308</v>
      </c>
      <c r="C548" s="39">
        <v>43934</v>
      </c>
      <c r="D548" s="40">
        <v>44016</v>
      </c>
      <c r="E548" s="41">
        <f>D548-C548</f>
        <v>82</v>
      </c>
      <c r="F548" s="43" t="s">
        <v>0</v>
      </c>
      <c r="G548" s="46"/>
      <c r="H548" s="46"/>
      <c r="I548" s="46"/>
      <c r="J548" s="37"/>
      <c r="K548" s="53" t="s">
        <v>1309</v>
      </c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spans="1:27" ht="15.75" customHeight="1">
      <c r="A549" s="37" t="s">
        <v>1462</v>
      </c>
      <c r="B549" s="42" t="s">
        <v>1463</v>
      </c>
      <c r="C549" s="39">
        <v>44073</v>
      </c>
      <c r="D549" s="40">
        <v>44155</v>
      </c>
      <c r="E549" s="41">
        <f>D549-C549</f>
        <v>82</v>
      </c>
      <c r="F549" s="48" t="s">
        <v>1212</v>
      </c>
      <c r="G549" s="46"/>
      <c r="H549" s="46"/>
      <c r="I549" s="46"/>
      <c r="J549" s="37"/>
      <c r="K549" s="37"/>
      <c r="L549" s="42" t="s">
        <v>1464</v>
      </c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spans="1:27" ht="15.75" customHeight="1">
      <c r="A550" s="75" t="s">
        <v>1605</v>
      </c>
      <c r="B550" s="75" t="s">
        <v>1605</v>
      </c>
      <c r="C550" s="39">
        <v>44214</v>
      </c>
      <c r="D550" s="40">
        <v>44296</v>
      </c>
      <c r="E550" s="41">
        <f>D550-C550</f>
        <v>82</v>
      </c>
      <c r="F550" s="43" t="s">
        <v>0</v>
      </c>
      <c r="G550" s="45" t="s">
        <v>942</v>
      </c>
      <c r="H550" s="46"/>
      <c r="I550" s="46"/>
      <c r="J550" s="77"/>
      <c r="K550" s="76" t="s">
        <v>1606</v>
      </c>
      <c r="L550" s="77"/>
      <c r="M550" s="7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spans="1:27" ht="15.75" customHeight="1">
      <c r="A551" s="87" t="s">
        <v>2025</v>
      </c>
      <c r="B551" s="87" t="s">
        <v>2026</v>
      </c>
      <c r="C551" s="79">
        <v>44777</v>
      </c>
      <c r="D551" s="80">
        <v>44859</v>
      </c>
      <c r="E551" s="41">
        <f>D551-C551</f>
        <v>82</v>
      </c>
      <c r="F551" s="83" t="s">
        <v>305</v>
      </c>
      <c r="G551" s="81"/>
      <c r="H551" s="41" t="s">
        <v>11</v>
      </c>
      <c r="I551" s="81" t="s">
        <v>85</v>
      </c>
      <c r="J551" s="87"/>
      <c r="K551" s="76" t="s">
        <v>2027</v>
      </c>
      <c r="L551" s="87" t="s">
        <v>2028</v>
      </c>
      <c r="M551" s="8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spans="1:27" ht="15.75" customHeight="1">
      <c r="A552" s="37" t="s">
        <v>675</v>
      </c>
      <c r="B552" s="38" t="s">
        <v>676</v>
      </c>
      <c r="C552" s="39">
        <v>43527</v>
      </c>
      <c r="D552" s="39">
        <v>43610</v>
      </c>
      <c r="E552" s="47">
        <f>D552-C552</f>
        <v>83</v>
      </c>
      <c r="F552" s="43" t="s">
        <v>14</v>
      </c>
      <c r="G552" s="44"/>
      <c r="H552" s="44"/>
      <c r="I552" s="44"/>
      <c r="J552" s="1"/>
      <c r="K552" s="1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spans="1:27">
      <c r="A553" s="37" t="s">
        <v>794</v>
      </c>
      <c r="B553" s="38" t="s">
        <v>795</v>
      </c>
      <c r="C553" s="39">
        <v>43620</v>
      </c>
      <c r="D553" s="39">
        <v>43703</v>
      </c>
      <c r="E553" s="47">
        <f>D553-C553</f>
        <v>83</v>
      </c>
      <c r="F553" s="45" t="s">
        <v>764</v>
      </c>
      <c r="G553" s="45" t="s">
        <v>1</v>
      </c>
      <c r="H553" s="45"/>
      <c r="I553" s="45"/>
      <c r="J553" s="42"/>
      <c r="K553" s="42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spans="1:27" s="75" customFormat="1" ht="15.75" customHeight="1">
      <c r="A554" s="65" t="s">
        <v>1012</v>
      </c>
      <c r="B554" s="65" t="s">
        <v>1012</v>
      </c>
      <c r="C554" s="39">
        <v>43786</v>
      </c>
      <c r="D554" s="39">
        <v>43869</v>
      </c>
      <c r="E554" s="47">
        <f>D554-C554</f>
        <v>83</v>
      </c>
      <c r="F554" s="43" t="s">
        <v>54</v>
      </c>
      <c r="G554" s="45"/>
      <c r="H554" s="45"/>
      <c r="I554" s="45"/>
      <c r="J554" s="42"/>
      <c r="K554" s="42"/>
      <c r="L554" s="42"/>
      <c r="M554" s="42"/>
    </row>
    <row r="555" spans="1:27" s="75" customFormat="1" ht="15.75" customHeight="1">
      <c r="A555" s="82" t="s">
        <v>1879</v>
      </c>
      <c r="B555" s="82" t="s">
        <v>1880</v>
      </c>
      <c r="C555" s="79">
        <v>44514</v>
      </c>
      <c r="D555" s="80">
        <v>44597</v>
      </c>
      <c r="E555" s="41">
        <f>D555-C555</f>
        <v>83</v>
      </c>
      <c r="F555" s="43" t="s">
        <v>0</v>
      </c>
      <c r="G555" s="46"/>
      <c r="H555" s="41" t="s">
        <v>11</v>
      </c>
      <c r="I555" s="46"/>
      <c r="J555" s="77"/>
      <c r="K555" s="77"/>
      <c r="L555" s="77"/>
      <c r="M555" s="7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spans="1:27" s="75" customFormat="1" ht="15.75" customHeight="1">
      <c r="A556" s="37" t="s">
        <v>1167</v>
      </c>
      <c r="B556" s="42" t="s">
        <v>1168</v>
      </c>
      <c r="C556" s="39">
        <v>43859</v>
      </c>
      <c r="D556" s="40">
        <v>43943</v>
      </c>
      <c r="E556" s="41">
        <f>D556-C556</f>
        <v>84</v>
      </c>
      <c r="F556" s="43" t="s">
        <v>853</v>
      </c>
      <c r="G556" s="45" t="s">
        <v>1</v>
      </c>
      <c r="H556" s="45"/>
      <c r="I556" s="45"/>
      <c r="J556" s="37"/>
      <c r="K556" s="37"/>
      <c r="L556" s="37"/>
      <c r="M556" s="37"/>
    </row>
    <row r="557" spans="1:27" s="75" customFormat="1" ht="15.75" customHeight="1">
      <c r="A557" s="42" t="s">
        <v>998</v>
      </c>
      <c r="B557" s="42" t="s">
        <v>999</v>
      </c>
      <c r="C557" s="39">
        <v>43876</v>
      </c>
      <c r="D557" s="39">
        <v>43960</v>
      </c>
      <c r="E557" s="47">
        <f>D557-C557</f>
        <v>84</v>
      </c>
      <c r="F557" s="72" t="s">
        <v>884</v>
      </c>
      <c r="G557" s="45" t="s">
        <v>1</v>
      </c>
      <c r="H557" s="45"/>
      <c r="I557" s="45"/>
      <c r="J557" s="37"/>
      <c r="K557" s="53" t="s">
        <v>1000</v>
      </c>
      <c r="L557" s="37"/>
      <c r="M557" s="37"/>
    </row>
    <row r="558" spans="1:27" s="75" customFormat="1" ht="15.75" customHeight="1">
      <c r="A558" s="37" t="s">
        <v>1511</v>
      </c>
      <c r="B558" s="42" t="s">
        <v>1512</v>
      </c>
      <c r="C558" s="39">
        <v>44121</v>
      </c>
      <c r="D558" s="40">
        <v>44205</v>
      </c>
      <c r="E558" s="41">
        <f>D558-C558</f>
        <v>84</v>
      </c>
      <c r="F558" s="43" t="s">
        <v>0</v>
      </c>
      <c r="G558" s="46"/>
      <c r="H558" s="46"/>
      <c r="I558" s="46"/>
      <c r="K558" s="76" t="s">
        <v>1513</v>
      </c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spans="1:27" s="75" customFormat="1" ht="15.75" customHeight="1">
      <c r="A559" s="82" t="s">
        <v>2050</v>
      </c>
      <c r="B559" s="82" t="s">
        <v>2051</v>
      </c>
      <c r="C559" s="79">
        <v>44527</v>
      </c>
      <c r="D559" s="80">
        <v>44611</v>
      </c>
      <c r="E559" s="41">
        <f>D559-C559</f>
        <v>84</v>
      </c>
      <c r="F559" s="43" t="s">
        <v>0</v>
      </c>
      <c r="G559" s="46"/>
      <c r="H559" s="83" t="s">
        <v>11</v>
      </c>
      <c r="I559" s="46"/>
      <c r="J559" s="77"/>
      <c r="K559" s="77"/>
      <c r="L559" s="77"/>
      <c r="M559" s="77"/>
    </row>
    <row r="560" spans="1:27" s="75" customFormat="1" ht="15.75" customHeight="1">
      <c r="A560" s="42" t="s">
        <v>1275</v>
      </c>
      <c r="B560" s="42" t="s">
        <v>1276</v>
      </c>
      <c r="C560" s="39">
        <v>43912</v>
      </c>
      <c r="D560" s="40">
        <v>43997</v>
      </c>
      <c r="E560" s="41">
        <f>D560-C560</f>
        <v>85</v>
      </c>
      <c r="F560" s="48" t="s">
        <v>1212</v>
      </c>
      <c r="G560" s="45" t="s">
        <v>33</v>
      </c>
      <c r="H560" s="45"/>
      <c r="I560" s="45" t="s">
        <v>817</v>
      </c>
      <c r="J560" s="37"/>
      <c r="K560" s="53" t="s">
        <v>1277</v>
      </c>
      <c r="L560" s="37"/>
      <c r="M560" s="37"/>
    </row>
    <row r="561" spans="1:27" s="75" customFormat="1" ht="15.75" customHeight="1">
      <c r="A561" s="52" t="s">
        <v>798</v>
      </c>
      <c r="B561" s="51" t="s">
        <v>798</v>
      </c>
      <c r="C561" s="39">
        <v>43622</v>
      </c>
      <c r="D561" s="39">
        <v>43708</v>
      </c>
      <c r="E561" s="47">
        <f>D561-C561</f>
        <v>86</v>
      </c>
      <c r="F561" s="46" t="s">
        <v>301</v>
      </c>
      <c r="G561" s="45"/>
      <c r="H561" s="45"/>
      <c r="I561" s="45"/>
      <c r="J561" s="42"/>
      <c r="K561" s="42"/>
      <c r="L561"/>
      <c r="M561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spans="1:27" s="75" customFormat="1" ht="15.75" customHeight="1">
      <c r="A562" s="57" t="s">
        <v>789</v>
      </c>
      <c r="B562" s="52" t="s">
        <v>790</v>
      </c>
      <c r="C562" s="39">
        <v>43846</v>
      </c>
      <c r="D562" s="39">
        <v>43932</v>
      </c>
      <c r="E562" s="47">
        <f>D562-C562</f>
        <v>86</v>
      </c>
      <c r="F562" s="43" t="s">
        <v>0</v>
      </c>
      <c r="G562" s="45"/>
      <c r="H562" s="45"/>
      <c r="I562" s="45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spans="1:27" s="75" customFormat="1" ht="15.75" customHeight="1">
      <c r="A563" s="37" t="s">
        <v>1013</v>
      </c>
      <c r="B563" s="42" t="s">
        <v>1014</v>
      </c>
      <c r="C563" s="39">
        <v>43903</v>
      </c>
      <c r="D563" s="39">
        <v>43989</v>
      </c>
      <c r="E563" s="47">
        <f>D563-C563</f>
        <v>86</v>
      </c>
      <c r="F563" s="45" t="s">
        <v>0</v>
      </c>
      <c r="G563" s="45"/>
      <c r="H563" s="45"/>
      <c r="I563" s="45"/>
      <c r="J563" s="37"/>
      <c r="K563" s="37"/>
      <c r="L563" s="37"/>
      <c r="M563" s="37"/>
    </row>
    <row r="564" spans="1:27" s="75" customFormat="1" ht="15.75" customHeight="1">
      <c r="A564" s="82" t="s">
        <v>2209</v>
      </c>
      <c r="B564" s="82" t="s">
        <v>2210</v>
      </c>
      <c r="C564" s="79">
        <v>44638</v>
      </c>
      <c r="D564" s="80">
        <v>44724</v>
      </c>
      <c r="E564" s="41">
        <f>D564-C564</f>
        <v>86</v>
      </c>
      <c r="F564" s="83" t="s">
        <v>196</v>
      </c>
      <c r="G564" s="46"/>
      <c r="H564" s="83" t="s">
        <v>11</v>
      </c>
      <c r="I564" s="46"/>
      <c r="J564" s="77"/>
      <c r="K564" s="77"/>
      <c r="L564" s="77"/>
      <c r="M564" s="77"/>
    </row>
    <row r="565" spans="1:27" s="75" customFormat="1" ht="15.75" customHeight="1">
      <c r="A565" s="42" t="s">
        <v>460</v>
      </c>
      <c r="B565" s="38" t="s">
        <v>461</v>
      </c>
      <c r="C565" s="39">
        <v>43345</v>
      </c>
      <c r="D565" s="39">
        <v>43432</v>
      </c>
      <c r="E565" s="41">
        <f>D565-C565</f>
        <v>87</v>
      </c>
      <c r="F565" s="45"/>
      <c r="G565" s="42"/>
      <c r="H565" s="42"/>
      <c r="I565" s="44"/>
      <c r="J565" s="1"/>
      <c r="K565" s="1"/>
      <c r="L565"/>
      <c r="M565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spans="1:27" s="75" customFormat="1" ht="15.75" customHeight="1">
      <c r="A566" s="57" t="s">
        <v>915</v>
      </c>
      <c r="B566" s="51" t="s">
        <v>915</v>
      </c>
      <c r="C566" s="39">
        <v>43712</v>
      </c>
      <c r="D566" s="39">
        <v>43799</v>
      </c>
      <c r="E566" s="47">
        <f>D566-C566</f>
        <v>87</v>
      </c>
      <c r="F566" s="43" t="s">
        <v>0</v>
      </c>
      <c r="G566" s="45"/>
      <c r="H566" s="45"/>
      <c r="I566" s="45"/>
      <c r="J566" s="42"/>
      <c r="K566" s="42"/>
      <c r="L566"/>
      <c r="M566"/>
    </row>
    <row r="567" spans="1:27" s="75" customFormat="1" ht="15.75" customHeight="1">
      <c r="A567" s="77" t="s">
        <v>1591</v>
      </c>
      <c r="B567" s="75" t="s">
        <v>1592</v>
      </c>
      <c r="C567" s="39">
        <v>44202</v>
      </c>
      <c r="D567" s="40">
        <v>44289</v>
      </c>
      <c r="E567" s="41">
        <f>D567-C567</f>
        <v>87</v>
      </c>
      <c r="F567" s="43" t="s">
        <v>884</v>
      </c>
      <c r="G567" s="45" t="s">
        <v>1</v>
      </c>
      <c r="H567" s="46"/>
      <c r="I567" s="45" t="s">
        <v>90</v>
      </c>
      <c r="J567" s="77"/>
      <c r="K567" s="77"/>
      <c r="L567" s="77"/>
      <c r="M567" s="7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spans="1:27" s="75" customFormat="1">
      <c r="A568" s="42" t="s">
        <v>970</v>
      </c>
      <c r="B568" s="42" t="s">
        <v>971</v>
      </c>
      <c r="C568" s="39">
        <v>44361</v>
      </c>
      <c r="D568" s="39">
        <v>44448</v>
      </c>
      <c r="E568" s="41">
        <f>D568-C568</f>
        <v>87</v>
      </c>
      <c r="F568" s="43" t="s">
        <v>0</v>
      </c>
      <c r="G568" s="45" t="s">
        <v>1</v>
      </c>
      <c r="H568" s="46"/>
      <c r="I568" s="46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spans="1:27" s="75" customFormat="1" ht="15.75" customHeight="1">
      <c r="A569" s="77" t="s">
        <v>1789</v>
      </c>
      <c r="B569" s="82" t="s">
        <v>1803</v>
      </c>
      <c r="C569" s="79">
        <v>44362</v>
      </c>
      <c r="D569" s="80">
        <v>44449</v>
      </c>
      <c r="E569" s="41">
        <f>D569-C569</f>
        <v>87</v>
      </c>
      <c r="F569" s="45" t="s">
        <v>2857</v>
      </c>
      <c r="G569" s="81" t="s">
        <v>487</v>
      </c>
      <c r="H569" s="46"/>
      <c r="I569" s="46"/>
      <c r="J569" s="77"/>
      <c r="K569" s="77"/>
      <c r="L569" s="77"/>
      <c r="M569" s="77"/>
    </row>
    <row r="570" spans="1:27" s="75" customFormat="1" ht="15.75" customHeight="1">
      <c r="A570" s="42" t="s">
        <v>1219</v>
      </c>
      <c r="B570" s="42" t="s">
        <v>1220</v>
      </c>
      <c r="C570" s="39">
        <v>44381</v>
      </c>
      <c r="D570" s="39">
        <v>44469</v>
      </c>
      <c r="E570" s="41">
        <f>D570-C570</f>
        <v>88</v>
      </c>
      <c r="F570" s="43" t="s">
        <v>0</v>
      </c>
      <c r="G570" s="45" t="s">
        <v>487</v>
      </c>
      <c r="H570" s="46"/>
      <c r="I570" s="46"/>
      <c r="J570" s="37"/>
      <c r="K570" s="53" t="s">
        <v>1221</v>
      </c>
      <c r="L570" s="37" t="s">
        <v>1841</v>
      </c>
      <c r="M570" s="37"/>
    </row>
    <row r="571" spans="1:27" s="75" customFormat="1" ht="15.75" customHeight="1">
      <c r="A571" s="37" t="s">
        <v>1322</v>
      </c>
      <c r="B571" s="42" t="s">
        <v>1323</v>
      </c>
      <c r="C571" s="79">
        <v>44474</v>
      </c>
      <c r="D571" s="80">
        <v>44562</v>
      </c>
      <c r="E571" s="41">
        <f>D571-C571</f>
        <v>88</v>
      </c>
      <c r="F571" s="48" t="s">
        <v>1570</v>
      </c>
      <c r="G571" s="46"/>
      <c r="H571" s="46"/>
      <c r="I571" s="81" t="s">
        <v>90</v>
      </c>
      <c r="J571" s="77"/>
      <c r="K571" s="76" t="s">
        <v>1324</v>
      </c>
      <c r="L571" s="42" t="s">
        <v>1835</v>
      </c>
      <c r="M571" s="77"/>
    </row>
    <row r="572" spans="1:27" s="75" customFormat="1" ht="15.75" customHeight="1">
      <c r="A572" s="82" t="s">
        <v>2172</v>
      </c>
      <c r="B572" s="82" t="s">
        <v>2173</v>
      </c>
      <c r="C572" s="79">
        <v>44588</v>
      </c>
      <c r="D572" s="80">
        <v>44676</v>
      </c>
      <c r="E572" s="41">
        <f>D572-C572</f>
        <v>88</v>
      </c>
      <c r="F572" s="43" t="s">
        <v>0</v>
      </c>
      <c r="G572" s="81" t="s">
        <v>2174</v>
      </c>
      <c r="H572" s="83" t="s">
        <v>11</v>
      </c>
      <c r="I572" s="77"/>
      <c r="J572" s="77"/>
      <c r="K572" s="77"/>
      <c r="L572" s="77"/>
      <c r="M572" s="77"/>
    </row>
    <row r="573" spans="1:27" s="75" customFormat="1" ht="15.75" customHeight="1">
      <c r="A573" s="87" t="s">
        <v>2261</v>
      </c>
      <c r="B573" s="87" t="s">
        <v>2262</v>
      </c>
      <c r="C573" s="79">
        <v>44691</v>
      </c>
      <c r="D573" s="80">
        <v>44779</v>
      </c>
      <c r="E573" s="41">
        <f>D573-C573</f>
        <v>88</v>
      </c>
      <c r="F573" s="43" t="s">
        <v>0</v>
      </c>
      <c r="G573" s="81"/>
      <c r="H573" s="83" t="s">
        <v>2</v>
      </c>
      <c r="I573" s="81"/>
      <c r="J573" s="87"/>
      <c r="K573" s="87"/>
      <c r="L573" s="87"/>
      <c r="M573" s="8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spans="1:27" s="75" customFormat="1" ht="15.75" customHeight="1">
      <c r="A574" s="77" t="s">
        <v>1748</v>
      </c>
      <c r="B574" s="75" t="s">
        <v>1749</v>
      </c>
      <c r="C574" s="79">
        <v>44305</v>
      </c>
      <c r="D574" s="80">
        <v>44394</v>
      </c>
      <c r="E574" s="41">
        <f>D574-C574</f>
        <v>89</v>
      </c>
      <c r="F574" s="43" t="s">
        <v>0</v>
      </c>
      <c r="G574" s="46"/>
      <c r="H574" s="46"/>
      <c r="I574" s="46"/>
      <c r="J574" s="77"/>
      <c r="K574" s="77"/>
      <c r="L574" s="77"/>
      <c r="M574" s="77"/>
    </row>
    <row r="575" spans="1:27" s="75" customFormat="1" ht="15.75" customHeight="1">
      <c r="A575" s="77" t="s">
        <v>1840</v>
      </c>
      <c r="B575" s="82" t="s">
        <v>1890</v>
      </c>
      <c r="C575" s="79">
        <v>44410</v>
      </c>
      <c r="D575" s="80">
        <v>44499</v>
      </c>
      <c r="E575" s="41">
        <f>D575-C575</f>
        <v>89</v>
      </c>
      <c r="F575" s="43" t="s">
        <v>0</v>
      </c>
      <c r="G575" s="81" t="s">
        <v>33</v>
      </c>
      <c r="H575" s="46"/>
      <c r="I575" s="46"/>
      <c r="J575" s="77"/>
      <c r="K575" s="76" t="s">
        <v>1891</v>
      </c>
      <c r="L575" s="77"/>
      <c r="M575" s="77"/>
    </row>
    <row r="576" spans="1:27" s="75" customFormat="1" ht="15.75" customHeight="1">
      <c r="A576" s="87" t="s">
        <v>1854</v>
      </c>
      <c r="B576" s="87" t="s">
        <v>1855</v>
      </c>
      <c r="C576" s="39">
        <v>44766</v>
      </c>
      <c r="D576" s="80">
        <v>44855</v>
      </c>
      <c r="E576" s="41">
        <f>D576-C576</f>
        <v>89</v>
      </c>
      <c r="F576" s="43" t="s">
        <v>0</v>
      </c>
      <c r="G576" s="81" t="s">
        <v>1</v>
      </c>
      <c r="H576" s="81" t="s">
        <v>2</v>
      </c>
      <c r="I576" s="81"/>
      <c r="J576" s="87"/>
      <c r="K576" s="76" t="s">
        <v>1856</v>
      </c>
      <c r="L576" s="87"/>
      <c r="M576" s="87"/>
    </row>
    <row r="577" spans="1:27" s="75" customFormat="1" ht="15.75" customHeight="1">
      <c r="A577" s="37" t="s">
        <v>611</v>
      </c>
      <c r="B577" s="38" t="s">
        <v>612</v>
      </c>
      <c r="C577" s="39">
        <v>43484</v>
      </c>
      <c r="D577" s="39">
        <v>43574</v>
      </c>
      <c r="E577" s="47">
        <f>D577-C577</f>
        <v>90</v>
      </c>
      <c r="F577" s="46" t="s">
        <v>589</v>
      </c>
      <c r="G577" s="45" t="s">
        <v>1</v>
      </c>
      <c r="H577" s="45"/>
      <c r="I577" s="45"/>
      <c r="J577" s="42"/>
      <c r="K577" s="42"/>
      <c r="L577"/>
      <c r="M57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spans="1:27" s="75" customFormat="1" ht="15.75" customHeight="1">
      <c r="A578" s="37" t="s">
        <v>735</v>
      </c>
      <c r="B578" s="38" t="s">
        <v>736</v>
      </c>
      <c r="C578" s="39">
        <v>43576</v>
      </c>
      <c r="D578" s="39">
        <v>43666</v>
      </c>
      <c r="E578" s="47">
        <f>D578-C578</f>
        <v>90</v>
      </c>
      <c r="F578" s="43" t="s">
        <v>0</v>
      </c>
      <c r="G578" s="45" t="s">
        <v>1</v>
      </c>
      <c r="H578" s="45"/>
      <c r="I578" s="45"/>
      <c r="J578" s="42"/>
      <c r="K578" s="42"/>
      <c r="L578"/>
      <c r="M578"/>
    </row>
    <row r="579" spans="1:27" s="75" customFormat="1" ht="15.75" customHeight="1">
      <c r="A579" s="37" t="s">
        <v>552</v>
      </c>
      <c r="B579" s="38" t="s">
        <v>553</v>
      </c>
      <c r="C579" s="39">
        <v>43448</v>
      </c>
      <c r="D579" s="39">
        <v>43539</v>
      </c>
      <c r="E579" s="47">
        <f>D579-C579</f>
        <v>91</v>
      </c>
      <c r="F579" s="45" t="s">
        <v>539</v>
      </c>
      <c r="G579" s="45" t="s">
        <v>33</v>
      </c>
      <c r="H579" s="45"/>
      <c r="I579" s="45"/>
      <c r="J579" s="42"/>
      <c r="K579" s="42"/>
      <c r="L579"/>
      <c r="M579"/>
    </row>
    <row r="580" spans="1:27" s="75" customFormat="1" ht="15.75" customHeight="1">
      <c r="A580" s="75" t="s">
        <v>1593</v>
      </c>
      <c r="B580" s="75" t="s">
        <v>1594</v>
      </c>
      <c r="C580" s="39">
        <v>44199</v>
      </c>
      <c r="D580" s="40">
        <v>44290</v>
      </c>
      <c r="E580" s="41">
        <f>D580-C580</f>
        <v>91</v>
      </c>
      <c r="F580" s="43" t="s">
        <v>0</v>
      </c>
      <c r="G580" s="45" t="s">
        <v>225</v>
      </c>
      <c r="H580" s="46"/>
      <c r="I580" s="45" t="s">
        <v>1595</v>
      </c>
      <c r="J580" s="77"/>
      <c r="K580" s="77"/>
      <c r="L580" s="77"/>
      <c r="M580" s="77"/>
    </row>
    <row r="581" spans="1:27" s="75" customFormat="1" ht="15.75" customHeight="1">
      <c r="A581" s="42" t="s">
        <v>760</v>
      </c>
      <c r="B581" s="38" t="s">
        <v>761</v>
      </c>
      <c r="C581" s="39">
        <v>43602</v>
      </c>
      <c r="D581" s="39">
        <v>43694</v>
      </c>
      <c r="E581" s="47">
        <f>D581-C581</f>
        <v>92</v>
      </c>
      <c r="F581" s="43" t="s">
        <v>0</v>
      </c>
      <c r="G581" s="45"/>
      <c r="H581" s="45"/>
      <c r="I581" s="45" t="s">
        <v>762</v>
      </c>
      <c r="J581" s="38" t="s">
        <v>763</v>
      </c>
      <c r="K581"/>
      <c r="L581"/>
      <c r="M581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spans="1:27" s="75" customFormat="1" ht="15.75" customHeight="1">
      <c r="A582" s="42" t="s">
        <v>25</v>
      </c>
      <c r="B582" s="38" t="s">
        <v>504</v>
      </c>
      <c r="C582" s="39">
        <v>43840</v>
      </c>
      <c r="D582" s="39">
        <v>43932</v>
      </c>
      <c r="E582" s="47">
        <f>D582-C582</f>
        <v>92</v>
      </c>
      <c r="F582" s="43" t="s">
        <v>0</v>
      </c>
      <c r="G582" s="45" t="s">
        <v>33</v>
      </c>
      <c r="H582" s="45"/>
      <c r="I582" s="45"/>
      <c r="J582" s="37"/>
      <c r="K582" s="37"/>
      <c r="L582" s="37"/>
      <c r="M582" s="37"/>
    </row>
    <row r="583" spans="1:27" s="75" customFormat="1" ht="15.75" customHeight="1">
      <c r="A583" s="37" t="s">
        <v>104</v>
      </c>
      <c r="B583" s="42" t="s">
        <v>105</v>
      </c>
      <c r="C583" s="39">
        <v>43867</v>
      </c>
      <c r="D583" s="39">
        <v>43959</v>
      </c>
      <c r="E583" s="41">
        <f>D583-C583</f>
        <v>92</v>
      </c>
      <c r="F583" s="48" t="s">
        <v>1212</v>
      </c>
      <c r="G583" s="45"/>
      <c r="H583" s="45"/>
      <c r="I583" s="45"/>
      <c r="J583" s="37"/>
      <c r="K583" s="53" t="s">
        <v>107</v>
      </c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spans="1:27" s="75" customFormat="1" ht="15.75" customHeight="1">
      <c r="A584" s="77" t="s">
        <v>1985</v>
      </c>
      <c r="B584" s="82" t="s">
        <v>1986</v>
      </c>
      <c r="C584" s="79">
        <v>44480</v>
      </c>
      <c r="D584" s="80">
        <v>44572</v>
      </c>
      <c r="E584" s="41">
        <f>D584-C584</f>
        <v>92</v>
      </c>
      <c r="F584" s="48" t="s">
        <v>174</v>
      </c>
      <c r="G584" s="46"/>
      <c r="H584" s="83" t="s">
        <v>2</v>
      </c>
      <c r="I584" s="81" t="s">
        <v>1987</v>
      </c>
      <c r="J584" s="77"/>
      <c r="K584" s="76" t="s">
        <v>1988</v>
      </c>
      <c r="L584" s="77"/>
      <c r="M584" s="77"/>
    </row>
    <row r="585" spans="1:27" s="77" customFormat="1" ht="15.75" customHeight="1">
      <c r="A585" s="75" t="s">
        <v>1635</v>
      </c>
      <c r="B585" s="75" t="s">
        <v>1636</v>
      </c>
      <c r="C585" s="39">
        <v>44554</v>
      </c>
      <c r="D585" s="80">
        <v>44646</v>
      </c>
      <c r="E585" s="41">
        <f>D585-C585</f>
        <v>92</v>
      </c>
      <c r="F585" s="43" t="s">
        <v>0</v>
      </c>
      <c r="G585" s="46"/>
      <c r="H585" s="83" t="s">
        <v>2</v>
      </c>
      <c r="I585" s="46"/>
      <c r="K585" s="76" t="s">
        <v>2100</v>
      </c>
      <c r="L585" s="75" t="s">
        <v>2101</v>
      </c>
    </row>
    <row r="586" spans="1:27" s="77" customFormat="1" ht="15.75" customHeight="1">
      <c r="A586" s="42" t="s">
        <v>705</v>
      </c>
      <c r="B586" s="38" t="s">
        <v>706</v>
      </c>
      <c r="C586" s="39">
        <v>43545</v>
      </c>
      <c r="D586" s="39">
        <v>43638</v>
      </c>
      <c r="E586" s="47">
        <f>D586-C586</f>
        <v>93</v>
      </c>
      <c r="F586" s="43" t="s">
        <v>0</v>
      </c>
      <c r="G586" s="45"/>
      <c r="H586" s="45"/>
      <c r="I586" s="45"/>
      <c r="J586" s="42"/>
      <c r="K586" s="42"/>
      <c r="L586"/>
      <c r="M586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spans="1:27" s="77" customFormat="1" ht="15.75" customHeight="1">
      <c r="A587" s="37" t="s">
        <v>926</v>
      </c>
      <c r="B587" s="38" t="s">
        <v>927</v>
      </c>
      <c r="C587" s="39">
        <v>43839</v>
      </c>
      <c r="D587" s="39">
        <v>43932</v>
      </c>
      <c r="E587" s="47">
        <f>D587-C587</f>
        <v>93</v>
      </c>
      <c r="F587" s="43" t="s">
        <v>0</v>
      </c>
      <c r="G587" s="45" t="s">
        <v>1</v>
      </c>
      <c r="H587" s="45"/>
      <c r="I587" s="45"/>
      <c r="J587" s="37"/>
      <c r="K587" s="53" t="s">
        <v>1139</v>
      </c>
      <c r="L587" s="37"/>
      <c r="M587" s="37"/>
    </row>
    <row r="588" spans="1:27" s="77" customFormat="1" ht="15.75" customHeight="1">
      <c r="A588" s="77" t="s">
        <v>2214</v>
      </c>
      <c r="B588" s="82" t="s">
        <v>2215</v>
      </c>
      <c r="C588" s="79">
        <v>44805</v>
      </c>
      <c r="D588" s="80">
        <v>44898</v>
      </c>
      <c r="E588" s="41">
        <f>D588-C588</f>
        <v>93</v>
      </c>
      <c r="F588" s="43" t="s">
        <v>0</v>
      </c>
      <c r="G588" s="46" t="s">
        <v>1119</v>
      </c>
      <c r="H588" s="83" t="s">
        <v>11</v>
      </c>
      <c r="I588" s="81" t="s">
        <v>2036</v>
      </c>
    </row>
    <row r="589" spans="1:27" s="77" customFormat="1" ht="15.75" customHeight="1">
      <c r="A589" s="37" t="s">
        <v>515</v>
      </c>
      <c r="B589" s="38" t="s">
        <v>516</v>
      </c>
      <c r="C589" s="39">
        <v>43423</v>
      </c>
      <c r="D589" s="39">
        <v>43517</v>
      </c>
      <c r="E589" s="47">
        <f>D589-C589</f>
        <v>94</v>
      </c>
      <c r="F589" s="43" t="s">
        <v>0</v>
      </c>
      <c r="G589"/>
      <c r="H589"/>
      <c r="I589" s="45" t="s">
        <v>517</v>
      </c>
      <c r="J589" s="42"/>
      <c r="K589" s="42"/>
      <c r="L589"/>
      <c r="M589"/>
    </row>
    <row r="590" spans="1:27" s="77" customFormat="1" ht="15.75" customHeight="1">
      <c r="A590" s="37" t="s">
        <v>1187</v>
      </c>
      <c r="B590" s="42" t="s">
        <v>1188</v>
      </c>
      <c r="C590" s="39">
        <v>43855</v>
      </c>
      <c r="D590" s="40">
        <v>43949</v>
      </c>
      <c r="E590" s="41">
        <f>D590-C590</f>
        <v>94</v>
      </c>
      <c r="F590" s="48" t="s">
        <v>174</v>
      </c>
      <c r="G590" s="45"/>
      <c r="H590" s="45"/>
      <c r="I590" s="45"/>
      <c r="J590" s="37"/>
      <c r="K590" s="37"/>
      <c r="L590" s="37"/>
      <c r="M590" s="37"/>
    </row>
    <row r="591" spans="1:27" s="77" customFormat="1" ht="15.75" customHeight="1">
      <c r="A591" s="42" t="s">
        <v>511</v>
      </c>
      <c r="B591" s="38" t="s">
        <v>466</v>
      </c>
      <c r="C591" s="39">
        <v>43436</v>
      </c>
      <c r="D591" s="39">
        <v>43531</v>
      </c>
      <c r="E591" s="47">
        <f>D591-C591</f>
        <v>95</v>
      </c>
      <c r="F591" s="43" t="s">
        <v>539</v>
      </c>
      <c r="G591" s="45"/>
      <c r="H591" s="45"/>
      <c r="I591" s="45"/>
      <c r="J591" s="42"/>
      <c r="K591" s="53" t="s">
        <v>540</v>
      </c>
      <c r="L591"/>
      <c r="M591"/>
    </row>
    <row r="592" spans="1:27" s="77" customFormat="1" ht="15.75" customHeight="1">
      <c r="A592" s="37" t="s">
        <v>1292</v>
      </c>
      <c r="B592" s="42" t="s">
        <v>1293</v>
      </c>
      <c r="C592" s="39">
        <v>43913</v>
      </c>
      <c r="D592" s="40">
        <v>44008</v>
      </c>
      <c r="E592" s="41">
        <f>D592-C592</f>
        <v>95</v>
      </c>
      <c r="F592" s="46" t="s">
        <v>1294</v>
      </c>
      <c r="G592" s="46"/>
      <c r="H592" s="46"/>
      <c r="I592" s="46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13" s="77" customFormat="1" ht="15.75" customHeight="1">
      <c r="A593" s="77" t="s">
        <v>1657</v>
      </c>
      <c r="B593" s="75" t="s">
        <v>1658</v>
      </c>
      <c r="C593" s="79">
        <v>44243</v>
      </c>
      <c r="D593" s="40">
        <v>44338</v>
      </c>
      <c r="E593" s="41">
        <f>D593-C593</f>
        <v>95</v>
      </c>
      <c r="F593" s="43" t="s">
        <v>0</v>
      </c>
      <c r="G593" s="46"/>
      <c r="H593" s="46"/>
      <c r="I593" s="46"/>
    </row>
    <row r="594" spans="1:13" s="77" customFormat="1" ht="15.75" customHeight="1">
      <c r="A594" s="82" t="s">
        <v>1781</v>
      </c>
      <c r="B594" s="82" t="s">
        <v>1782</v>
      </c>
      <c r="C594" s="79">
        <v>44336</v>
      </c>
      <c r="D594" s="80">
        <v>44431</v>
      </c>
      <c r="E594" s="41">
        <f>D594-C594</f>
        <v>95</v>
      </c>
      <c r="F594" s="46" t="s">
        <v>1758</v>
      </c>
      <c r="G594" s="81" t="s">
        <v>33</v>
      </c>
      <c r="H594" s="46"/>
      <c r="I594" s="46"/>
      <c r="K594" s="76" t="s">
        <v>1783</v>
      </c>
    </row>
    <row r="595" spans="1:13" s="82" customFormat="1" ht="15.75" customHeight="1">
      <c r="A595" s="42" t="s">
        <v>1150</v>
      </c>
      <c r="B595" s="42" t="s">
        <v>1151</v>
      </c>
      <c r="C595" s="39">
        <v>43841</v>
      </c>
      <c r="D595" s="40">
        <v>43937</v>
      </c>
      <c r="E595" s="41">
        <f>D595-C595</f>
        <v>96</v>
      </c>
      <c r="F595" s="43" t="s">
        <v>0</v>
      </c>
      <c r="G595" s="45" t="s">
        <v>43</v>
      </c>
      <c r="H595" s="45"/>
      <c r="I595" s="45"/>
      <c r="J595" s="37"/>
      <c r="K595" s="53" t="s">
        <v>1152</v>
      </c>
      <c r="L595" s="37"/>
      <c r="M595" s="37"/>
    </row>
    <row r="596" spans="1:13" s="82" customFormat="1" ht="15.75" customHeight="1">
      <c r="A596" s="77" t="s">
        <v>1599</v>
      </c>
      <c r="B596" s="75" t="s">
        <v>1600</v>
      </c>
      <c r="C596" s="39">
        <v>44197</v>
      </c>
      <c r="D596" s="40">
        <v>44293</v>
      </c>
      <c r="E596" s="41">
        <f>D596-C596</f>
        <v>96</v>
      </c>
      <c r="F596" s="48" t="s">
        <v>2858</v>
      </c>
      <c r="G596" s="46"/>
      <c r="H596" s="46"/>
      <c r="I596" s="46"/>
      <c r="J596" s="77"/>
      <c r="K596" s="77"/>
      <c r="L596" s="77"/>
      <c r="M596" s="77"/>
    </row>
    <row r="597" spans="1:13" s="77" customFormat="1" ht="15.75" customHeight="1">
      <c r="A597" s="42" t="s">
        <v>1219</v>
      </c>
      <c r="B597" s="42" t="s">
        <v>1220</v>
      </c>
      <c r="C597" s="39">
        <v>44270</v>
      </c>
      <c r="D597" s="39">
        <v>44366</v>
      </c>
      <c r="E597" s="41">
        <f>D597-C597</f>
        <v>96</v>
      </c>
      <c r="F597" s="43" t="s">
        <v>0</v>
      </c>
      <c r="G597" s="46"/>
      <c r="H597" s="46"/>
      <c r="I597" s="46"/>
      <c r="J597" s="37"/>
      <c r="K597" s="53" t="s">
        <v>1221</v>
      </c>
      <c r="L597" s="37"/>
      <c r="M597" s="37"/>
    </row>
    <row r="598" spans="1:13" s="77" customFormat="1" ht="15.75" customHeight="1">
      <c r="A598" s="77" t="s">
        <v>1928</v>
      </c>
      <c r="B598" s="82" t="s">
        <v>2102</v>
      </c>
      <c r="C598" s="79">
        <v>44550</v>
      </c>
      <c r="D598" s="80">
        <v>44646</v>
      </c>
      <c r="E598" s="41">
        <f>D598-C598</f>
        <v>96</v>
      </c>
      <c r="F598" s="43" t="s">
        <v>0</v>
      </c>
      <c r="G598" s="81" t="s">
        <v>70</v>
      </c>
      <c r="H598" s="83" t="s">
        <v>11</v>
      </c>
      <c r="I598" s="81" t="s">
        <v>2103</v>
      </c>
    </row>
    <row r="599" spans="1:13" s="77" customFormat="1" ht="15.75" customHeight="1">
      <c r="A599" s="42" t="s">
        <v>467</v>
      </c>
      <c r="B599" s="38" t="s">
        <v>468</v>
      </c>
      <c r="C599" s="39">
        <v>43364</v>
      </c>
      <c r="D599" s="39">
        <v>43461</v>
      </c>
      <c r="E599" s="41">
        <f>D599-C599</f>
        <v>97</v>
      </c>
      <c r="F599" s="43" t="s">
        <v>0</v>
      </c>
      <c r="G599" s="45" t="s">
        <v>33</v>
      </c>
      <c r="H599" s="45"/>
      <c r="I599" s="44"/>
      <c r="J599" s="1"/>
      <c r="K599" s="1"/>
      <c r="L599"/>
      <c r="M599"/>
    </row>
    <row r="600" spans="1:13" s="77" customFormat="1" ht="15.75" customHeight="1">
      <c r="A600" s="65" t="s">
        <v>1006</v>
      </c>
      <c r="B600" s="42" t="s">
        <v>1068</v>
      </c>
      <c r="C600" s="39">
        <v>43807</v>
      </c>
      <c r="D600" s="39">
        <v>43904</v>
      </c>
      <c r="E600" s="41">
        <f>D600-C600</f>
        <v>97</v>
      </c>
      <c r="F600" s="43" t="s">
        <v>0</v>
      </c>
      <c r="G600" s="45" t="s">
        <v>33</v>
      </c>
      <c r="H600" s="45"/>
      <c r="I600" s="45"/>
      <c r="J600" s="42"/>
      <c r="K600" s="53" t="s">
        <v>1069</v>
      </c>
      <c r="L600" s="42"/>
      <c r="M600" s="42"/>
    </row>
    <row r="601" spans="1:13" s="77" customFormat="1" ht="15.75" customHeight="1">
      <c r="A601" s="42" t="s">
        <v>1282</v>
      </c>
      <c r="B601" s="42" t="s">
        <v>1283</v>
      </c>
      <c r="C601" s="39">
        <v>43906</v>
      </c>
      <c r="D601" s="40">
        <v>44003</v>
      </c>
      <c r="E601" s="41">
        <f>D601-C601</f>
        <v>97</v>
      </c>
      <c r="F601" s="46" t="s">
        <v>1284</v>
      </c>
      <c r="G601" s="45" t="s">
        <v>33</v>
      </c>
      <c r="H601" s="46"/>
      <c r="I601" s="46"/>
      <c r="J601" s="37"/>
      <c r="K601" s="53" t="s">
        <v>1285</v>
      </c>
      <c r="L601" s="37"/>
      <c r="M601" s="37"/>
    </row>
    <row r="602" spans="1:13" s="77" customFormat="1" ht="15.75" customHeight="1">
      <c r="A602" s="37" t="s">
        <v>1312</v>
      </c>
      <c r="B602" s="42" t="s">
        <v>1313</v>
      </c>
      <c r="C602" s="39">
        <v>43920</v>
      </c>
      <c r="D602" s="40">
        <v>44017</v>
      </c>
      <c r="E602" s="47">
        <f>D602-C602</f>
        <v>97</v>
      </c>
      <c r="F602" s="46" t="s">
        <v>104</v>
      </c>
      <c r="G602" s="45" t="s">
        <v>1314</v>
      </c>
      <c r="H602" s="46"/>
      <c r="I602" s="46"/>
      <c r="J602" s="37"/>
      <c r="K602" s="53" t="s">
        <v>1315</v>
      </c>
      <c r="L602" s="37"/>
      <c r="M602" s="37"/>
    </row>
    <row r="603" spans="1:13" s="77" customFormat="1" ht="15.75" customHeight="1">
      <c r="A603" s="82" t="s">
        <v>2112</v>
      </c>
      <c r="B603" s="82" t="s">
        <v>2112</v>
      </c>
      <c r="C603" s="79">
        <v>44550</v>
      </c>
      <c r="D603" s="80">
        <v>44647</v>
      </c>
      <c r="E603" s="41">
        <f>D603-C603</f>
        <v>97</v>
      </c>
      <c r="F603" s="48" t="s">
        <v>177</v>
      </c>
      <c r="G603" s="46"/>
      <c r="H603" s="41" t="s">
        <v>2</v>
      </c>
      <c r="I603" s="81" t="s">
        <v>135</v>
      </c>
      <c r="K603" s="76" t="s">
        <v>2113</v>
      </c>
      <c r="L603" s="82" t="s">
        <v>2114</v>
      </c>
    </row>
    <row r="604" spans="1:13" s="77" customFormat="1" ht="15.75" customHeight="1">
      <c r="A604" s="42" t="s">
        <v>1017</v>
      </c>
      <c r="B604" s="42" t="s">
        <v>1113</v>
      </c>
      <c r="C604" s="39">
        <v>43827</v>
      </c>
      <c r="D604" s="39">
        <v>43925</v>
      </c>
      <c r="E604" s="47">
        <f>D604-C604</f>
        <v>98</v>
      </c>
      <c r="F604" s="43" t="s">
        <v>810</v>
      </c>
      <c r="G604" s="45" t="s">
        <v>1</v>
      </c>
      <c r="H604" s="45"/>
      <c r="I604" s="45"/>
      <c r="J604" s="37"/>
      <c r="K604" s="37"/>
      <c r="L604" s="37"/>
      <c r="M604" s="37"/>
    </row>
    <row r="605" spans="1:13" s="77" customFormat="1" ht="15.75" customHeight="1">
      <c r="A605" s="75" t="s">
        <v>1563</v>
      </c>
      <c r="B605" s="75" t="s">
        <v>1563</v>
      </c>
      <c r="C605" s="39">
        <v>44170</v>
      </c>
      <c r="D605" s="40">
        <v>44268</v>
      </c>
      <c r="E605" s="41">
        <f>D605-C605</f>
        <v>98</v>
      </c>
      <c r="F605" s="45" t="s">
        <v>263</v>
      </c>
      <c r="G605" s="46"/>
      <c r="H605" s="46"/>
      <c r="I605" s="46"/>
    </row>
    <row r="606" spans="1:13" s="82" customFormat="1" ht="15.75" customHeight="1">
      <c r="A606" s="42" t="s">
        <v>970</v>
      </c>
      <c r="B606" s="42" t="s">
        <v>971</v>
      </c>
      <c r="C606" s="39">
        <v>43834</v>
      </c>
      <c r="D606" s="39">
        <v>43933</v>
      </c>
      <c r="E606" s="47">
        <f>D606-C606</f>
        <v>99</v>
      </c>
      <c r="F606" s="45" t="s">
        <v>998</v>
      </c>
      <c r="G606" s="45" t="s">
        <v>972</v>
      </c>
      <c r="H606" s="45"/>
      <c r="I606" s="45"/>
      <c r="J606" s="37"/>
      <c r="K606" s="53" t="s">
        <v>1140</v>
      </c>
      <c r="L606" s="37"/>
      <c r="M606" s="37"/>
    </row>
    <row r="607" spans="1:13" s="82" customFormat="1" ht="15.75" customHeight="1">
      <c r="A607" s="42" t="s">
        <v>898</v>
      </c>
      <c r="B607" s="38" t="s">
        <v>904</v>
      </c>
      <c r="C607" s="39">
        <v>43690</v>
      </c>
      <c r="D607" s="39">
        <v>43790</v>
      </c>
      <c r="E607" s="47">
        <f>D607-C607</f>
        <v>100</v>
      </c>
      <c r="F607" s="43" t="s">
        <v>0</v>
      </c>
      <c r="G607" s="45" t="s">
        <v>70</v>
      </c>
      <c r="H607" s="45"/>
      <c r="I607" s="45"/>
      <c r="J607" s="42"/>
      <c r="K607" s="42"/>
      <c r="L607"/>
      <c r="M607"/>
    </row>
    <row r="608" spans="1:13" s="77" customFormat="1" ht="15.75" customHeight="1">
      <c r="A608" s="37" t="s">
        <v>1383</v>
      </c>
      <c r="B608" s="42" t="s">
        <v>1384</v>
      </c>
      <c r="C608" s="39">
        <v>43986</v>
      </c>
      <c r="D608" s="40">
        <v>44086</v>
      </c>
      <c r="E608" s="41">
        <f>D608-C608</f>
        <v>100</v>
      </c>
      <c r="F608" s="48" t="s">
        <v>174</v>
      </c>
      <c r="G608" s="46"/>
      <c r="H608" s="46"/>
      <c r="I608" s="46"/>
      <c r="J608" s="37"/>
      <c r="K608" s="37"/>
      <c r="L608" s="37"/>
      <c r="M608" s="37"/>
    </row>
    <row r="609" spans="1:27" s="77" customFormat="1" ht="15.75" customHeight="1">
      <c r="A609" s="37" t="s">
        <v>1127</v>
      </c>
      <c r="B609" s="42" t="s">
        <v>1128</v>
      </c>
      <c r="C609" s="39">
        <v>43827</v>
      </c>
      <c r="D609" s="39">
        <v>43928</v>
      </c>
      <c r="E609" s="47">
        <f>D609-C609</f>
        <v>101</v>
      </c>
      <c r="F609" s="45" t="s">
        <v>1129</v>
      </c>
      <c r="G609" s="45" t="s">
        <v>33</v>
      </c>
      <c r="H609" s="45"/>
      <c r="I609" s="45"/>
      <c r="J609" s="37"/>
      <c r="K609" s="37"/>
      <c r="L609" s="37"/>
      <c r="M609" s="37"/>
    </row>
    <row r="610" spans="1:27" s="77" customFormat="1" ht="15.75" customHeight="1">
      <c r="A610" s="37" t="s">
        <v>1325</v>
      </c>
      <c r="B610" s="42" t="s">
        <v>1326</v>
      </c>
      <c r="C610" s="39">
        <v>43929</v>
      </c>
      <c r="D610" s="40">
        <v>44030</v>
      </c>
      <c r="E610" s="41">
        <f>D610-C610</f>
        <v>101</v>
      </c>
      <c r="F610" s="43" t="s">
        <v>1327</v>
      </c>
      <c r="G610" s="45" t="s">
        <v>995</v>
      </c>
      <c r="H610" s="46"/>
      <c r="I610" s="46"/>
      <c r="J610" s="37"/>
      <c r="K610" s="37"/>
      <c r="L610" s="37"/>
      <c r="M610" s="37"/>
    </row>
    <row r="611" spans="1:27" s="77" customFormat="1" ht="15.75" customHeight="1">
      <c r="A611" s="82" t="s">
        <v>1933</v>
      </c>
      <c r="B611" s="82" t="s">
        <v>1934</v>
      </c>
      <c r="C611" s="79">
        <v>44650</v>
      </c>
      <c r="D611" s="80">
        <v>44751</v>
      </c>
      <c r="E611" s="41">
        <f>D611-C611</f>
        <v>101</v>
      </c>
      <c r="F611" s="43" t="s">
        <v>0</v>
      </c>
      <c r="G611" s="81" t="s">
        <v>26</v>
      </c>
      <c r="H611" s="81" t="s">
        <v>2</v>
      </c>
      <c r="I611" s="46"/>
      <c r="K611" s="76" t="s">
        <v>2242</v>
      </c>
    </row>
    <row r="612" spans="1:27" s="77" customFormat="1" ht="15.75" customHeight="1">
      <c r="A612" s="37" t="s">
        <v>589</v>
      </c>
      <c r="B612" s="38" t="s">
        <v>603</v>
      </c>
      <c r="C612" s="39">
        <v>43469</v>
      </c>
      <c r="D612" s="39">
        <v>43571</v>
      </c>
      <c r="E612" s="47">
        <f>D612-C612</f>
        <v>102</v>
      </c>
      <c r="F612" s="43" t="s">
        <v>505</v>
      </c>
      <c r="G612" s="45" t="s">
        <v>604</v>
      </c>
      <c r="H612" s="45"/>
      <c r="I612" s="45"/>
      <c r="J612" s="42"/>
      <c r="K612" s="42"/>
      <c r="L612"/>
      <c r="M612"/>
    </row>
    <row r="613" spans="1:27" s="77" customFormat="1" ht="15.75" customHeight="1">
      <c r="A613" s="42" t="s">
        <v>1423</v>
      </c>
      <c r="B613" s="42" t="s">
        <v>1424</v>
      </c>
      <c r="C613" s="39">
        <v>44024</v>
      </c>
      <c r="D613" s="40">
        <v>44126</v>
      </c>
      <c r="E613" s="41">
        <f>D613-C613</f>
        <v>102</v>
      </c>
      <c r="F613" s="43" t="s">
        <v>0</v>
      </c>
      <c r="G613" s="46"/>
      <c r="H613" s="46"/>
      <c r="I613" s="46"/>
      <c r="J613" s="37"/>
      <c r="K613" s="37"/>
      <c r="L613" s="74" t="s">
        <v>1425</v>
      </c>
      <c r="M613" s="37"/>
    </row>
    <row r="614" spans="1:27" s="77" customFormat="1" ht="15.75" customHeight="1">
      <c r="A614" s="75" t="s">
        <v>1602</v>
      </c>
      <c r="B614" s="75" t="s">
        <v>1603</v>
      </c>
      <c r="C614" s="39">
        <v>44191</v>
      </c>
      <c r="D614" s="40">
        <v>44293</v>
      </c>
      <c r="E614" s="41">
        <f>D614-C614</f>
        <v>102</v>
      </c>
      <c r="F614" s="43" t="s">
        <v>0</v>
      </c>
      <c r="G614" s="46"/>
      <c r="H614" s="46"/>
      <c r="I614" s="46"/>
      <c r="K614" s="76" t="s">
        <v>1604</v>
      </c>
    </row>
    <row r="615" spans="1:27" s="77" customFormat="1" ht="15.75" customHeight="1">
      <c r="A615" s="77" t="s">
        <v>1805</v>
      </c>
      <c r="B615" s="89" t="s">
        <v>1806</v>
      </c>
      <c r="C615" s="79">
        <v>44347</v>
      </c>
      <c r="D615" s="80">
        <v>44449</v>
      </c>
      <c r="E615" s="41">
        <f>D615-C615</f>
        <v>102</v>
      </c>
      <c r="F615" s="43" t="s">
        <v>0</v>
      </c>
      <c r="G615" s="81" t="s">
        <v>1</v>
      </c>
      <c r="H615" s="46"/>
      <c r="I615" s="46"/>
      <c r="K615" s="76" t="s">
        <v>1807</v>
      </c>
    </row>
    <row r="616" spans="1:27" s="77" customFormat="1" ht="15.75" customHeight="1">
      <c r="A616" s="82" t="s">
        <v>2184</v>
      </c>
      <c r="B616" s="82" t="s">
        <v>2185</v>
      </c>
      <c r="C616" s="79">
        <v>44600</v>
      </c>
      <c r="D616" s="80">
        <v>44702</v>
      </c>
      <c r="E616" s="41">
        <f>D616-C616</f>
        <v>102</v>
      </c>
      <c r="F616" s="43" t="s">
        <v>0</v>
      </c>
      <c r="G616" s="46"/>
      <c r="H616" s="83" t="s">
        <v>2</v>
      </c>
      <c r="I616" s="46"/>
    </row>
    <row r="617" spans="1:27" s="77" customFormat="1" ht="15.75" customHeight="1">
      <c r="A617" s="87" t="s">
        <v>2376</v>
      </c>
      <c r="B617" s="87" t="s">
        <v>2377</v>
      </c>
      <c r="C617" s="79">
        <v>44799</v>
      </c>
      <c r="D617" s="80">
        <v>44901</v>
      </c>
      <c r="E617" s="41">
        <f>D617-C617</f>
        <v>102</v>
      </c>
      <c r="F617" s="83" t="s">
        <v>2378</v>
      </c>
      <c r="G617" s="81"/>
      <c r="H617" s="83" t="s">
        <v>2</v>
      </c>
      <c r="I617" s="81"/>
      <c r="J617" s="87"/>
      <c r="K617" s="87"/>
      <c r="L617" s="87"/>
      <c r="M617" s="8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spans="1:27" s="77" customFormat="1" ht="15.75" customHeight="1">
      <c r="A618" s="42" t="s">
        <v>923</v>
      </c>
      <c r="B618" s="38" t="s">
        <v>924</v>
      </c>
      <c r="C618" s="39">
        <v>43830</v>
      </c>
      <c r="D618" s="39">
        <v>43933</v>
      </c>
      <c r="E618" s="47">
        <f>D618-C618</f>
        <v>103</v>
      </c>
      <c r="F618" s="43" t="s">
        <v>0</v>
      </c>
      <c r="G618" s="45" t="s">
        <v>33</v>
      </c>
      <c r="H618" s="45"/>
      <c r="I618" s="45"/>
      <c r="J618" s="37"/>
      <c r="K618" s="37"/>
      <c r="L618" s="37"/>
      <c r="M618" s="37"/>
    </row>
    <row r="619" spans="1:27" s="77" customFormat="1" ht="15.75" customHeight="1">
      <c r="A619" s="52" t="s">
        <v>1001</v>
      </c>
      <c r="B619" s="52" t="s">
        <v>1002</v>
      </c>
      <c r="C619" s="39">
        <v>43866</v>
      </c>
      <c r="D619" s="40">
        <v>43969</v>
      </c>
      <c r="E619" s="41">
        <f>D619-C619</f>
        <v>103</v>
      </c>
      <c r="F619" s="43" t="s">
        <v>0</v>
      </c>
      <c r="G619" s="45"/>
      <c r="H619" s="45"/>
      <c r="I619" s="45"/>
      <c r="J619" s="37"/>
      <c r="K619" s="53" t="s">
        <v>1003</v>
      </c>
      <c r="L619" s="37"/>
      <c r="M619" s="37"/>
    </row>
    <row r="620" spans="1:27" s="77" customFormat="1" ht="15.75" customHeight="1">
      <c r="A620" s="42" t="s">
        <v>1426</v>
      </c>
      <c r="B620" s="42" t="s">
        <v>1427</v>
      </c>
      <c r="C620" s="39">
        <v>44025</v>
      </c>
      <c r="D620" s="40">
        <v>44128</v>
      </c>
      <c r="E620" s="41">
        <f>D620-C620</f>
        <v>103</v>
      </c>
      <c r="F620" s="43" t="s">
        <v>1413</v>
      </c>
      <c r="G620" s="46"/>
      <c r="H620" s="46"/>
      <c r="I620" s="45" t="s">
        <v>26</v>
      </c>
      <c r="J620" s="37"/>
      <c r="K620" s="37"/>
      <c r="L620" s="37"/>
      <c r="M620" s="37"/>
    </row>
    <row r="621" spans="1:27" s="77" customFormat="1" ht="15.75" customHeight="1">
      <c r="A621" s="42" t="s">
        <v>1441</v>
      </c>
      <c r="B621" s="42" t="s">
        <v>1442</v>
      </c>
      <c r="C621" s="39">
        <v>44032</v>
      </c>
      <c r="D621" s="39">
        <v>44135</v>
      </c>
      <c r="E621" s="41">
        <f>D621-C621</f>
        <v>103</v>
      </c>
      <c r="F621" s="43" t="s">
        <v>1192</v>
      </c>
      <c r="G621" s="46"/>
      <c r="H621" s="46"/>
      <c r="I621" s="46"/>
      <c r="J621" s="37"/>
      <c r="K621" s="37"/>
      <c r="L621" s="42" t="s">
        <v>1443</v>
      </c>
      <c r="M621" s="37"/>
    </row>
    <row r="622" spans="1:27" s="77" customFormat="1" ht="15.75" customHeight="1">
      <c r="A622" s="37" t="s">
        <v>1420</v>
      </c>
      <c r="B622" s="42" t="s">
        <v>1421</v>
      </c>
      <c r="C622" s="39">
        <v>44196</v>
      </c>
      <c r="D622" s="40">
        <v>44299</v>
      </c>
      <c r="E622" s="41">
        <f>D622-C622</f>
        <v>103</v>
      </c>
      <c r="F622" s="43" t="s">
        <v>0</v>
      </c>
      <c r="G622" s="45" t="s">
        <v>312</v>
      </c>
      <c r="H622" s="46"/>
      <c r="I622" s="46"/>
      <c r="J622" s="37"/>
      <c r="K622" s="53" t="s">
        <v>1422</v>
      </c>
      <c r="L622" s="37"/>
      <c r="M622" s="37"/>
    </row>
    <row r="623" spans="1:27" s="77" customFormat="1" ht="15.75" customHeight="1">
      <c r="A623" s="57" t="s">
        <v>867</v>
      </c>
      <c r="B623" s="38" t="s">
        <v>868</v>
      </c>
      <c r="C623" s="39">
        <v>43646</v>
      </c>
      <c r="D623" s="39">
        <v>43750</v>
      </c>
      <c r="E623" s="47">
        <f>D623-C623</f>
        <v>104</v>
      </c>
      <c r="F623" s="63" t="s">
        <v>869</v>
      </c>
      <c r="G623" s="45"/>
      <c r="H623" s="45"/>
      <c r="I623" s="45"/>
      <c r="J623" s="42"/>
      <c r="K623" s="42"/>
      <c r="L623"/>
      <c r="M623"/>
    </row>
    <row r="624" spans="1:27" s="77" customFormat="1" ht="15.75" customHeight="1">
      <c r="A624" s="42" t="s">
        <v>923</v>
      </c>
      <c r="B624" s="38" t="s">
        <v>924</v>
      </c>
      <c r="C624" s="39">
        <v>43702</v>
      </c>
      <c r="D624" s="39">
        <v>43806</v>
      </c>
      <c r="E624" s="47">
        <f>D624-C624</f>
        <v>104</v>
      </c>
      <c r="F624" s="43" t="s">
        <v>0</v>
      </c>
      <c r="G624" s="45" t="s">
        <v>925</v>
      </c>
      <c r="H624" s="45"/>
      <c r="I624" s="45"/>
      <c r="J624" s="42"/>
      <c r="K624" s="42"/>
      <c r="L624"/>
      <c r="M624"/>
    </row>
    <row r="625" spans="1:27" s="77" customFormat="1" ht="15.75" customHeight="1">
      <c r="A625" s="77" t="s">
        <v>1769</v>
      </c>
      <c r="B625" s="75" t="s">
        <v>1770</v>
      </c>
      <c r="C625" s="79">
        <v>44304</v>
      </c>
      <c r="D625" s="80">
        <v>44408</v>
      </c>
      <c r="E625" s="41">
        <f>D625-C625</f>
        <v>104</v>
      </c>
      <c r="F625" s="43" t="s">
        <v>0</v>
      </c>
      <c r="G625" s="81" t="s">
        <v>1</v>
      </c>
      <c r="H625" s="46"/>
      <c r="I625" s="46"/>
      <c r="K625" s="76" t="s">
        <v>1771</v>
      </c>
    </row>
    <row r="626" spans="1:27" s="77" customFormat="1" ht="15.75" customHeight="1">
      <c r="A626" s="42" t="s">
        <v>1162</v>
      </c>
      <c r="B626" s="42" t="s">
        <v>1163</v>
      </c>
      <c r="C626" s="39">
        <v>43834</v>
      </c>
      <c r="D626" s="40">
        <v>43939</v>
      </c>
      <c r="E626" s="41">
        <f>D626-C626</f>
        <v>105</v>
      </c>
      <c r="F626" s="43" t="s">
        <v>0</v>
      </c>
      <c r="G626" s="45"/>
      <c r="H626" s="45"/>
      <c r="I626" s="45"/>
      <c r="J626" s="37"/>
      <c r="K626" s="53" t="s">
        <v>1164</v>
      </c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spans="1:27" s="77" customFormat="1" ht="15.75" customHeight="1">
      <c r="A627" s="37" t="s">
        <v>1105</v>
      </c>
      <c r="B627" s="42" t="s">
        <v>1106</v>
      </c>
      <c r="C627" s="39">
        <v>44002</v>
      </c>
      <c r="D627" s="40">
        <v>44107</v>
      </c>
      <c r="E627" s="47">
        <f>D627-C627</f>
        <v>105</v>
      </c>
      <c r="F627" s="43" t="s">
        <v>0</v>
      </c>
      <c r="G627" s="46"/>
      <c r="H627" s="46"/>
      <c r="I627" s="46"/>
      <c r="J627" s="37"/>
      <c r="K627" s="53" t="s">
        <v>1107</v>
      </c>
      <c r="L627" s="37"/>
      <c r="M627" s="37"/>
    </row>
    <row r="628" spans="1:27" s="82" customFormat="1" ht="15.75" customHeight="1">
      <c r="A628" s="37" t="s">
        <v>559</v>
      </c>
      <c r="B628" s="38" t="s">
        <v>560</v>
      </c>
      <c r="C628" s="39">
        <v>43434</v>
      </c>
      <c r="D628" s="39">
        <v>43540</v>
      </c>
      <c r="E628" s="47">
        <f>D628-C628</f>
        <v>106</v>
      </c>
      <c r="F628" s="43" t="s">
        <v>0</v>
      </c>
      <c r="G628" s="45"/>
      <c r="H628" s="45"/>
      <c r="I628" s="45"/>
      <c r="J628" s="42"/>
      <c r="K628" s="42"/>
      <c r="L628"/>
      <c r="M628"/>
    </row>
    <row r="629" spans="1:27" s="77" customFormat="1" ht="15.75" customHeight="1">
      <c r="A629" s="37" t="s">
        <v>1457</v>
      </c>
      <c r="B629" s="42" t="s">
        <v>1458</v>
      </c>
      <c r="C629" s="39">
        <v>44048</v>
      </c>
      <c r="D629" s="40">
        <v>44154</v>
      </c>
      <c r="E629" s="41">
        <f>D629-C629</f>
        <v>106</v>
      </c>
      <c r="F629" s="43" t="s">
        <v>0</v>
      </c>
      <c r="G629" s="45" t="s">
        <v>316</v>
      </c>
      <c r="H629" s="46"/>
      <c r="I629" s="45" t="s">
        <v>1450</v>
      </c>
      <c r="J629" s="37"/>
      <c r="K629" s="37"/>
      <c r="L629" s="42" t="s">
        <v>1459</v>
      </c>
      <c r="M629" s="37"/>
    </row>
    <row r="630" spans="1:27" s="77" customFormat="1" ht="15.75" customHeight="1">
      <c r="A630" s="82" t="s">
        <v>2124</v>
      </c>
      <c r="B630" s="82" t="s">
        <v>2125</v>
      </c>
      <c r="C630" s="79">
        <v>44549</v>
      </c>
      <c r="D630" s="80">
        <v>44655</v>
      </c>
      <c r="E630" s="41">
        <f>D630-C630</f>
        <v>106</v>
      </c>
      <c r="F630" s="43" t="s">
        <v>0</v>
      </c>
      <c r="G630" s="81" t="s">
        <v>33</v>
      </c>
      <c r="H630" s="83" t="s">
        <v>11</v>
      </c>
      <c r="I630" s="81" t="s">
        <v>125</v>
      </c>
      <c r="K630" s="76" t="s">
        <v>2126</v>
      </c>
      <c r="L630" s="82" t="s">
        <v>2127</v>
      </c>
    </row>
    <row r="631" spans="1:27" s="77" customFormat="1" ht="15.75" customHeight="1">
      <c r="A631" s="42" t="s">
        <v>941</v>
      </c>
      <c r="B631" s="42" t="s">
        <v>941</v>
      </c>
      <c r="C631" s="39">
        <v>43706</v>
      </c>
      <c r="D631" s="39">
        <v>43813</v>
      </c>
      <c r="E631" s="47">
        <f>D631-C631</f>
        <v>107</v>
      </c>
      <c r="F631" s="43" t="s">
        <v>0</v>
      </c>
      <c r="G631" s="45" t="s">
        <v>1</v>
      </c>
      <c r="H631" s="45"/>
      <c r="I631" s="45"/>
      <c r="J631" s="42"/>
      <c r="K631" s="42"/>
      <c r="L631" s="42"/>
      <c r="M631" s="42"/>
    </row>
    <row r="632" spans="1:27" s="77" customFormat="1" ht="15.75" customHeight="1">
      <c r="A632" s="37" t="s">
        <v>979</v>
      </c>
      <c r="B632" s="52" t="s">
        <v>980</v>
      </c>
      <c r="C632" s="39">
        <v>43737</v>
      </c>
      <c r="D632" s="39">
        <v>43845</v>
      </c>
      <c r="E632" s="71">
        <f>D632-C632</f>
        <v>108</v>
      </c>
      <c r="F632" s="43" t="s">
        <v>981</v>
      </c>
      <c r="G632"/>
      <c r="H632"/>
      <c r="I632"/>
      <c r="J632"/>
      <c r="K632"/>
      <c r="L632"/>
      <c r="M632"/>
    </row>
    <row r="633" spans="1:27" s="77" customFormat="1" ht="15.75" customHeight="1">
      <c r="A633" s="52" t="s">
        <v>681</v>
      </c>
      <c r="B633" s="52" t="s">
        <v>1206</v>
      </c>
      <c r="C633" s="39">
        <v>44405</v>
      </c>
      <c r="D633" s="80">
        <v>44513</v>
      </c>
      <c r="E633" s="41">
        <f>D633-C633</f>
        <v>108</v>
      </c>
      <c r="F633" s="43" t="s">
        <v>0</v>
      </c>
      <c r="G633" s="45" t="s">
        <v>720</v>
      </c>
      <c r="H633" s="46"/>
      <c r="I633" s="46"/>
      <c r="J633" s="37"/>
      <c r="K633" s="53" t="s">
        <v>1207</v>
      </c>
      <c r="L633" s="37"/>
      <c r="M633" s="37"/>
    </row>
    <row r="634" spans="1:27" s="77" customFormat="1" ht="15.75" customHeight="1">
      <c r="A634" s="37" t="s">
        <v>607</v>
      </c>
      <c r="B634" s="51" t="s">
        <v>608</v>
      </c>
      <c r="C634" s="39">
        <v>43463</v>
      </c>
      <c r="D634" s="39">
        <v>43572</v>
      </c>
      <c r="E634" s="47">
        <f>D634-C634</f>
        <v>109</v>
      </c>
      <c r="F634" s="43" t="s">
        <v>0</v>
      </c>
      <c r="G634" s="45" t="s">
        <v>1</v>
      </c>
      <c r="H634" s="45"/>
      <c r="I634" s="45"/>
      <c r="J634" s="42"/>
      <c r="K634" s="53" t="s">
        <v>609</v>
      </c>
      <c r="L634"/>
      <c r="M634"/>
    </row>
    <row r="635" spans="1:27" s="77" customFormat="1" ht="15.75" customHeight="1">
      <c r="A635" s="42" t="s">
        <v>719</v>
      </c>
      <c r="B635" s="38" t="s">
        <v>719</v>
      </c>
      <c r="C635" s="39">
        <v>43548</v>
      </c>
      <c r="D635" s="39">
        <v>43657</v>
      </c>
      <c r="E635" s="47">
        <f>D635-C635</f>
        <v>109</v>
      </c>
      <c r="F635" s="46" t="s">
        <v>647</v>
      </c>
      <c r="G635" s="45" t="s">
        <v>720</v>
      </c>
      <c r="H635" s="45"/>
      <c r="I635" s="45"/>
      <c r="J635" s="42"/>
      <c r="K635" s="42"/>
      <c r="L635"/>
      <c r="M635"/>
    </row>
    <row r="636" spans="1:27" s="77" customFormat="1" ht="15.75" customHeight="1">
      <c r="A636" s="37" t="s">
        <v>873</v>
      </c>
      <c r="B636" s="38" t="s">
        <v>874</v>
      </c>
      <c r="C636" s="39">
        <v>43651</v>
      </c>
      <c r="D636" s="39">
        <v>43760</v>
      </c>
      <c r="E636" s="47">
        <f>D636-C636</f>
        <v>109</v>
      </c>
      <c r="F636" s="43" t="s">
        <v>0</v>
      </c>
      <c r="G636" s="45" t="s">
        <v>1</v>
      </c>
      <c r="H636" s="45"/>
      <c r="I636" s="45"/>
      <c r="J636" s="42"/>
      <c r="K636" s="42"/>
      <c r="L636"/>
      <c r="M636"/>
    </row>
    <row r="637" spans="1:27" s="77" customFormat="1" ht="15.75" customHeight="1">
      <c r="A637" s="37" t="s">
        <v>754</v>
      </c>
      <c r="B637" s="42" t="s">
        <v>755</v>
      </c>
      <c r="C637" s="39">
        <v>43753</v>
      </c>
      <c r="D637" s="39">
        <v>43862</v>
      </c>
      <c r="E637" s="47">
        <f>D637-C637</f>
        <v>109</v>
      </c>
      <c r="F637" s="43" t="s">
        <v>0</v>
      </c>
      <c r="G637" s="45"/>
      <c r="H637" s="45"/>
      <c r="I637" s="45"/>
      <c r="J637" s="42"/>
      <c r="K637" s="42"/>
      <c r="L637" s="42"/>
      <c r="M637" s="42"/>
    </row>
    <row r="638" spans="1:27" s="77" customFormat="1" ht="15.75" customHeight="1">
      <c r="A638" s="82" t="s">
        <v>1850</v>
      </c>
      <c r="B638" s="82" t="s">
        <v>1851</v>
      </c>
      <c r="C638" s="79">
        <v>44370</v>
      </c>
      <c r="D638" s="80">
        <v>44479</v>
      </c>
      <c r="E638" s="41">
        <f>D638-C638</f>
        <v>109</v>
      </c>
      <c r="F638" s="43" t="s">
        <v>0</v>
      </c>
      <c r="G638" s="45" t="s">
        <v>26</v>
      </c>
      <c r="H638" s="46"/>
      <c r="I638" s="81" t="s">
        <v>90</v>
      </c>
      <c r="K638" s="76" t="s">
        <v>1852</v>
      </c>
    </row>
    <row r="639" spans="1:27" s="77" customFormat="1" ht="15.75" customHeight="1">
      <c r="A639" s="82" t="s">
        <v>354</v>
      </c>
      <c r="B639" s="82" t="s">
        <v>355</v>
      </c>
      <c r="C639" s="79">
        <v>44375</v>
      </c>
      <c r="D639" s="80">
        <v>44484</v>
      </c>
      <c r="E639" s="41">
        <f>D639-C639</f>
        <v>109</v>
      </c>
      <c r="F639" s="43" t="s">
        <v>0</v>
      </c>
      <c r="G639" s="81" t="s">
        <v>26</v>
      </c>
      <c r="H639" s="46"/>
      <c r="I639" s="46"/>
      <c r="K639" s="76" t="s">
        <v>356</v>
      </c>
    </row>
    <row r="640" spans="1:27" s="77" customFormat="1" ht="15.75" customHeight="1">
      <c r="A640" s="37" t="s">
        <v>1362</v>
      </c>
      <c r="B640" s="42" t="s">
        <v>1904</v>
      </c>
      <c r="C640" s="39">
        <v>44397</v>
      </c>
      <c r="D640" s="80">
        <v>44506</v>
      </c>
      <c r="E640" s="41">
        <f>D640-C640</f>
        <v>109</v>
      </c>
      <c r="F640" s="43" t="s">
        <v>0</v>
      </c>
      <c r="G640" s="46"/>
      <c r="H640" s="46"/>
      <c r="I640" s="46"/>
      <c r="J640" s="37"/>
      <c r="K640" s="76" t="s">
        <v>1905</v>
      </c>
      <c r="L640" s="37"/>
      <c r="M640" s="37"/>
    </row>
    <row r="641" spans="1:27" s="77" customFormat="1" ht="15.75" customHeight="1">
      <c r="A641" s="37" t="s">
        <v>2859</v>
      </c>
      <c r="B641" s="38" t="s">
        <v>757</v>
      </c>
      <c r="C641" s="39">
        <v>43579</v>
      </c>
      <c r="D641" s="39">
        <v>43689</v>
      </c>
      <c r="E641" s="47">
        <f>D641-C641</f>
        <v>110</v>
      </c>
      <c r="F641" s="43" t="s">
        <v>0</v>
      </c>
      <c r="G641" s="45" t="s">
        <v>487</v>
      </c>
      <c r="H641" s="45"/>
      <c r="I641" s="46" t="s">
        <v>455</v>
      </c>
      <c r="J641" s="42"/>
      <c r="K641" s="42"/>
      <c r="L641"/>
      <c r="M641"/>
    </row>
    <row r="642" spans="1:27" s="77" customFormat="1" ht="15.75" customHeight="1">
      <c r="A642" s="37" t="s">
        <v>926</v>
      </c>
      <c r="B642" s="38" t="s">
        <v>927</v>
      </c>
      <c r="C642" s="39">
        <v>43696</v>
      </c>
      <c r="D642" s="39">
        <v>43806</v>
      </c>
      <c r="E642" s="47">
        <f>D642-C642</f>
        <v>110</v>
      </c>
      <c r="F642" s="48" t="s">
        <v>928</v>
      </c>
      <c r="G642" s="45"/>
      <c r="H642" s="45"/>
      <c r="I642" s="45"/>
      <c r="J642" s="42"/>
      <c r="K642" s="42"/>
      <c r="L642"/>
      <c r="M642"/>
    </row>
    <row r="643" spans="1:27" s="77" customFormat="1" ht="15.75" customHeight="1">
      <c r="A643" s="75" t="s">
        <v>2860</v>
      </c>
      <c r="B643" s="75" t="s">
        <v>1621</v>
      </c>
      <c r="C643" s="39">
        <v>44205</v>
      </c>
      <c r="D643" s="40">
        <v>44315</v>
      </c>
      <c r="E643" s="41">
        <f>D643-C643</f>
        <v>110</v>
      </c>
      <c r="F643" s="43" t="s">
        <v>0</v>
      </c>
      <c r="G643" s="45" t="s">
        <v>487</v>
      </c>
      <c r="H643" s="46"/>
      <c r="I643" s="46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spans="1:27" s="77" customFormat="1" ht="15.75" customHeight="1">
      <c r="A644" s="87" t="s">
        <v>2298</v>
      </c>
      <c r="B644" s="87" t="s">
        <v>2298</v>
      </c>
      <c r="C644" s="79">
        <v>44731</v>
      </c>
      <c r="D644" s="80">
        <v>44841</v>
      </c>
      <c r="E644" s="41">
        <f>D644-C644</f>
        <v>110</v>
      </c>
      <c r="F644" s="83" t="s">
        <v>2299</v>
      </c>
      <c r="G644" s="81"/>
      <c r="H644" s="83" t="s">
        <v>11</v>
      </c>
      <c r="I644" s="81"/>
      <c r="J644" s="87"/>
      <c r="K644" s="87"/>
      <c r="L644" s="87"/>
      <c r="M644" s="87"/>
    </row>
    <row r="645" spans="1:27" s="77" customFormat="1" ht="15.75" customHeight="1">
      <c r="A645" s="87" t="s">
        <v>2303</v>
      </c>
      <c r="B645" s="87" t="s">
        <v>2304</v>
      </c>
      <c r="C645" s="79">
        <v>44732</v>
      </c>
      <c r="D645" s="80">
        <v>44842</v>
      </c>
      <c r="E645" s="41">
        <f>D645-C645</f>
        <v>110</v>
      </c>
      <c r="F645" s="43" t="s">
        <v>0</v>
      </c>
      <c r="G645" s="81" t="s">
        <v>2305</v>
      </c>
      <c r="H645" s="83" t="s">
        <v>2</v>
      </c>
      <c r="I645" s="81"/>
      <c r="J645" s="87"/>
      <c r="K645" s="87"/>
      <c r="L645" s="87"/>
      <c r="M645" s="87"/>
    </row>
    <row r="646" spans="1:27" s="77" customFormat="1" ht="15.75" customHeight="1">
      <c r="A646" s="82" t="s">
        <v>1939</v>
      </c>
      <c r="B646" s="82" t="s">
        <v>1940</v>
      </c>
      <c r="C646" s="79">
        <v>44429</v>
      </c>
      <c r="D646" s="80">
        <v>44540</v>
      </c>
      <c r="E646" s="41">
        <f>D646-C646</f>
        <v>111</v>
      </c>
      <c r="F646" s="83" t="s">
        <v>1797</v>
      </c>
      <c r="G646" s="46"/>
      <c r="H646" s="46"/>
      <c r="I646" s="46"/>
    </row>
    <row r="647" spans="1:27" s="77" customFormat="1" ht="15.75" customHeight="1">
      <c r="A647" s="87" t="s">
        <v>2088</v>
      </c>
      <c r="B647" s="87" t="s">
        <v>2089</v>
      </c>
      <c r="C647" s="79">
        <v>44742</v>
      </c>
      <c r="D647" s="80">
        <v>44853</v>
      </c>
      <c r="E647" s="41">
        <f>D647-C647</f>
        <v>111</v>
      </c>
      <c r="F647" s="43" t="s">
        <v>0</v>
      </c>
      <c r="G647" s="81"/>
      <c r="H647" s="83" t="s">
        <v>11</v>
      </c>
      <c r="I647" s="81"/>
      <c r="J647" s="87"/>
      <c r="K647" s="76" t="s">
        <v>2091</v>
      </c>
      <c r="L647" s="87" t="s">
        <v>2092</v>
      </c>
      <c r="M647" s="87"/>
    </row>
    <row r="648" spans="1:27" s="77" customFormat="1" ht="15.75" customHeight="1">
      <c r="A648" s="42" t="s">
        <v>393</v>
      </c>
      <c r="B648" s="38" t="s">
        <v>394</v>
      </c>
      <c r="C648" s="39">
        <v>43414</v>
      </c>
      <c r="D648" s="39">
        <v>43526</v>
      </c>
      <c r="E648" s="41">
        <f>D648-C648</f>
        <v>112</v>
      </c>
      <c r="F648" s="43" t="s">
        <v>0</v>
      </c>
      <c r="G648" s="45" t="s">
        <v>312</v>
      </c>
      <c r="H648" s="45"/>
      <c r="I648" s="46"/>
      <c r="J648" s="42"/>
      <c r="K648" s="42"/>
      <c r="L648"/>
      <c r="M648"/>
    </row>
    <row r="649" spans="1:27" s="77" customFormat="1" ht="15.75" customHeight="1">
      <c r="A649" s="42" t="s">
        <v>1428</v>
      </c>
      <c r="B649" s="42" t="s">
        <v>1429</v>
      </c>
      <c r="C649" s="39">
        <v>44016</v>
      </c>
      <c r="D649" s="40">
        <v>44128</v>
      </c>
      <c r="E649" s="41">
        <f>D649-C649</f>
        <v>112</v>
      </c>
      <c r="F649" s="45" t="s">
        <v>81</v>
      </c>
      <c r="G649" s="46"/>
      <c r="H649" s="46"/>
      <c r="I649" s="46"/>
      <c r="J649" s="37"/>
      <c r="K649" s="37"/>
      <c r="L649" s="37"/>
      <c r="M649" s="37"/>
    </row>
    <row r="650" spans="1:27" s="77" customFormat="1" ht="15.75" customHeight="1">
      <c r="A650" s="37" t="s">
        <v>784</v>
      </c>
      <c r="B650" s="38" t="s">
        <v>785</v>
      </c>
      <c r="C650" s="39">
        <v>43587</v>
      </c>
      <c r="D650" s="39">
        <v>43700</v>
      </c>
      <c r="E650" s="47">
        <f>D650-C650</f>
        <v>113</v>
      </c>
      <c r="F650" s="43" t="s">
        <v>0</v>
      </c>
      <c r="G650" s="45" t="s">
        <v>1</v>
      </c>
      <c r="H650" s="45"/>
      <c r="I650" s="45"/>
      <c r="J650" s="42"/>
      <c r="K650" s="42"/>
      <c r="L650"/>
      <c r="M650"/>
    </row>
    <row r="651" spans="1:27" s="77" customFormat="1" ht="15.75" customHeight="1">
      <c r="A651" s="42" t="s">
        <v>968</v>
      </c>
      <c r="B651" s="42" t="s">
        <v>969</v>
      </c>
      <c r="C651" s="39">
        <v>43980</v>
      </c>
      <c r="D651" s="39">
        <v>44093</v>
      </c>
      <c r="E651" s="47">
        <f>D651-C651</f>
        <v>113</v>
      </c>
      <c r="F651" s="43" t="s">
        <v>0</v>
      </c>
      <c r="G651" s="46"/>
      <c r="H651" s="46"/>
      <c r="I651" s="46"/>
      <c r="J651" s="37"/>
      <c r="K651" s="37"/>
      <c r="L651" s="37"/>
      <c r="M651" s="37"/>
    </row>
    <row r="652" spans="1:27" s="77" customFormat="1" ht="15.75" customHeight="1">
      <c r="A652" s="42" t="s">
        <v>1555</v>
      </c>
      <c r="B652" s="42" t="s">
        <v>1556</v>
      </c>
      <c r="C652" s="39">
        <v>44149</v>
      </c>
      <c r="D652" s="40">
        <v>44262</v>
      </c>
      <c r="E652" s="41">
        <f>D652-C652</f>
        <v>113</v>
      </c>
      <c r="F652" s="43" t="s">
        <v>0</v>
      </c>
      <c r="G652" s="45" t="s">
        <v>1</v>
      </c>
      <c r="H652" s="46"/>
      <c r="I652" s="46"/>
      <c r="K652" s="76" t="s">
        <v>1557</v>
      </c>
    </row>
    <row r="653" spans="1:27" s="77" customFormat="1" ht="15.75" customHeight="1">
      <c r="A653" s="42" t="s">
        <v>782</v>
      </c>
      <c r="B653" s="38" t="s">
        <v>802</v>
      </c>
      <c r="C653" s="39">
        <v>43598</v>
      </c>
      <c r="D653" s="39">
        <v>43712</v>
      </c>
      <c r="E653" s="47">
        <f>D653-C653</f>
        <v>114</v>
      </c>
      <c r="F653" s="43" t="s">
        <v>646</v>
      </c>
      <c r="G653" s="45" t="s">
        <v>26</v>
      </c>
      <c r="H653" s="45"/>
      <c r="I653" s="45"/>
      <c r="J653" s="42"/>
      <c r="K653" s="42"/>
      <c r="L653"/>
      <c r="M653"/>
    </row>
    <row r="654" spans="1:27" s="77" customFormat="1" ht="15.75" customHeight="1">
      <c r="A654" s="37" t="s">
        <v>490</v>
      </c>
      <c r="B654" s="38" t="s">
        <v>583</v>
      </c>
      <c r="C654" s="39">
        <v>43441</v>
      </c>
      <c r="D654" s="39">
        <v>43556</v>
      </c>
      <c r="E654" s="47">
        <f>D654-C654</f>
        <v>115</v>
      </c>
      <c r="F654" s="43" t="s">
        <v>584</v>
      </c>
      <c r="G654" s="45" t="s">
        <v>1</v>
      </c>
      <c r="H654" s="45"/>
      <c r="I654" s="45"/>
      <c r="J654" s="42"/>
      <c r="K654" s="53" t="s">
        <v>585</v>
      </c>
      <c r="L654"/>
      <c r="M654"/>
    </row>
    <row r="655" spans="1:27" s="77" customFormat="1" ht="15.75" customHeight="1">
      <c r="A655" s="57" t="s">
        <v>911</v>
      </c>
      <c r="B655" s="38" t="s">
        <v>912</v>
      </c>
      <c r="C655" s="39">
        <v>43677</v>
      </c>
      <c r="D655" s="39">
        <v>43792</v>
      </c>
      <c r="E655" s="47">
        <f>D655-C655</f>
        <v>115</v>
      </c>
      <c r="F655" s="43" t="s">
        <v>0</v>
      </c>
      <c r="G655" s="45"/>
      <c r="H655" s="45"/>
      <c r="I655" s="45"/>
      <c r="J655" s="42"/>
      <c r="K655" s="42"/>
      <c r="L655"/>
      <c r="M655"/>
    </row>
    <row r="656" spans="1:27" s="77" customFormat="1" ht="15.75" customHeight="1">
      <c r="A656" s="42" t="s">
        <v>730</v>
      </c>
      <c r="B656" s="38" t="s">
        <v>731</v>
      </c>
      <c r="C656" s="39">
        <v>43992</v>
      </c>
      <c r="D656" s="40">
        <v>44107</v>
      </c>
      <c r="E656" s="47">
        <f>D656-C656</f>
        <v>115</v>
      </c>
      <c r="F656" s="43" t="s">
        <v>0</v>
      </c>
      <c r="G656" s="45" t="s">
        <v>33</v>
      </c>
      <c r="H656" s="46"/>
      <c r="I656" s="46"/>
      <c r="J656" s="37"/>
      <c r="K656" s="37"/>
      <c r="L656" s="37"/>
      <c r="M656" s="37"/>
    </row>
    <row r="657" spans="1:27" s="77" customFormat="1" ht="15.75" customHeight="1">
      <c r="A657" s="77" t="s">
        <v>2233</v>
      </c>
      <c r="B657" s="82" t="s">
        <v>2234</v>
      </c>
      <c r="C657" s="79">
        <v>44629</v>
      </c>
      <c r="D657" s="80">
        <v>44744</v>
      </c>
      <c r="E657" s="41">
        <f>D657-C657</f>
        <v>115</v>
      </c>
      <c r="F657" s="43" t="s">
        <v>0</v>
      </c>
      <c r="G657" s="46"/>
      <c r="H657" s="45" t="s">
        <v>2</v>
      </c>
      <c r="I657" s="46"/>
    </row>
    <row r="658" spans="1:27" s="77" customFormat="1" ht="15.75" customHeight="1">
      <c r="A658" s="37" t="s">
        <v>469</v>
      </c>
      <c r="B658" s="38" t="s">
        <v>470</v>
      </c>
      <c r="C658" s="39">
        <v>43345</v>
      </c>
      <c r="D658" s="39">
        <v>43461</v>
      </c>
      <c r="E658" s="41">
        <f>D658-C658</f>
        <v>116</v>
      </c>
      <c r="F658" s="45"/>
      <c r="G658" s="43" t="s">
        <v>471</v>
      </c>
      <c r="H658" s="43"/>
      <c r="I658" s="45"/>
      <c r="J658" s="42"/>
      <c r="K658" s="42"/>
      <c r="L658"/>
      <c r="M658"/>
    </row>
    <row r="659" spans="1:27" s="77" customFormat="1" ht="15.75" customHeight="1">
      <c r="A659" s="42" t="s">
        <v>764</v>
      </c>
      <c r="B659" s="38" t="s">
        <v>765</v>
      </c>
      <c r="C659" s="39">
        <v>43578</v>
      </c>
      <c r="D659" s="39">
        <v>43694</v>
      </c>
      <c r="E659" s="47">
        <f>D659-C659</f>
        <v>116</v>
      </c>
      <c r="F659" s="43" t="s">
        <v>0</v>
      </c>
      <c r="G659" s="45" t="s">
        <v>487</v>
      </c>
      <c r="H659" s="45"/>
      <c r="I659" s="55"/>
      <c r="J659" s="56"/>
      <c r="K659" s="56"/>
      <c r="L659"/>
      <c r="M659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spans="1:27" s="77" customFormat="1" ht="15.75" customHeight="1">
      <c r="A660" s="37" t="s">
        <v>929</v>
      </c>
      <c r="B660" s="38" t="s">
        <v>930</v>
      </c>
      <c r="C660" s="39">
        <v>43690</v>
      </c>
      <c r="D660" s="39">
        <v>43806</v>
      </c>
      <c r="E660" s="47">
        <f>D660-C660</f>
        <v>116</v>
      </c>
      <c r="F660" s="43" t="s">
        <v>48</v>
      </c>
      <c r="G660" s="45" t="s">
        <v>26</v>
      </c>
      <c r="H660" s="45"/>
      <c r="I660" s="44"/>
      <c r="J660" s="1"/>
      <c r="K660" s="1"/>
      <c r="L660"/>
      <c r="M660"/>
    </row>
    <row r="661" spans="1:27" s="77" customFormat="1" ht="15.75" customHeight="1">
      <c r="A661" s="37" t="s">
        <v>1272</v>
      </c>
      <c r="B661" s="52" t="s">
        <v>1273</v>
      </c>
      <c r="C661" s="39">
        <v>44067</v>
      </c>
      <c r="D661" s="40">
        <v>44183</v>
      </c>
      <c r="E661" s="47">
        <f>D661-C661</f>
        <v>116</v>
      </c>
      <c r="F661" s="43" t="s">
        <v>0</v>
      </c>
      <c r="G661" s="45" t="s">
        <v>995</v>
      </c>
      <c r="H661" s="46"/>
      <c r="I661" s="46"/>
      <c r="J661" s="37"/>
      <c r="K661" s="53" t="s">
        <v>1274</v>
      </c>
      <c r="L661" s="75"/>
      <c r="M661" s="75"/>
    </row>
    <row r="662" spans="1:27" s="77" customFormat="1" ht="15.75" customHeight="1">
      <c r="A662" s="77" t="s">
        <v>1573</v>
      </c>
      <c r="B662" s="75" t="s">
        <v>1574</v>
      </c>
      <c r="C662" s="79">
        <v>44159</v>
      </c>
      <c r="D662" s="80">
        <v>44275</v>
      </c>
      <c r="E662" s="41">
        <f>D662-C662</f>
        <v>116</v>
      </c>
      <c r="F662" s="43" t="s">
        <v>0</v>
      </c>
      <c r="G662" s="46"/>
      <c r="H662" s="46"/>
      <c r="I662" s="46"/>
      <c r="J662" s="82"/>
      <c r="K662" s="76" t="s">
        <v>1575</v>
      </c>
      <c r="L662" s="82"/>
      <c r="M662" s="82"/>
    </row>
    <row r="663" spans="1:27" s="77" customFormat="1" ht="15.75" customHeight="1">
      <c r="A663" s="77" t="s">
        <v>1847</v>
      </c>
      <c r="B663" s="82" t="s">
        <v>1848</v>
      </c>
      <c r="C663" s="39">
        <v>44361</v>
      </c>
      <c r="D663" s="80">
        <v>44477</v>
      </c>
      <c r="E663" s="41">
        <f>D663-C663</f>
        <v>116</v>
      </c>
      <c r="F663" s="43" t="s">
        <v>0</v>
      </c>
      <c r="G663" s="46"/>
      <c r="H663" s="46"/>
      <c r="I663" s="46"/>
    </row>
    <row r="664" spans="1:27" s="77" customFormat="1" ht="15.75" customHeight="1">
      <c r="A664" s="84" t="s">
        <v>1744</v>
      </c>
      <c r="B664" s="75" t="s">
        <v>1745</v>
      </c>
      <c r="C664" s="39">
        <v>44524</v>
      </c>
      <c r="D664" s="80">
        <v>44642</v>
      </c>
      <c r="E664" s="41">
        <f>D664-C664</f>
        <v>118</v>
      </c>
      <c r="F664" s="43" t="s">
        <v>0</v>
      </c>
      <c r="G664" s="46"/>
      <c r="H664" s="83" t="s">
        <v>11</v>
      </c>
      <c r="I664" s="46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spans="1:27" s="77" customFormat="1">
      <c r="A665" s="77" t="s">
        <v>1662</v>
      </c>
      <c r="B665" s="75" t="s">
        <v>1663</v>
      </c>
      <c r="C665" s="39">
        <v>44654</v>
      </c>
      <c r="D665" s="40">
        <v>44772</v>
      </c>
      <c r="E665" s="41">
        <f>D665-C665</f>
        <v>118</v>
      </c>
      <c r="F665" s="43" t="s">
        <v>0</v>
      </c>
      <c r="G665" s="46"/>
      <c r="H665" s="45" t="s">
        <v>2</v>
      </c>
      <c r="I665" s="46"/>
      <c r="K665" s="76" t="s">
        <v>1664</v>
      </c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</row>
    <row r="666" spans="1:27" s="77" customFormat="1" ht="15.75" customHeight="1">
      <c r="A666" s="37" t="s">
        <v>2306</v>
      </c>
      <c r="B666" s="87" t="s">
        <v>2307</v>
      </c>
      <c r="C666" s="79">
        <v>44724</v>
      </c>
      <c r="D666" s="80">
        <v>44842</v>
      </c>
      <c r="E666" s="41">
        <f>D666-C666</f>
        <v>118</v>
      </c>
      <c r="F666" s="43" t="s">
        <v>0</v>
      </c>
      <c r="G666" s="81"/>
      <c r="H666" s="83" t="s">
        <v>2</v>
      </c>
      <c r="I666" s="81"/>
      <c r="J666" s="87"/>
      <c r="K666" s="87"/>
      <c r="L666" s="87"/>
      <c r="M666" s="87"/>
    </row>
    <row r="667" spans="1:27" s="77" customFormat="1" ht="15.75" customHeight="1">
      <c r="A667" s="37" t="s">
        <v>2317</v>
      </c>
      <c r="B667" s="87" t="s">
        <v>2318</v>
      </c>
      <c r="C667" s="79">
        <v>44731</v>
      </c>
      <c r="D667" s="40">
        <v>44849</v>
      </c>
      <c r="E667" s="41">
        <f>D667-C667</f>
        <v>118</v>
      </c>
      <c r="F667" s="43" t="s">
        <v>0</v>
      </c>
      <c r="G667" s="81" t="s">
        <v>512</v>
      </c>
      <c r="H667" s="83" t="s">
        <v>2</v>
      </c>
      <c r="I667" s="81"/>
      <c r="J667" s="87"/>
      <c r="K667" s="87"/>
      <c r="L667" s="87"/>
      <c r="M667" s="8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spans="1:27" s="77" customFormat="1" ht="15.75" customHeight="1">
      <c r="A668" s="42" t="s">
        <v>477</v>
      </c>
      <c r="B668" s="38" t="s">
        <v>478</v>
      </c>
      <c r="C668" s="39">
        <v>43352</v>
      </c>
      <c r="D668" s="39">
        <v>43472</v>
      </c>
      <c r="E668" s="47">
        <f>D668-C668</f>
        <v>120</v>
      </c>
      <c r="F668" s="45"/>
      <c r="G668" s="43" t="s">
        <v>1</v>
      </c>
      <c r="H668" s="43"/>
      <c r="I668" s="49"/>
      <c r="J668" s="50"/>
      <c r="K668" s="50"/>
      <c r="L668"/>
      <c r="M668"/>
    </row>
    <row r="669" spans="1:27" s="77" customFormat="1" ht="15.75" customHeight="1">
      <c r="A669" s="42" t="s">
        <v>54</v>
      </c>
      <c r="B669" s="42" t="s">
        <v>771</v>
      </c>
      <c r="C669" s="39">
        <v>43701</v>
      </c>
      <c r="D669" s="39">
        <v>43821</v>
      </c>
      <c r="E669" s="47">
        <f>D669-C669</f>
        <v>120</v>
      </c>
      <c r="F669" s="43" t="s">
        <v>810</v>
      </c>
      <c r="G669" s="45" t="s">
        <v>70</v>
      </c>
      <c r="H669" s="45"/>
      <c r="I669" s="45"/>
      <c r="J669" s="42"/>
      <c r="K669" s="42"/>
      <c r="L669" s="42"/>
      <c r="M669" s="42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spans="1:27" s="77" customFormat="1" ht="15.75" customHeight="1">
      <c r="A670" s="42" t="s">
        <v>1219</v>
      </c>
      <c r="B670" s="42" t="s">
        <v>1220</v>
      </c>
      <c r="C670" s="39">
        <v>43840</v>
      </c>
      <c r="D670" s="39">
        <v>43960</v>
      </c>
      <c r="E670" s="47">
        <f>D670-C670</f>
        <v>120</v>
      </c>
      <c r="F670" s="43" t="s">
        <v>0</v>
      </c>
      <c r="G670" s="45" t="s">
        <v>312</v>
      </c>
      <c r="H670" s="45"/>
      <c r="I670" s="45" t="s">
        <v>954</v>
      </c>
      <c r="J670" s="37"/>
      <c r="K670" s="53" t="s">
        <v>1221</v>
      </c>
      <c r="L670" s="37"/>
      <c r="M670" s="37"/>
    </row>
    <row r="671" spans="1:27" s="77" customFormat="1" ht="15.75" customHeight="1">
      <c r="A671" s="42" t="s">
        <v>970</v>
      </c>
      <c r="B671" s="42" t="s">
        <v>971</v>
      </c>
      <c r="C671" s="39">
        <v>44766</v>
      </c>
      <c r="D671" s="39">
        <v>44886</v>
      </c>
      <c r="E671" s="41">
        <f>D671-C671</f>
        <v>120</v>
      </c>
      <c r="F671" s="43" t="s">
        <v>0</v>
      </c>
      <c r="G671" s="45" t="s">
        <v>1</v>
      </c>
      <c r="H671" s="45" t="s">
        <v>11</v>
      </c>
      <c r="I671" s="54"/>
      <c r="J671" s="37"/>
      <c r="K671" s="37"/>
      <c r="L671" s="37"/>
      <c r="M671" s="37"/>
    </row>
    <row r="672" spans="1:27" s="77" customFormat="1" ht="15.75" customHeight="1">
      <c r="A672" s="77" t="s">
        <v>2029</v>
      </c>
      <c r="B672" s="82" t="s">
        <v>2030</v>
      </c>
      <c r="C672" s="79">
        <v>44476</v>
      </c>
      <c r="D672" s="80">
        <v>44597</v>
      </c>
      <c r="E672" s="41">
        <f>D672-C672</f>
        <v>121</v>
      </c>
      <c r="F672" s="83" t="s">
        <v>196</v>
      </c>
      <c r="G672" s="81" t="s">
        <v>70</v>
      </c>
      <c r="H672" s="83" t="s">
        <v>2</v>
      </c>
      <c r="I672" s="81" t="s">
        <v>21</v>
      </c>
      <c r="K672" s="76" t="s">
        <v>2031</v>
      </c>
      <c r="L672" s="77" t="s">
        <v>2029</v>
      </c>
    </row>
    <row r="673" spans="1:27" s="77" customFormat="1" ht="15.75" customHeight="1">
      <c r="A673" s="82" t="s">
        <v>2032</v>
      </c>
      <c r="B673" s="82" t="s">
        <v>2033</v>
      </c>
      <c r="C673" s="79">
        <v>44477</v>
      </c>
      <c r="D673" s="80">
        <v>44598</v>
      </c>
      <c r="E673" s="41">
        <f>D673-C673</f>
        <v>121</v>
      </c>
      <c r="F673" s="83" t="s">
        <v>196</v>
      </c>
      <c r="G673" s="46"/>
      <c r="H673" s="83" t="s">
        <v>2</v>
      </c>
      <c r="I673" s="81" t="s">
        <v>21</v>
      </c>
    </row>
    <row r="674" spans="1:27" s="77" customFormat="1" ht="15.75" customHeight="1">
      <c r="A674" s="37" t="s">
        <v>737</v>
      </c>
      <c r="B674" s="38" t="s">
        <v>738</v>
      </c>
      <c r="C674" s="39">
        <v>43544</v>
      </c>
      <c r="D674" s="39">
        <v>43666</v>
      </c>
      <c r="E674" s="47">
        <f>D674-C674</f>
        <v>122</v>
      </c>
      <c r="F674" s="43" t="s">
        <v>524</v>
      </c>
      <c r="G674" s="45" t="s">
        <v>1</v>
      </c>
      <c r="H674" s="45"/>
      <c r="I674" s="45" t="s">
        <v>739</v>
      </c>
      <c r="J674" s="42"/>
      <c r="K674" s="42"/>
      <c r="L674"/>
      <c r="M674"/>
    </row>
    <row r="675" spans="1:27" s="77" customFormat="1" ht="15.75" customHeight="1">
      <c r="A675" s="42" t="s">
        <v>1178</v>
      </c>
      <c r="B675" s="42" t="s">
        <v>1179</v>
      </c>
      <c r="C675" s="39">
        <v>43824</v>
      </c>
      <c r="D675" s="40">
        <v>43946</v>
      </c>
      <c r="E675" s="41">
        <f>D675-C675</f>
        <v>122</v>
      </c>
      <c r="F675" s="43" t="s">
        <v>0</v>
      </c>
      <c r="G675" s="45"/>
      <c r="H675" s="45"/>
      <c r="I675" s="45"/>
      <c r="J675" s="37"/>
      <c r="K675" s="37"/>
      <c r="L675" s="37"/>
      <c r="M675" s="37"/>
    </row>
    <row r="676" spans="1:27" s="77" customFormat="1" ht="15.75" customHeight="1">
      <c r="A676" s="42" t="s">
        <v>637</v>
      </c>
      <c r="B676" s="42" t="s">
        <v>1348</v>
      </c>
      <c r="C676" s="39">
        <v>43929</v>
      </c>
      <c r="D676" s="40">
        <v>44051</v>
      </c>
      <c r="E676" s="47">
        <f>D676-C676</f>
        <v>122</v>
      </c>
      <c r="F676" s="43" t="s">
        <v>0</v>
      </c>
      <c r="G676" s="45" t="s">
        <v>1</v>
      </c>
      <c r="H676" s="46"/>
      <c r="I676" s="46"/>
      <c r="J676" s="37"/>
      <c r="K676" s="53" t="s">
        <v>1349</v>
      </c>
      <c r="L676" s="37"/>
      <c r="M676" s="37"/>
    </row>
    <row r="677" spans="1:27" s="77" customFormat="1" ht="15.75" customHeight="1">
      <c r="A677" s="42" t="s">
        <v>668</v>
      </c>
      <c r="B677" s="38" t="s">
        <v>669</v>
      </c>
      <c r="C677" s="39">
        <v>44356</v>
      </c>
      <c r="D677" s="80">
        <v>44478</v>
      </c>
      <c r="E677" s="41">
        <f>D677-C677</f>
        <v>122</v>
      </c>
      <c r="F677" s="43" t="s">
        <v>0</v>
      </c>
      <c r="G677" s="46"/>
      <c r="H677" s="46"/>
      <c r="I677" s="46"/>
    </row>
    <row r="678" spans="1:27" s="77" customFormat="1" ht="15.75" customHeight="1">
      <c r="A678" s="77" t="s">
        <v>2154</v>
      </c>
      <c r="B678" s="82" t="s">
        <v>2155</v>
      </c>
      <c r="C678" s="79">
        <v>44547</v>
      </c>
      <c r="D678" s="80">
        <v>44669</v>
      </c>
      <c r="E678" s="41">
        <f>D678-C678</f>
        <v>122</v>
      </c>
      <c r="F678" s="48" t="s">
        <v>2122</v>
      </c>
      <c r="G678" s="81" t="s">
        <v>805</v>
      </c>
      <c r="H678" s="83" t="s">
        <v>11</v>
      </c>
      <c r="I678" s="81" t="s">
        <v>21</v>
      </c>
      <c r="K678" s="76" t="s">
        <v>2156</v>
      </c>
    </row>
    <row r="679" spans="1:27" s="77" customFormat="1" ht="15.75" customHeight="1">
      <c r="A679" s="42" t="s">
        <v>856</v>
      </c>
      <c r="B679" s="38" t="s">
        <v>857</v>
      </c>
      <c r="C679" s="39">
        <v>43620</v>
      </c>
      <c r="D679" s="39">
        <v>43743</v>
      </c>
      <c r="E679" s="47">
        <f>D679-C679</f>
        <v>123</v>
      </c>
      <c r="F679" s="45" t="s">
        <v>726</v>
      </c>
      <c r="G679" s="45" t="s">
        <v>858</v>
      </c>
      <c r="H679" s="45"/>
      <c r="I679" s="45"/>
      <c r="J679" s="42"/>
      <c r="K679" s="42"/>
      <c r="L679"/>
      <c r="M679"/>
    </row>
    <row r="680" spans="1:27" s="77" customFormat="1" ht="15.75" customHeight="1">
      <c r="A680" s="42" t="s">
        <v>705</v>
      </c>
      <c r="B680" s="38" t="s">
        <v>706</v>
      </c>
      <c r="C680" s="39">
        <v>43690</v>
      </c>
      <c r="D680" s="39">
        <v>43813</v>
      </c>
      <c r="E680" s="47">
        <f>D680-C680</f>
        <v>123</v>
      </c>
      <c r="F680" s="43" t="s">
        <v>0</v>
      </c>
      <c r="G680" s="45" t="s">
        <v>942</v>
      </c>
      <c r="H680" s="45"/>
      <c r="I680" s="45"/>
      <c r="J680" s="42"/>
      <c r="K680" s="42"/>
      <c r="L680" s="42"/>
      <c r="M680" s="42"/>
    </row>
    <row r="681" spans="1:27" s="77" customFormat="1" ht="15.75" customHeight="1">
      <c r="A681" s="42" t="s">
        <v>1108</v>
      </c>
      <c r="B681" s="42" t="s">
        <v>1109</v>
      </c>
      <c r="C681" s="39">
        <v>44091</v>
      </c>
      <c r="D681" s="40">
        <v>44214</v>
      </c>
      <c r="E681" s="41">
        <f>D681-C681</f>
        <v>123</v>
      </c>
      <c r="F681" s="43" t="s">
        <v>0</v>
      </c>
      <c r="G681" s="46"/>
      <c r="H681" s="46"/>
      <c r="I681" s="46"/>
      <c r="J681" s="37"/>
      <c r="K681" s="76" t="s">
        <v>1516</v>
      </c>
      <c r="L681" s="42" t="s">
        <v>1517</v>
      </c>
      <c r="M681" s="37"/>
    </row>
    <row r="682" spans="1:27" s="77" customFormat="1" ht="15.75" customHeight="1">
      <c r="A682" s="59" t="s">
        <v>973</v>
      </c>
      <c r="B682" s="70" t="s">
        <v>974</v>
      </c>
      <c r="C682" s="61">
        <v>43717</v>
      </c>
      <c r="D682" s="61">
        <v>43841</v>
      </c>
      <c r="E682" s="47">
        <f>D682-C682</f>
        <v>124</v>
      </c>
      <c r="F682" s="62" t="s">
        <v>975</v>
      </c>
      <c r="G682" s="55" t="s">
        <v>805</v>
      </c>
      <c r="H682" s="55"/>
      <c r="I682"/>
      <c r="J682"/>
      <c r="K682"/>
      <c r="L682"/>
      <c r="M682"/>
    </row>
    <row r="683" spans="1:27" s="77" customFormat="1" ht="15.75" customHeight="1">
      <c r="A683" s="77" t="s">
        <v>1642</v>
      </c>
      <c r="B683" s="75" t="s">
        <v>1643</v>
      </c>
      <c r="C683" s="39">
        <v>44358</v>
      </c>
      <c r="D683" s="39">
        <v>44482</v>
      </c>
      <c r="E683" s="41">
        <f>D683-C683</f>
        <v>124</v>
      </c>
      <c r="F683" s="43" t="s">
        <v>74</v>
      </c>
      <c r="G683" s="46"/>
      <c r="H683" s="46"/>
      <c r="I683" s="46"/>
    </row>
    <row r="684" spans="1:27" s="77" customFormat="1" ht="15.75" customHeight="1">
      <c r="A684" s="57" t="s">
        <v>885</v>
      </c>
      <c r="B684" s="38" t="s">
        <v>886</v>
      </c>
      <c r="C684" s="39">
        <v>43646</v>
      </c>
      <c r="D684" s="39">
        <v>43771</v>
      </c>
      <c r="E684" s="47">
        <f>D684-C684</f>
        <v>125</v>
      </c>
      <c r="F684" s="63" t="s">
        <v>887</v>
      </c>
      <c r="G684" s="45"/>
      <c r="H684" s="45"/>
      <c r="I684" s="45"/>
      <c r="J684" s="42"/>
      <c r="K684" s="42"/>
      <c r="L684"/>
      <c r="M684"/>
    </row>
    <row r="685" spans="1:27" s="77" customFormat="1" ht="15.75" customHeight="1">
      <c r="A685" s="37" t="s">
        <v>949</v>
      </c>
      <c r="B685" s="42" t="s">
        <v>950</v>
      </c>
      <c r="C685" s="39">
        <v>43879</v>
      </c>
      <c r="D685" s="39">
        <v>44004</v>
      </c>
      <c r="E685" s="47">
        <f>D685-C685</f>
        <v>125</v>
      </c>
      <c r="F685" s="43" t="s">
        <v>0</v>
      </c>
      <c r="G685" s="45" t="s">
        <v>1</v>
      </c>
      <c r="H685" s="46"/>
      <c r="I685" s="46"/>
      <c r="J685" s="37"/>
      <c r="K685" s="37"/>
      <c r="L685" s="37"/>
      <c r="M685" s="37"/>
    </row>
    <row r="686" spans="1:27" s="77" customFormat="1" ht="15.75" customHeight="1">
      <c r="A686" s="82" t="s">
        <v>1999</v>
      </c>
      <c r="B686" s="82" t="s">
        <v>2000</v>
      </c>
      <c r="C686" s="79">
        <v>44462</v>
      </c>
      <c r="D686" s="80">
        <v>44587</v>
      </c>
      <c r="E686" s="41">
        <f>D686-C686</f>
        <v>125</v>
      </c>
      <c r="F686" s="43" t="s">
        <v>0</v>
      </c>
      <c r="G686" s="81" t="s">
        <v>1612</v>
      </c>
      <c r="H686" s="83" t="s">
        <v>11</v>
      </c>
      <c r="I686" s="46"/>
      <c r="K686" s="76" t="s">
        <v>2001</v>
      </c>
      <c r="L686" s="82" t="s">
        <v>2002</v>
      </c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</row>
    <row r="687" spans="1:27" s="77" customFormat="1" ht="15.75" customHeight="1">
      <c r="A687" s="42" t="s">
        <v>1298</v>
      </c>
      <c r="B687" s="42" t="s">
        <v>1299</v>
      </c>
      <c r="C687" s="39">
        <v>43883</v>
      </c>
      <c r="D687" s="40">
        <v>44009</v>
      </c>
      <c r="E687" s="47">
        <f>D687-C687</f>
        <v>126</v>
      </c>
      <c r="F687" s="46" t="s">
        <v>100</v>
      </c>
      <c r="G687" s="46"/>
      <c r="H687" s="46"/>
      <c r="I687" s="46"/>
      <c r="J687" s="37"/>
      <c r="K687" s="53" t="s">
        <v>1300</v>
      </c>
      <c r="L687" s="37"/>
      <c r="M687" s="37"/>
    </row>
    <row r="688" spans="1:27" s="77" customFormat="1" ht="15.75" customHeight="1">
      <c r="A688" s="77" t="s">
        <v>2122</v>
      </c>
      <c r="B688" s="82" t="s">
        <v>2123</v>
      </c>
      <c r="C688" s="79">
        <v>44528</v>
      </c>
      <c r="D688" s="80">
        <v>44654</v>
      </c>
      <c r="E688" s="41">
        <f>D688-C688</f>
        <v>126</v>
      </c>
      <c r="F688" s="43" t="s">
        <v>0</v>
      </c>
      <c r="G688" s="81" t="s">
        <v>995</v>
      </c>
      <c r="H688" s="83" t="s">
        <v>11</v>
      </c>
      <c r="I688" s="46"/>
    </row>
    <row r="689" spans="1:27" s="77" customFormat="1" ht="15.75" customHeight="1">
      <c r="A689" s="87" t="s">
        <v>2276</v>
      </c>
      <c r="B689" s="87" t="s">
        <v>2276</v>
      </c>
      <c r="C689" s="79">
        <v>44674</v>
      </c>
      <c r="D689" s="80">
        <v>44800</v>
      </c>
      <c r="E689" s="41">
        <f>D689-C689</f>
        <v>126</v>
      </c>
      <c r="F689" s="43" t="s">
        <v>0</v>
      </c>
      <c r="G689" s="81"/>
      <c r="H689" s="83" t="s">
        <v>11</v>
      </c>
      <c r="I689" s="81"/>
      <c r="J689" s="87"/>
      <c r="K689" s="87"/>
      <c r="L689" s="87"/>
      <c r="M689" s="87"/>
    </row>
    <row r="690" spans="1:27" s="77" customFormat="1" ht="15.75" customHeight="1">
      <c r="A690" s="87" t="s">
        <v>2861</v>
      </c>
      <c r="B690" s="87" t="s">
        <v>2394</v>
      </c>
      <c r="C690" s="79">
        <v>44793</v>
      </c>
      <c r="D690" s="80">
        <v>44919</v>
      </c>
      <c r="E690" s="41">
        <f>D690-C690</f>
        <v>126</v>
      </c>
      <c r="F690" s="43" t="s">
        <v>0</v>
      </c>
      <c r="G690" s="81"/>
      <c r="H690" s="83" t="s">
        <v>2</v>
      </c>
      <c r="I690" s="81"/>
      <c r="J690" s="87"/>
      <c r="K690" s="87"/>
      <c r="L690" s="87"/>
      <c r="M690" s="87"/>
    </row>
    <row r="691" spans="1:27" s="77" customFormat="1" ht="15.75" customHeight="1">
      <c r="A691" s="37" t="s">
        <v>1583</v>
      </c>
      <c r="B691" s="42" t="s">
        <v>1584</v>
      </c>
      <c r="C691" s="39">
        <v>44156</v>
      </c>
      <c r="D691" s="40">
        <v>44284</v>
      </c>
      <c r="E691" s="41">
        <f>D691-C691</f>
        <v>128</v>
      </c>
      <c r="F691" s="48" t="s">
        <v>174</v>
      </c>
      <c r="G691" s="46"/>
      <c r="H691" s="46"/>
      <c r="I691" s="46"/>
      <c r="K691" s="76" t="s">
        <v>1585</v>
      </c>
    </row>
    <row r="692" spans="1:27" s="77" customFormat="1" ht="15.75" customHeight="1">
      <c r="A692" s="75" t="s">
        <v>1738</v>
      </c>
      <c r="B692" s="75" t="s">
        <v>1739</v>
      </c>
      <c r="C692" s="79">
        <v>44258</v>
      </c>
      <c r="D692" s="80">
        <v>44386</v>
      </c>
      <c r="E692" s="41">
        <f>D692-C692</f>
        <v>128</v>
      </c>
      <c r="F692" s="43" t="s">
        <v>0</v>
      </c>
      <c r="G692" s="46"/>
      <c r="H692" s="46"/>
      <c r="I692" s="46"/>
      <c r="K692" s="76" t="s">
        <v>1740</v>
      </c>
    </row>
    <row r="693" spans="1:27" s="77" customFormat="1" ht="15.75" customHeight="1">
      <c r="A693" s="75" t="s">
        <v>1768</v>
      </c>
      <c r="B693" s="75" t="s">
        <v>1768</v>
      </c>
      <c r="C693" s="79">
        <v>44279</v>
      </c>
      <c r="D693" s="80">
        <v>44407</v>
      </c>
      <c r="E693" s="41">
        <f>D693-C693</f>
        <v>128</v>
      </c>
      <c r="F693" s="83" t="s">
        <v>263</v>
      </c>
      <c r="G693" s="46"/>
      <c r="H693" s="46"/>
      <c r="I693" s="46"/>
    </row>
    <row r="694" spans="1:27" s="77" customFormat="1" ht="15.75" customHeight="1">
      <c r="A694" s="37" t="s">
        <v>1955</v>
      </c>
      <c r="B694" s="75" t="s">
        <v>1956</v>
      </c>
      <c r="C694" s="79">
        <v>44655</v>
      </c>
      <c r="D694" s="80">
        <v>44783</v>
      </c>
      <c r="E694" s="41">
        <f>D694-C694</f>
        <v>128</v>
      </c>
      <c r="F694" s="43" t="s">
        <v>0</v>
      </c>
      <c r="G694" s="81" t="s">
        <v>1357</v>
      </c>
      <c r="H694" s="83" t="s">
        <v>11</v>
      </c>
      <c r="I694" s="81"/>
      <c r="J694" s="87"/>
      <c r="K694" s="76" t="s">
        <v>1957</v>
      </c>
      <c r="L694" s="87"/>
      <c r="M694" s="87"/>
    </row>
    <row r="695" spans="1:27" s="77" customFormat="1" ht="15.75" customHeight="1">
      <c r="A695" s="42" t="s">
        <v>968</v>
      </c>
      <c r="B695" s="42" t="s">
        <v>969</v>
      </c>
      <c r="C695" s="39">
        <v>43705</v>
      </c>
      <c r="D695" s="39">
        <v>43834</v>
      </c>
      <c r="E695" s="47">
        <f>D695-C695</f>
        <v>129</v>
      </c>
      <c r="F695" s="43" t="s">
        <v>0</v>
      </c>
      <c r="G695" s="45"/>
      <c r="H695" s="45"/>
      <c r="I695" s="45"/>
      <c r="J695" s="42"/>
      <c r="K695" s="42"/>
      <c r="L695" s="42"/>
      <c r="M695" s="42"/>
    </row>
    <row r="696" spans="1:27" s="77" customFormat="1" ht="15.75" customHeight="1">
      <c r="A696" s="77" t="s">
        <v>2849</v>
      </c>
      <c r="B696" s="82" t="s">
        <v>2083</v>
      </c>
      <c r="C696" s="79">
        <v>44510</v>
      </c>
      <c r="D696" s="80">
        <v>44639</v>
      </c>
      <c r="E696" s="41">
        <f>D696-C696</f>
        <v>129</v>
      </c>
      <c r="F696" s="43" t="s">
        <v>0</v>
      </c>
      <c r="G696" s="81" t="s">
        <v>2084</v>
      </c>
      <c r="H696" s="83" t="s">
        <v>11</v>
      </c>
      <c r="I696" s="81" t="s">
        <v>125</v>
      </c>
      <c r="K696" s="76" t="s">
        <v>2085</v>
      </c>
    </row>
    <row r="697" spans="1:27" s="77" customFormat="1" ht="15.75" customHeight="1">
      <c r="A697" s="87" t="s">
        <v>2268</v>
      </c>
      <c r="B697" s="87" t="s">
        <v>2269</v>
      </c>
      <c r="C697" s="79">
        <v>44660</v>
      </c>
      <c r="D697" s="80">
        <v>44789</v>
      </c>
      <c r="E697" s="41">
        <f>D697-C697</f>
        <v>129</v>
      </c>
      <c r="F697" s="48" t="s">
        <v>2270</v>
      </c>
      <c r="G697" s="81"/>
      <c r="H697" s="83" t="s">
        <v>11</v>
      </c>
      <c r="I697" s="81"/>
      <c r="J697" s="87"/>
      <c r="K697" s="87"/>
      <c r="L697" s="87"/>
      <c r="M697" s="87"/>
    </row>
    <row r="698" spans="1:27" s="77" customFormat="1" ht="15.75" customHeight="1">
      <c r="A698" s="77" t="s">
        <v>2839</v>
      </c>
      <c r="B698" s="82" t="s">
        <v>1995</v>
      </c>
      <c r="C698" s="79">
        <v>44452</v>
      </c>
      <c r="D698" s="80">
        <v>44582</v>
      </c>
      <c r="E698" s="41">
        <f>D698-C698</f>
        <v>130</v>
      </c>
      <c r="F698" s="48" t="s">
        <v>177</v>
      </c>
      <c r="G698" s="81" t="s">
        <v>1</v>
      </c>
      <c r="H698" s="83" t="s">
        <v>2</v>
      </c>
      <c r="I698" s="46"/>
      <c r="K698" s="76" t="s">
        <v>1996</v>
      </c>
    </row>
    <row r="699" spans="1:27" s="77" customFormat="1" ht="15.75" customHeight="1">
      <c r="A699" s="37" t="s">
        <v>1056</v>
      </c>
      <c r="B699" s="42" t="s">
        <v>1057</v>
      </c>
      <c r="C699" s="39">
        <v>43766</v>
      </c>
      <c r="D699" s="39">
        <v>43897</v>
      </c>
      <c r="E699" s="47">
        <f>D699-C699</f>
        <v>131</v>
      </c>
      <c r="F699" s="48" t="s">
        <v>641</v>
      </c>
      <c r="G699" s="45" t="s">
        <v>1058</v>
      </c>
      <c r="H699" s="45"/>
      <c r="I699" s="45"/>
      <c r="J699" s="42"/>
      <c r="K699" s="42"/>
      <c r="L699" s="42"/>
      <c r="M699" s="42"/>
    </row>
    <row r="700" spans="1:27" s="77" customFormat="1">
      <c r="A700" s="37" t="s">
        <v>988</v>
      </c>
      <c r="B700" s="42" t="s">
        <v>1085</v>
      </c>
      <c r="C700" s="39">
        <v>43780</v>
      </c>
      <c r="D700" s="40">
        <v>43911</v>
      </c>
      <c r="E700" s="41">
        <f>D700-C700</f>
        <v>131</v>
      </c>
      <c r="F700" s="43" t="s">
        <v>0</v>
      </c>
      <c r="G700" s="45"/>
      <c r="H700" s="45"/>
      <c r="I700" s="45"/>
      <c r="J700" s="42"/>
      <c r="K700" s="53" t="s">
        <v>1086</v>
      </c>
      <c r="L700" s="42"/>
      <c r="M700" s="42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</row>
    <row r="701" spans="1:27" s="77" customFormat="1" ht="15.75" customHeight="1">
      <c r="A701" s="82" t="s">
        <v>2104</v>
      </c>
      <c r="B701" s="82" t="s">
        <v>2105</v>
      </c>
      <c r="C701" s="79">
        <v>44515</v>
      </c>
      <c r="D701" s="80">
        <v>44646</v>
      </c>
      <c r="E701" s="41">
        <f>D701-C701</f>
        <v>131</v>
      </c>
      <c r="F701" s="48" t="s">
        <v>2106</v>
      </c>
      <c r="G701" s="81" t="s">
        <v>1</v>
      </c>
      <c r="H701" s="83" t="s">
        <v>11</v>
      </c>
      <c r="I701" s="81" t="s">
        <v>85</v>
      </c>
      <c r="K701" s="76" t="s">
        <v>2107</v>
      </c>
      <c r="L701" s="82" t="s">
        <v>2108</v>
      </c>
    </row>
    <row r="702" spans="1:27" s="77" customFormat="1" ht="15.75" customHeight="1">
      <c r="A702" s="37" t="s">
        <v>1211</v>
      </c>
      <c r="B702" s="42" t="s">
        <v>1546</v>
      </c>
      <c r="C702" s="39">
        <v>44564</v>
      </c>
      <c r="D702" s="80">
        <v>44695</v>
      </c>
      <c r="E702" s="41">
        <f>D702-C702</f>
        <v>131</v>
      </c>
      <c r="F702" s="43" t="s">
        <v>0</v>
      </c>
      <c r="G702" s="45" t="s">
        <v>43</v>
      </c>
      <c r="H702" s="41" t="s">
        <v>11</v>
      </c>
      <c r="I702" s="46"/>
      <c r="K702" s="53" t="s">
        <v>1547</v>
      </c>
      <c r="L702" s="42" t="s">
        <v>1548</v>
      </c>
    </row>
    <row r="703" spans="1:27" s="77" customFormat="1" ht="15.75" customHeight="1">
      <c r="A703" s="42" t="s">
        <v>1408</v>
      </c>
      <c r="B703" s="38" t="s">
        <v>725</v>
      </c>
      <c r="C703" s="39">
        <v>43976</v>
      </c>
      <c r="D703" s="40">
        <v>44108</v>
      </c>
      <c r="E703" s="41">
        <f>D703-C703</f>
        <v>132</v>
      </c>
      <c r="F703" s="43" t="s">
        <v>0</v>
      </c>
      <c r="G703" s="43" t="s">
        <v>471</v>
      </c>
      <c r="H703" s="48"/>
      <c r="I703" s="46"/>
      <c r="J703" s="37"/>
      <c r="K703" s="37"/>
      <c r="L703" s="37"/>
      <c r="M703" s="37"/>
    </row>
    <row r="704" spans="1:27" s="77" customFormat="1" ht="15.75" customHeight="1">
      <c r="A704" s="42" t="s">
        <v>1192</v>
      </c>
      <c r="B704" s="42" t="s">
        <v>1444</v>
      </c>
      <c r="C704" s="39">
        <v>44003</v>
      </c>
      <c r="D704" s="39">
        <v>44135</v>
      </c>
      <c r="E704" s="47">
        <f>D704-C704</f>
        <v>132</v>
      </c>
      <c r="F704" s="43" t="s">
        <v>0</v>
      </c>
      <c r="G704" s="45" t="s">
        <v>512</v>
      </c>
      <c r="H704" s="46"/>
      <c r="I704" s="46"/>
      <c r="J704" s="37"/>
      <c r="K704" s="53" t="s">
        <v>513</v>
      </c>
      <c r="L704" s="42" t="s">
        <v>510</v>
      </c>
      <c r="M704" s="37"/>
    </row>
    <row r="705" spans="1:27" s="77" customFormat="1" ht="15.75" customHeight="1">
      <c r="A705" s="57" t="s">
        <v>867</v>
      </c>
      <c r="B705" s="38" t="s">
        <v>868</v>
      </c>
      <c r="C705" s="39">
        <v>44018</v>
      </c>
      <c r="D705" s="40">
        <v>44150</v>
      </c>
      <c r="E705" s="41">
        <f>D705-C705</f>
        <v>132</v>
      </c>
      <c r="F705" s="43" t="s">
        <v>0</v>
      </c>
      <c r="G705" s="46"/>
      <c r="H705" s="46"/>
      <c r="I705" s="46"/>
      <c r="J705" s="37"/>
      <c r="K705" s="37"/>
      <c r="L705" s="37"/>
      <c r="M705" s="3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</row>
    <row r="706" spans="1:27" s="77" customFormat="1" ht="15.75" customHeight="1">
      <c r="A706" s="42" t="s">
        <v>617</v>
      </c>
      <c r="B706" s="38" t="s">
        <v>618</v>
      </c>
      <c r="C706" s="39">
        <v>43442</v>
      </c>
      <c r="D706" s="39">
        <v>43575</v>
      </c>
      <c r="E706" s="47">
        <f>D706-C706</f>
        <v>133</v>
      </c>
      <c r="F706" s="45" t="s">
        <v>2854</v>
      </c>
      <c r="G706" s="45" t="s">
        <v>33</v>
      </c>
      <c r="H706" s="45"/>
      <c r="I706" s="46"/>
      <c r="J706" s="42"/>
      <c r="K706" s="42"/>
      <c r="L706"/>
      <c r="M706"/>
    </row>
    <row r="707" spans="1:27" s="77" customFormat="1" ht="15.75" customHeight="1">
      <c r="A707" s="42" t="s">
        <v>715</v>
      </c>
      <c r="B707" s="38" t="s">
        <v>716</v>
      </c>
      <c r="C707" s="39">
        <v>43512</v>
      </c>
      <c r="D707" s="39">
        <v>43645</v>
      </c>
      <c r="E707" s="47">
        <f>D707-C707</f>
        <v>133</v>
      </c>
      <c r="F707" s="48" t="s">
        <v>624</v>
      </c>
      <c r="G707" s="45"/>
      <c r="H707" s="45"/>
      <c r="I707" s="45"/>
      <c r="J707" s="42"/>
      <c r="K707" s="42"/>
      <c r="L707"/>
      <c r="M70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</row>
    <row r="708" spans="1:27" s="77" customFormat="1" ht="15.75" customHeight="1">
      <c r="A708" s="82" t="s">
        <v>2191</v>
      </c>
      <c r="B708" s="82" t="s">
        <v>2192</v>
      </c>
      <c r="C708" s="79">
        <v>44576</v>
      </c>
      <c r="D708" s="80">
        <v>44709</v>
      </c>
      <c r="E708" s="41">
        <f>D708-C708</f>
        <v>133</v>
      </c>
      <c r="F708" s="43" t="s">
        <v>0</v>
      </c>
      <c r="G708" s="81" t="s">
        <v>1</v>
      </c>
      <c r="H708" s="83" t="s">
        <v>2</v>
      </c>
      <c r="I708" s="81" t="s">
        <v>21</v>
      </c>
      <c r="K708" s="76" t="s">
        <v>2193</v>
      </c>
    </row>
    <row r="709" spans="1:27" s="77" customFormat="1" ht="15.75" customHeight="1">
      <c r="A709" s="42" t="s">
        <v>665</v>
      </c>
      <c r="B709" s="38" t="s">
        <v>666</v>
      </c>
      <c r="C709" s="39">
        <v>43469</v>
      </c>
      <c r="D709" s="39">
        <v>43603</v>
      </c>
      <c r="E709" s="47">
        <f>D709-C709</f>
        <v>134</v>
      </c>
      <c r="F709" s="43" t="s">
        <v>0</v>
      </c>
      <c r="G709" s="44"/>
      <c r="H709" s="44"/>
      <c r="I709" s="44"/>
      <c r="J709" s="1"/>
      <c r="K709" s="3" t="s">
        <v>667</v>
      </c>
      <c r="L709"/>
      <c r="M709"/>
    </row>
    <row r="710" spans="1:27" s="77" customFormat="1" ht="15.75" customHeight="1">
      <c r="A710" s="42" t="s">
        <v>742</v>
      </c>
      <c r="B710" s="38" t="s">
        <v>743</v>
      </c>
      <c r="C710" s="39">
        <v>43539</v>
      </c>
      <c r="D710" s="39">
        <v>43673</v>
      </c>
      <c r="E710" s="47">
        <f>D710-C710</f>
        <v>134</v>
      </c>
      <c r="F710" s="48" t="s">
        <v>641</v>
      </c>
      <c r="G710" s="45" t="s">
        <v>744</v>
      </c>
      <c r="H710" s="45"/>
      <c r="I710" s="45"/>
      <c r="J710" s="42"/>
      <c r="K710" s="42"/>
      <c r="L710"/>
      <c r="M710"/>
    </row>
    <row r="711" spans="1:27" s="77" customFormat="1" ht="15.75" customHeight="1">
      <c r="A711" s="42" t="s">
        <v>500</v>
      </c>
      <c r="B711" s="38" t="s">
        <v>500</v>
      </c>
      <c r="C711" s="39">
        <v>43817</v>
      </c>
      <c r="D711" s="40">
        <v>43953</v>
      </c>
      <c r="E711" s="41">
        <f>D711-C711</f>
        <v>136</v>
      </c>
      <c r="F711" s="43" t="s">
        <v>0</v>
      </c>
      <c r="G711" s="45" t="s">
        <v>501</v>
      </c>
      <c r="H711" s="45"/>
      <c r="I711" s="45"/>
      <c r="J711" s="37"/>
      <c r="K711" s="53" t="s">
        <v>502</v>
      </c>
      <c r="L711" s="37"/>
      <c r="M711" s="37"/>
    </row>
    <row r="712" spans="1:27" s="77" customFormat="1" ht="15.75" customHeight="1">
      <c r="A712" s="82" t="s">
        <v>1189</v>
      </c>
      <c r="B712" s="82" t="s">
        <v>1190</v>
      </c>
      <c r="C712" s="79">
        <v>44461</v>
      </c>
      <c r="D712" s="80">
        <v>44597</v>
      </c>
      <c r="E712" s="41">
        <f>D712-C712</f>
        <v>136</v>
      </c>
      <c r="F712" s="43" t="s">
        <v>0</v>
      </c>
      <c r="G712" s="81" t="s">
        <v>33</v>
      </c>
      <c r="H712" s="83" t="s">
        <v>2</v>
      </c>
      <c r="I712" s="46"/>
    </row>
    <row r="713" spans="1:27" s="77" customFormat="1" ht="15.75" customHeight="1">
      <c r="A713" s="57" t="s">
        <v>960</v>
      </c>
      <c r="B713" s="42" t="s">
        <v>961</v>
      </c>
      <c r="C713" s="39">
        <v>43684</v>
      </c>
      <c r="D713" s="39">
        <v>43821</v>
      </c>
      <c r="E713" s="47">
        <f>D713-C713</f>
        <v>137</v>
      </c>
      <c r="F713" s="43" t="s">
        <v>715</v>
      </c>
      <c r="G713" s="44"/>
      <c r="H713" s="44"/>
      <c r="I713" s="44"/>
      <c r="J713" s="1"/>
      <c r="K713" s="1"/>
      <c r="L713" s="1"/>
      <c r="M713" s="1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</row>
    <row r="714" spans="1:27" s="77" customFormat="1" ht="15.75" customHeight="1">
      <c r="A714" s="75" t="s">
        <v>1563</v>
      </c>
      <c r="B714" s="75" t="s">
        <v>1563</v>
      </c>
      <c r="C714" s="39">
        <v>44543</v>
      </c>
      <c r="D714" s="40">
        <v>44681</v>
      </c>
      <c r="E714" s="41">
        <f>D714-C714</f>
        <v>138</v>
      </c>
      <c r="F714" s="43" t="s">
        <v>0</v>
      </c>
      <c r="G714" s="46"/>
      <c r="H714" s="83" t="s">
        <v>2</v>
      </c>
      <c r="I714" s="46"/>
    </row>
    <row r="715" spans="1:27" s="77" customFormat="1" ht="15.75" customHeight="1">
      <c r="A715" s="82" t="s">
        <v>2211</v>
      </c>
      <c r="B715" s="82" t="s">
        <v>2212</v>
      </c>
      <c r="C715" s="79">
        <v>44592</v>
      </c>
      <c r="D715" s="80">
        <v>44730</v>
      </c>
      <c r="E715" s="41">
        <f>D715-C715</f>
        <v>138</v>
      </c>
      <c r="F715" s="48" t="s">
        <v>211</v>
      </c>
      <c r="G715" s="81" t="s">
        <v>1</v>
      </c>
      <c r="H715" s="83" t="s">
        <v>2</v>
      </c>
      <c r="I715" s="46"/>
    </row>
    <row r="716" spans="1:27" s="77" customFormat="1" ht="15.75" customHeight="1">
      <c r="A716" s="77" t="s">
        <v>2216</v>
      </c>
      <c r="B716" s="82" t="s">
        <v>2217</v>
      </c>
      <c r="C716" s="79">
        <v>44597</v>
      </c>
      <c r="D716" s="80">
        <v>44735</v>
      </c>
      <c r="E716" s="41">
        <f>D716-C716</f>
        <v>138</v>
      </c>
      <c r="F716" s="43" t="s">
        <v>0</v>
      </c>
      <c r="G716" s="81" t="s">
        <v>1641</v>
      </c>
      <c r="H716" s="83" t="s">
        <v>2</v>
      </c>
      <c r="I716" s="46"/>
      <c r="K716" s="76" t="s">
        <v>2218</v>
      </c>
      <c r="L716" s="82" t="s">
        <v>2219</v>
      </c>
    </row>
    <row r="717" spans="1:27" s="77" customFormat="1" ht="15.75" customHeight="1">
      <c r="A717" s="42" t="s">
        <v>445</v>
      </c>
      <c r="B717" s="38" t="s">
        <v>486</v>
      </c>
      <c r="C717" s="39">
        <v>43352</v>
      </c>
      <c r="D717" s="39">
        <v>43491</v>
      </c>
      <c r="E717" s="47">
        <f>D717-C717</f>
        <v>139</v>
      </c>
      <c r="F717" s="43" t="s">
        <v>0</v>
      </c>
      <c r="G717" s="45" t="s">
        <v>487</v>
      </c>
      <c r="H717" s="45"/>
      <c r="I717" s="44"/>
      <c r="J717" s="1"/>
      <c r="K717" s="1"/>
      <c r="L717"/>
      <c r="M717"/>
    </row>
    <row r="718" spans="1:27" s="77" customFormat="1" ht="15.75" customHeight="1">
      <c r="A718" s="82" t="s">
        <v>840</v>
      </c>
      <c r="B718" s="82" t="s">
        <v>2115</v>
      </c>
      <c r="C718" s="79">
        <v>44508</v>
      </c>
      <c r="D718" s="80">
        <v>44647</v>
      </c>
      <c r="E718" s="41">
        <f>D718-C718</f>
        <v>139</v>
      </c>
      <c r="F718" s="43" t="s">
        <v>0</v>
      </c>
      <c r="G718" s="46"/>
      <c r="H718" s="83" t="s">
        <v>11</v>
      </c>
      <c r="I718" s="81" t="s">
        <v>90</v>
      </c>
      <c r="K718" s="76" t="s">
        <v>2116</v>
      </c>
    </row>
    <row r="719" spans="1:27" s="77" customFormat="1" ht="15.75" customHeight="1">
      <c r="A719" s="37" t="s">
        <v>368</v>
      </c>
      <c r="B719" s="42" t="s">
        <v>1249</v>
      </c>
      <c r="C719" s="39">
        <v>43842</v>
      </c>
      <c r="D719" s="40">
        <v>43982</v>
      </c>
      <c r="E719" s="41">
        <f>D719-C719</f>
        <v>140</v>
      </c>
      <c r="F719" s="43" t="s">
        <v>0</v>
      </c>
      <c r="G719" s="45"/>
      <c r="H719" s="45"/>
      <c r="I719" s="45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spans="1:27" s="77" customFormat="1" ht="15.75" customHeight="1">
      <c r="A720" s="77" t="s">
        <v>1808</v>
      </c>
      <c r="B720" s="75" t="s">
        <v>1809</v>
      </c>
      <c r="C720" s="79">
        <v>44309</v>
      </c>
      <c r="D720" s="80">
        <v>44449</v>
      </c>
      <c r="E720" s="41">
        <f>D720-C720</f>
        <v>140</v>
      </c>
      <c r="F720" s="43" t="s">
        <v>0</v>
      </c>
      <c r="G720" s="81" t="s">
        <v>33</v>
      </c>
      <c r="H720" s="46"/>
      <c r="I720" s="46"/>
      <c r="K720" s="76" t="s">
        <v>1810</v>
      </c>
    </row>
    <row r="721" spans="1:27" s="77" customFormat="1" ht="15.75" customHeight="1">
      <c r="A721" s="77" t="s">
        <v>1906</v>
      </c>
      <c r="B721" s="75" t="s">
        <v>1907</v>
      </c>
      <c r="C721" s="79">
        <v>44366</v>
      </c>
      <c r="D721" s="80">
        <v>44506</v>
      </c>
      <c r="E721" s="41">
        <f>D721-C721</f>
        <v>140</v>
      </c>
      <c r="F721" s="48" t="s">
        <v>565</v>
      </c>
      <c r="G721" s="81" t="s">
        <v>37</v>
      </c>
      <c r="H721" s="46"/>
      <c r="I721" s="46"/>
      <c r="K721" s="76" t="s">
        <v>1908</v>
      </c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spans="1:27" s="77" customFormat="1" ht="15.75" customHeight="1">
      <c r="A722" s="37" t="s">
        <v>2364</v>
      </c>
      <c r="B722" s="87" t="s">
        <v>2365</v>
      </c>
      <c r="C722" s="81">
        <v>44751</v>
      </c>
      <c r="D722" s="80">
        <v>44891</v>
      </c>
      <c r="E722" s="41">
        <f>D722-C722</f>
        <v>140</v>
      </c>
      <c r="F722" s="43" t="s">
        <v>0</v>
      </c>
      <c r="G722" s="81" t="s">
        <v>1357</v>
      </c>
      <c r="H722" s="83" t="s">
        <v>2</v>
      </c>
      <c r="I722" s="81"/>
      <c r="J722" s="87"/>
      <c r="K722" s="87"/>
      <c r="L722" s="37" t="s">
        <v>2366</v>
      </c>
      <c r="M722" s="87"/>
    </row>
    <row r="723" spans="1:27" s="77" customFormat="1" ht="15.75" customHeight="1">
      <c r="A723" s="52" t="s">
        <v>1001</v>
      </c>
      <c r="B723" s="52" t="s">
        <v>1002</v>
      </c>
      <c r="C723" s="39">
        <v>43720</v>
      </c>
      <c r="D723" s="39">
        <v>43861</v>
      </c>
      <c r="E723" s="47">
        <f>D723-C723</f>
        <v>141</v>
      </c>
      <c r="F723" s="48" t="s">
        <v>641</v>
      </c>
      <c r="G723" s="45" t="s">
        <v>942</v>
      </c>
      <c r="H723" s="45"/>
      <c r="I723" s="45"/>
      <c r="J723" s="42"/>
      <c r="K723" s="53" t="s">
        <v>1003</v>
      </c>
      <c r="L723" s="42"/>
      <c r="M723" s="42"/>
    </row>
    <row r="724" spans="1:27" s="77" customFormat="1" ht="15.75" customHeight="1">
      <c r="A724" s="42" t="s">
        <v>506</v>
      </c>
      <c r="B724" s="38" t="s">
        <v>509</v>
      </c>
      <c r="C724" s="39">
        <v>43664</v>
      </c>
      <c r="D724" s="39">
        <v>43806</v>
      </c>
      <c r="E724" s="47">
        <f>D724-C724</f>
        <v>142</v>
      </c>
      <c r="F724" s="43" t="s">
        <v>0</v>
      </c>
      <c r="G724" s="45" t="s">
        <v>26</v>
      </c>
      <c r="H724" s="45"/>
      <c r="I724" s="45"/>
      <c r="J724" s="42"/>
      <c r="K724" s="42"/>
      <c r="L724"/>
      <c r="M724"/>
    </row>
    <row r="725" spans="1:27" s="77" customFormat="1" ht="15.75" customHeight="1">
      <c r="A725" s="82" t="s">
        <v>1910</v>
      </c>
      <c r="B725" s="82" t="s">
        <v>1911</v>
      </c>
      <c r="C725" s="79">
        <v>44371</v>
      </c>
      <c r="D725" s="80">
        <v>44513</v>
      </c>
      <c r="E725" s="41">
        <f>D725-C725</f>
        <v>142</v>
      </c>
      <c r="F725" s="46" t="s">
        <v>1906</v>
      </c>
      <c r="G725" s="81" t="s">
        <v>37</v>
      </c>
      <c r="H725" s="46"/>
      <c r="I725" s="46"/>
    </row>
    <row r="726" spans="1:27" s="77" customFormat="1" ht="15.75" customHeight="1">
      <c r="A726" s="37" t="s">
        <v>1322</v>
      </c>
      <c r="B726" s="42" t="s">
        <v>2213</v>
      </c>
      <c r="C726" s="79">
        <v>44588</v>
      </c>
      <c r="D726" s="80">
        <v>44730</v>
      </c>
      <c r="E726" s="41">
        <f>D726-C726</f>
        <v>142</v>
      </c>
      <c r="F726" s="43" t="s">
        <v>0</v>
      </c>
      <c r="G726" s="46"/>
      <c r="H726" s="81" t="s">
        <v>2</v>
      </c>
      <c r="I726" s="81" t="s">
        <v>90</v>
      </c>
      <c r="K726" s="76" t="s">
        <v>1324</v>
      </c>
      <c r="L726" s="42" t="s">
        <v>1835</v>
      </c>
    </row>
    <row r="727" spans="1:27" s="77" customFormat="1" ht="15.75" customHeight="1">
      <c r="A727" s="87" t="s">
        <v>2371</v>
      </c>
      <c r="B727" s="87" t="s">
        <v>2372</v>
      </c>
      <c r="C727" s="79">
        <v>44756</v>
      </c>
      <c r="D727" s="80">
        <v>44898</v>
      </c>
      <c r="E727" s="41">
        <f>D727-C727</f>
        <v>142</v>
      </c>
      <c r="F727" s="43" t="s">
        <v>0</v>
      </c>
      <c r="G727" s="81"/>
      <c r="H727" s="83" t="s">
        <v>2</v>
      </c>
      <c r="I727" s="81"/>
      <c r="J727" s="87"/>
      <c r="K727" s="87"/>
      <c r="L727" s="37" t="s">
        <v>2373</v>
      </c>
      <c r="M727" s="87"/>
    </row>
    <row r="728" spans="1:27" s="77" customFormat="1" ht="15.75" customHeight="1">
      <c r="A728" s="37" t="s">
        <v>1266</v>
      </c>
      <c r="B728" s="42" t="s">
        <v>1267</v>
      </c>
      <c r="C728" s="39">
        <v>43852</v>
      </c>
      <c r="D728" s="40">
        <v>43995</v>
      </c>
      <c r="E728" s="41">
        <f>D728-C728</f>
        <v>143</v>
      </c>
      <c r="F728" s="48" t="s">
        <v>1027</v>
      </c>
      <c r="G728" s="45"/>
      <c r="H728" s="45"/>
      <c r="I728" s="45"/>
      <c r="J728" s="37"/>
      <c r="K728" s="53" t="s">
        <v>1268</v>
      </c>
      <c r="L728" s="37"/>
      <c r="M728" s="37"/>
    </row>
    <row r="729" spans="1:27" s="77" customFormat="1" ht="15.75" customHeight="1">
      <c r="A729" s="84" t="s">
        <v>1823</v>
      </c>
      <c r="B729" s="75" t="s">
        <v>1824</v>
      </c>
      <c r="C729" s="39">
        <v>44312</v>
      </c>
      <c r="D729" s="80">
        <v>44455</v>
      </c>
      <c r="E729" s="41">
        <f>D729-C729</f>
        <v>143</v>
      </c>
      <c r="F729" s="43" t="s">
        <v>0</v>
      </c>
      <c r="G729" s="81" t="s">
        <v>33</v>
      </c>
      <c r="H729" s="46"/>
      <c r="I729" s="46"/>
    </row>
    <row r="730" spans="1:27" s="77" customFormat="1" ht="15.75" customHeight="1">
      <c r="A730" s="37" t="s">
        <v>949</v>
      </c>
      <c r="B730" s="42" t="s">
        <v>950</v>
      </c>
      <c r="C730" s="39">
        <v>43670</v>
      </c>
      <c r="D730" s="39">
        <v>43814</v>
      </c>
      <c r="E730" s="47">
        <f>D730-C730</f>
        <v>144</v>
      </c>
      <c r="F730" s="43" t="s">
        <v>0</v>
      </c>
      <c r="G730" s="45" t="s">
        <v>1</v>
      </c>
      <c r="H730" s="45"/>
      <c r="I730" s="45"/>
      <c r="J730" s="42"/>
      <c r="K730" s="42"/>
      <c r="L730" s="42"/>
      <c r="M730" s="42"/>
    </row>
    <row r="731" spans="1:27" s="77" customFormat="1" ht="15.75" customHeight="1">
      <c r="A731" s="37" t="s">
        <v>1254</v>
      </c>
      <c r="B731" s="42" t="s">
        <v>1255</v>
      </c>
      <c r="C731" s="39">
        <v>43843</v>
      </c>
      <c r="D731" s="40">
        <v>43988</v>
      </c>
      <c r="E731" s="41">
        <f>D731-C731</f>
        <v>145</v>
      </c>
      <c r="F731" s="43" t="s">
        <v>0</v>
      </c>
      <c r="G731" s="45"/>
      <c r="H731" s="45"/>
      <c r="I731" s="45"/>
      <c r="J731" s="37"/>
      <c r="K731" s="53" t="s">
        <v>1256</v>
      </c>
      <c r="L731" s="37"/>
      <c r="M731" s="37"/>
    </row>
    <row r="732" spans="1:27" s="77" customFormat="1" ht="15.75" customHeight="1">
      <c r="A732" s="84" t="s">
        <v>1829</v>
      </c>
      <c r="B732" s="75" t="s">
        <v>1829</v>
      </c>
      <c r="C732" s="79">
        <v>44318</v>
      </c>
      <c r="D732" s="80">
        <v>44464</v>
      </c>
      <c r="E732" s="41">
        <f>D732-C732</f>
        <v>146</v>
      </c>
      <c r="F732" s="43" t="s">
        <v>1468</v>
      </c>
      <c r="G732" s="46"/>
      <c r="H732" s="46"/>
      <c r="I732" s="46"/>
      <c r="L732" s="82" t="s">
        <v>1830</v>
      </c>
    </row>
    <row r="733" spans="1:27" s="77" customFormat="1" ht="15.75" customHeight="1">
      <c r="A733" s="77" t="s">
        <v>2066</v>
      </c>
      <c r="B733" s="82" t="s">
        <v>2067</v>
      </c>
      <c r="C733" s="79">
        <v>44486</v>
      </c>
      <c r="D733" s="80">
        <v>44632</v>
      </c>
      <c r="E733" s="41">
        <f>D733-C733</f>
        <v>146</v>
      </c>
      <c r="F733" s="43" t="s">
        <v>0</v>
      </c>
      <c r="G733" s="46"/>
      <c r="H733" s="83" t="s">
        <v>2</v>
      </c>
      <c r="I733" s="81" t="s">
        <v>2068</v>
      </c>
      <c r="K733" s="76" t="s">
        <v>2069</v>
      </c>
    </row>
    <row r="734" spans="1:27" s="77" customFormat="1" ht="15.75" customHeight="1">
      <c r="A734" s="37" t="s">
        <v>1861</v>
      </c>
      <c r="B734" s="87" t="s">
        <v>1862</v>
      </c>
      <c r="C734" s="79">
        <v>44647</v>
      </c>
      <c r="D734" s="80">
        <v>44793</v>
      </c>
      <c r="E734" s="41">
        <f>D734-C734</f>
        <v>146</v>
      </c>
      <c r="F734" s="43" t="s">
        <v>0</v>
      </c>
      <c r="G734" s="81" t="s">
        <v>70</v>
      </c>
      <c r="H734" s="81" t="s">
        <v>11</v>
      </c>
      <c r="I734" s="81"/>
      <c r="J734" s="87"/>
      <c r="K734" s="76" t="s">
        <v>1863</v>
      </c>
      <c r="L734" s="87"/>
      <c r="M734" s="87"/>
    </row>
    <row r="735" spans="1:27" s="77" customFormat="1" ht="15.75" customHeight="1">
      <c r="A735" s="37" t="s">
        <v>2308</v>
      </c>
      <c r="B735" s="87" t="s">
        <v>2309</v>
      </c>
      <c r="C735" s="79">
        <v>44696</v>
      </c>
      <c r="D735" s="80">
        <v>44842</v>
      </c>
      <c r="E735" s="41">
        <f>D735-C735</f>
        <v>146</v>
      </c>
      <c r="F735" s="43" t="s">
        <v>705</v>
      </c>
      <c r="G735" s="81"/>
      <c r="H735" s="83" t="s">
        <v>2</v>
      </c>
      <c r="I735" s="81"/>
      <c r="J735" s="87"/>
      <c r="K735" s="87"/>
      <c r="L735" s="87"/>
      <c r="M735" s="87"/>
    </row>
    <row r="736" spans="1:27" s="77" customFormat="1" ht="15.75" customHeight="1">
      <c r="A736" s="87" t="s">
        <v>2401</v>
      </c>
      <c r="B736" s="87" t="s">
        <v>2402</v>
      </c>
      <c r="C736" s="79">
        <v>44780</v>
      </c>
      <c r="D736" s="40">
        <v>44926</v>
      </c>
      <c r="E736" s="41">
        <f>D736-C736</f>
        <v>146</v>
      </c>
      <c r="F736" s="46" t="s">
        <v>2317</v>
      </c>
      <c r="G736" s="81"/>
      <c r="H736" s="83" t="s">
        <v>2</v>
      </c>
      <c r="I736" s="81"/>
      <c r="J736" s="87"/>
      <c r="K736" s="76"/>
      <c r="L736" s="87"/>
      <c r="M736" s="87"/>
    </row>
    <row r="737" spans="1:27" s="77" customFormat="1" ht="15.75" customHeight="1">
      <c r="A737" s="42" t="s">
        <v>653</v>
      </c>
      <c r="B737" s="38" t="s">
        <v>653</v>
      </c>
      <c r="C737" s="39">
        <v>43449</v>
      </c>
      <c r="D737" s="39">
        <v>43596</v>
      </c>
      <c r="E737" s="47">
        <f>D737-C737</f>
        <v>147</v>
      </c>
      <c r="F737" s="45" t="s">
        <v>511</v>
      </c>
      <c r="G737" s="45"/>
      <c r="H737" s="45"/>
      <c r="I737" s="45"/>
      <c r="J737" s="42"/>
      <c r="K737" s="42"/>
      <c r="L737"/>
      <c r="M737"/>
    </row>
    <row r="738" spans="1:27" s="77" customFormat="1" ht="15.75" customHeight="1">
      <c r="A738" s="37" t="s">
        <v>988</v>
      </c>
      <c r="B738" s="42" t="s">
        <v>1085</v>
      </c>
      <c r="C738" s="39">
        <v>44308</v>
      </c>
      <c r="D738" s="80">
        <v>44457</v>
      </c>
      <c r="E738" s="41">
        <f>D738-C738</f>
        <v>149</v>
      </c>
      <c r="F738" s="43" t="s">
        <v>0</v>
      </c>
      <c r="G738" s="45" t="s">
        <v>995</v>
      </c>
      <c r="H738" s="46"/>
      <c r="I738" s="46"/>
      <c r="K738" s="76" t="s">
        <v>1086</v>
      </c>
    </row>
    <row r="739" spans="1:27" s="77" customFormat="1" ht="15.75" customHeight="1">
      <c r="A739" s="82" t="s">
        <v>2247</v>
      </c>
      <c r="B739" s="82" t="s">
        <v>2248</v>
      </c>
      <c r="C739" s="79">
        <v>44606</v>
      </c>
      <c r="D739" s="80">
        <v>44755</v>
      </c>
      <c r="E739" s="41">
        <f>D739-C739</f>
        <v>149</v>
      </c>
      <c r="F739" s="48" t="s">
        <v>174</v>
      </c>
      <c r="G739" s="46"/>
      <c r="H739" s="83" t="s">
        <v>2</v>
      </c>
      <c r="I739" s="81" t="s">
        <v>21</v>
      </c>
    </row>
    <row r="740" spans="1:27" s="77" customFormat="1" ht="15.75" customHeight="1">
      <c r="A740" s="42" t="s">
        <v>54</v>
      </c>
      <c r="B740" s="38" t="s">
        <v>771</v>
      </c>
      <c r="C740" s="39">
        <v>43544</v>
      </c>
      <c r="D740" s="39">
        <v>43695</v>
      </c>
      <c r="E740" s="47">
        <f>D740-C740</f>
        <v>151</v>
      </c>
      <c r="F740" s="43" t="s">
        <v>0</v>
      </c>
      <c r="G740"/>
      <c r="H740"/>
      <c r="I740" s="45" t="s">
        <v>2862</v>
      </c>
      <c r="J740" s="42"/>
      <c r="K740" s="42"/>
      <c r="L740"/>
      <c r="M740"/>
    </row>
    <row r="741" spans="1:27" s="77" customFormat="1" ht="15.75" customHeight="1">
      <c r="A741" s="37" t="s">
        <v>1034</v>
      </c>
      <c r="B741" s="42" t="s">
        <v>1035</v>
      </c>
      <c r="C741" s="39">
        <v>43732</v>
      </c>
      <c r="D741" s="40">
        <v>43883</v>
      </c>
      <c r="E741" s="47">
        <f>D741-C741</f>
        <v>151</v>
      </c>
      <c r="F741" s="48" t="s">
        <v>854</v>
      </c>
      <c r="G741" s="45"/>
      <c r="H741" s="45"/>
      <c r="I741" s="45"/>
      <c r="J741" s="42"/>
      <c r="K741" s="42"/>
      <c r="L741" s="42"/>
      <c r="M741" s="42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spans="1:27" s="77" customFormat="1" ht="15.75" customHeight="1">
      <c r="A742" s="37" t="s">
        <v>1465</v>
      </c>
      <c r="B742" s="42" t="s">
        <v>1466</v>
      </c>
      <c r="C742" s="39">
        <v>44004</v>
      </c>
      <c r="D742" s="40">
        <v>44155</v>
      </c>
      <c r="E742" s="41">
        <f>D742-C742</f>
        <v>151</v>
      </c>
      <c r="F742" s="43" t="s">
        <v>1413</v>
      </c>
      <c r="G742" s="45" t="s">
        <v>1</v>
      </c>
      <c r="H742" s="46"/>
      <c r="I742" s="46"/>
      <c r="J742" s="37"/>
      <c r="K742" s="37"/>
      <c r="L742" s="42" t="s">
        <v>1467</v>
      </c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spans="1:27" s="77" customFormat="1" ht="15.75" customHeight="1">
      <c r="A743" s="77" t="s">
        <v>2151</v>
      </c>
      <c r="B743" s="82" t="s">
        <v>2152</v>
      </c>
      <c r="C743" s="79">
        <v>44516</v>
      </c>
      <c r="D743" s="80">
        <v>44668</v>
      </c>
      <c r="E743" s="41">
        <f>D743-C743</f>
        <v>152</v>
      </c>
      <c r="F743" s="43" t="s">
        <v>0</v>
      </c>
      <c r="G743" s="81" t="s">
        <v>995</v>
      </c>
      <c r="H743" s="83" t="s">
        <v>2</v>
      </c>
      <c r="I743" s="46"/>
      <c r="K743" s="76" t="s">
        <v>2153</v>
      </c>
    </row>
    <row r="744" spans="1:27" s="77" customFormat="1" ht="15.75" customHeight="1">
      <c r="A744" s="75" t="s">
        <v>2275</v>
      </c>
      <c r="B744" s="75" t="s">
        <v>2368</v>
      </c>
      <c r="C744" s="79">
        <v>44743</v>
      </c>
      <c r="D744" s="80">
        <v>44895</v>
      </c>
      <c r="E744" s="41">
        <f>D744-C744</f>
        <v>152</v>
      </c>
      <c r="F744" s="43" t="s">
        <v>0</v>
      </c>
      <c r="G744" s="81"/>
      <c r="H744" s="47" t="s">
        <v>11</v>
      </c>
      <c r="I744" s="81"/>
      <c r="J744" s="87"/>
      <c r="K744" s="87"/>
      <c r="L744" s="87"/>
      <c r="M744" s="87"/>
    </row>
    <row r="745" spans="1:27" s="77" customFormat="1" ht="15.75" customHeight="1">
      <c r="A745" s="69" t="s">
        <v>975</v>
      </c>
      <c r="B745" s="56" t="s">
        <v>976</v>
      </c>
      <c r="C745" s="61">
        <v>43688</v>
      </c>
      <c r="D745" s="61">
        <v>43841</v>
      </c>
      <c r="E745" s="47">
        <f>D745-C745</f>
        <v>153</v>
      </c>
      <c r="F745" s="62" t="s">
        <v>0</v>
      </c>
      <c r="G745" s="55" t="s">
        <v>336</v>
      </c>
      <c r="H745" s="55"/>
      <c r="I745" s="55" t="s">
        <v>954</v>
      </c>
      <c r="J745"/>
      <c r="K745"/>
      <c r="L745"/>
      <c r="M745"/>
    </row>
    <row r="746" spans="1:27" s="77" customFormat="1" ht="15.75" customHeight="1">
      <c r="A746" s="37" t="s">
        <v>1013</v>
      </c>
      <c r="B746" s="42" t="s">
        <v>1014</v>
      </c>
      <c r="C746" s="39">
        <v>44032</v>
      </c>
      <c r="D746" s="40">
        <v>44185</v>
      </c>
      <c r="E746" s="41">
        <f>D746-C746</f>
        <v>153</v>
      </c>
      <c r="F746" s="43" t="s">
        <v>0</v>
      </c>
      <c r="G746" s="46"/>
      <c r="H746" s="46"/>
      <c r="I746" s="45" t="s">
        <v>1450</v>
      </c>
      <c r="J746" s="75"/>
      <c r="K746" s="75"/>
      <c r="L746" s="42" t="s">
        <v>1503</v>
      </c>
      <c r="M746" s="75"/>
    </row>
    <row r="747" spans="1:27" s="77" customFormat="1" ht="15.75" customHeight="1">
      <c r="A747" s="77" t="s">
        <v>1811</v>
      </c>
      <c r="B747" s="75" t="s">
        <v>1812</v>
      </c>
      <c r="C747" s="79">
        <v>44296</v>
      </c>
      <c r="D747" s="80">
        <v>44449</v>
      </c>
      <c r="E747" s="41">
        <f>D747-C747</f>
        <v>153</v>
      </c>
      <c r="F747" s="43" t="s">
        <v>0</v>
      </c>
      <c r="G747" s="46"/>
      <c r="H747" s="46"/>
      <c r="I747" s="46"/>
    </row>
    <row r="748" spans="1:27" s="77" customFormat="1" ht="15.75" customHeight="1">
      <c r="A748" s="77" t="s">
        <v>1754</v>
      </c>
      <c r="B748" s="75" t="s">
        <v>1755</v>
      </c>
      <c r="C748" s="79">
        <v>44248</v>
      </c>
      <c r="D748" s="80">
        <v>44402</v>
      </c>
      <c r="E748" s="41">
        <f>D748-C748</f>
        <v>154</v>
      </c>
      <c r="F748" s="83" t="s">
        <v>1756</v>
      </c>
      <c r="G748" s="81" t="s">
        <v>1</v>
      </c>
      <c r="H748" s="46"/>
      <c r="I748" s="46"/>
      <c r="K748" s="76" t="s">
        <v>1757</v>
      </c>
    </row>
    <row r="749" spans="1:27" s="77" customFormat="1" ht="15.75" customHeight="1">
      <c r="A749" s="37" t="s">
        <v>2863</v>
      </c>
      <c r="B749" s="38" t="s">
        <v>392</v>
      </c>
      <c r="C749" s="39">
        <v>43488</v>
      </c>
      <c r="D749" s="39">
        <v>43643</v>
      </c>
      <c r="E749" s="47">
        <f>D749-C749</f>
        <v>155</v>
      </c>
      <c r="F749" s="43" t="s">
        <v>0</v>
      </c>
      <c r="G749" s="45" t="s">
        <v>709</v>
      </c>
      <c r="H749" s="45"/>
      <c r="I749" s="44"/>
      <c r="J749" s="1"/>
      <c r="K749" s="1"/>
      <c r="L749"/>
      <c r="M749"/>
    </row>
    <row r="750" spans="1:27" s="77" customFormat="1" ht="15.75" customHeight="1">
      <c r="A750" s="37" t="s">
        <v>1434</v>
      </c>
      <c r="B750" s="42" t="s">
        <v>1435</v>
      </c>
      <c r="C750" s="39">
        <v>43979</v>
      </c>
      <c r="D750" s="40">
        <v>44134</v>
      </c>
      <c r="E750" s="41">
        <f>D750-C750</f>
        <v>155</v>
      </c>
      <c r="F750" s="48" t="s">
        <v>1436</v>
      </c>
      <c r="G750" s="45" t="s">
        <v>33</v>
      </c>
      <c r="H750" s="46"/>
      <c r="I750" s="46"/>
      <c r="J750" s="37"/>
      <c r="K750" s="37"/>
      <c r="L750" s="37"/>
      <c r="M750" s="37"/>
    </row>
    <row r="751" spans="1:27" s="77" customFormat="1" ht="15.75" customHeight="1">
      <c r="A751" s="87" t="s">
        <v>2374</v>
      </c>
      <c r="B751" s="87" t="s">
        <v>2375</v>
      </c>
      <c r="C751" s="79">
        <v>44743</v>
      </c>
      <c r="D751" s="80">
        <v>44898</v>
      </c>
      <c r="E751" s="41">
        <f>D751-C751</f>
        <v>155</v>
      </c>
      <c r="F751" s="83" t="s">
        <v>309</v>
      </c>
      <c r="G751" s="87"/>
      <c r="H751" s="47" t="s">
        <v>11</v>
      </c>
      <c r="I751" s="87"/>
      <c r="J751" s="87"/>
      <c r="K751" s="87"/>
      <c r="L751" s="87"/>
      <c r="M751" s="87"/>
    </row>
    <row r="752" spans="1:27" s="77" customFormat="1" ht="15.75" customHeight="1">
      <c r="A752" s="37" t="s">
        <v>2080</v>
      </c>
      <c r="B752" s="87" t="s">
        <v>2081</v>
      </c>
      <c r="C752" s="39">
        <v>44749</v>
      </c>
      <c r="D752" s="80">
        <v>44904</v>
      </c>
      <c r="E752" s="41">
        <f>D752-C752</f>
        <v>155</v>
      </c>
      <c r="F752" s="43" t="s">
        <v>0</v>
      </c>
      <c r="G752" s="81" t="s">
        <v>2380</v>
      </c>
      <c r="H752" s="41" t="s">
        <v>11</v>
      </c>
      <c r="I752" s="81"/>
      <c r="J752" s="87"/>
      <c r="K752" s="87"/>
      <c r="L752" s="87"/>
      <c r="M752" s="87"/>
    </row>
    <row r="753" spans="1:13" s="77" customFormat="1" ht="15.75" customHeight="1">
      <c r="A753" s="37" t="s">
        <v>1549</v>
      </c>
      <c r="B753" s="42" t="s">
        <v>1550</v>
      </c>
      <c r="C753" s="39">
        <v>44095</v>
      </c>
      <c r="D753" s="40">
        <v>44251</v>
      </c>
      <c r="E753" s="41">
        <f>D753-C753</f>
        <v>156</v>
      </c>
      <c r="F753" s="43" t="s">
        <v>1530</v>
      </c>
      <c r="G753" s="46"/>
      <c r="H753" s="46"/>
      <c r="I753" s="46"/>
    </row>
    <row r="754" spans="1:13" s="77" customFormat="1" ht="15.75" customHeight="1">
      <c r="A754" s="77" t="s">
        <v>1709</v>
      </c>
      <c r="B754" s="75" t="s">
        <v>1710</v>
      </c>
      <c r="C754" s="79">
        <v>44216</v>
      </c>
      <c r="D754" s="80">
        <v>44372</v>
      </c>
      <c r="E754" s="41">
        <f>D754-C754</f>
        <v>156</v>
      </c>
      <c r="F754" s="43" t="s">
        <v>0</v>
      </c>
      <c r="G754" s="46"/>
      <c r="H754" s="46"/>
      <c r="I754" s="81" t="s">
        <v>1711</v>
      </c>
      <c r="K754" s="76" t="s">
        <v>1712</v>
      </c>
    </row>
    <row r="755" spans="1:13" s="77" customFormat="1" ht="15.75" customHeight="1">
      <c r="A755" s="42" t="s">
        <v>730</v>
      </c>
      <c r="B755" s="38" t="s">
        <v>731</v>
      </c>
      <c r="C755" s="39">
        <v>43502</v>
      </c>
      <c r="D755" s="39">
        <v>43659</v>
      </c>
      <c r="E755" s="47">
        <f>D755-C755</f>
        <v>157</v>
      </c>
      <c r="F755" s="43" t="s">
        <v>0</v>
      </c>
      <c r="G755" s="45" t="s">
        <v>33</v>
      </c>
      <c r="H755" s="45"/>
      <c r="I755" s="45"/>
      <c r="J755" s="42"/>
      <c r="K755" s="42"/>
      <c r="L755"/>
      <c r="M755"/>
    </row>
    <row r="756" spans="1:13" s="77" customFormat="1" ht="15.75" customHeight="1">
      <c r="A756" s="37" t="s">
        <v>1093</v>
      </c>
      <c r="B756" s="42" t="s">
        <v>1269</v>
      </c>
      <c r="C756" s="39">
        <v>43838</v>
      </c>
      <c r="D756" s="40">
        <v>43995</v>
      </c>
      <c r="E756" s="41">
        <f>D756-C756</f>
        <v>157</v>
      </c>
      <c r="F756" s="43" t="s">
        <v>0</v>
      </c>
      <c r="G756" s="45"/>
      <c r="H756" s="45"/>
      <c r="I756" s="45"/>
      <c r="J756" s="37"/>
      <c r="K756" s="53" t="s">
        <v>1270</v>
      </c>
      <c r="L756" s="42" t="s">
        <v>1271</v>
      </c>
      <c r="M756" s="37"/>
    </row>
    <row r="757" spans="1:13" s="77" customFormat="1" ht="15.75" customHeight="1">
      <c r="A757" s="37" t="s">
        <v>1286</v>
      </c>
      <c r="B757" s="42" t="s">
        <v>1287</v>
      </c>
      <c r="C757" s="39">
        <v>44433</v>
      </c>
      <c r="D757" s="39">
        <v>44590</v>
      </c>
      <c r="E757" s="41">
        <f>D757-C757</f>
        <v>157</v>
      </c>
      <c r="F757" s="43" t="s">
        <v>0</v>
      </c>
      <c r="G757" s="45" t="s">
        <v>33</v>
      </c>
      <c r="H757" s="41" t="s">
        <v>2</v>
      </c>
      <c r="I757" s="46"/>
      <c r="J757" s="37"/>
      <c r="K757" s="53" t="s">
        <v>1288</v>
      </c>
      <c r="L757" s="37"/>
      <c r="M757" s="37"/>
    </row>
    <row r="758" spans="1:13" s="77" customFormat="1" ht="15.75" customHeight="1">
      <c r="A758" s="57" t="s">
        <v>734</v>
      </c>
      <c r="B758" s="42" t="s">
        <v>953</v>
      </c>
      <c r="C758" s="39">
        <v>43662</v>
      </c>
      <c r="D758" s="39">
        <v>43820</v>
      </c>
      <c r="E758" s="47">
        <f>D758-C758</f>
        <v>158</v>
      </c>
      <c r="F758" s="43" t="s">
        <v>54</v>
      </c>
      <c r="G758" s="45" t="s">
        <v>33</v>
      </c>
      <c r="H758" s="45"/>
      <c r="I758" s="45" t="s">
        <v>954</v>
      </c>
      <c r="J758" s="42"/>
      <c r="K758" s="42"/>
      <c r="L758" s="42"/>
      <c r="M758" s="42"/>
    </row>
    <row r="759" spans="1:13" s="77" customFormat="1" ht="15.75" customHeight="1">
      <c r="A759" s="37" t="s">
        <v>1319</v>
      </c>
      <c r="B759" s="42" t="s">
        <v>1320</v>
      </c>
      <c r="C759" s="39">
        <v>43865</v>
      </c>
      <c r="D759" s="39">
        <v>44023</v>
      </c>
      <c r="E759" s="41">
        <f>D759-C759</f>
        <v>158</v>
      </c>
      <c r="F759" s="43" t="s">
        <v>0</v>
      </c>
      <c r="G759" s="45" t="s">
        <v>70</v>
      </c>
      <c r="H759" s="46"/>
      <c r="I759" s="46"/>
      <c r="J759" s="37"/>
      <c r="K759" s="53" t="s">
        <v>1321</v>
      </c>
      <c r="L759" s="37"/>
      <c r="M759" s="37"/>
    </row>
    <row r="760" spans="1:13" s="77" customFormat="1" ht="15.75" customHeight="1">
      <c r="A760" s="77" t="s">
        <v>1861</v>
      </c>
      <c r="B760" s="82" t="s">
        <v>1862</v>
      </c>
      <c r="C760" s="79">
        <v>44327</v>
      </c>
      <c r="D760" s="80">
        <v>44486</v>
      </c>
      <c r="E760" s="41">
        <f>D760-C760</f>
        <v>159</v>
      </c>
      <c r="F760" s="43" t="s">
        <v>0</v>
      </c>
      <c r="G760" s="46"/>
      <c r="H760" s="46"/>
      <c r="I760" s="46"/>
      <c r="K760" s="76" t="s">
        <v>1863</v>
      </c>
    </row>
    <row r="761" spans="1:13" s="77" customFormat="1" ht="15.75" customHeight="1">
      <c r="A761" s="37" t="s">
        <v>498</v>
      </c>
      <c r="B761" s="38" t="s">
        <v>499</v>
      </c>
      <c r="C761" s="39">
        <v>43346</v>
      </c>
      <c r="D761" s="39">
        <v>43506</v>
      </c>
      <c r="E761" s="47">
        <f>D761-C761</f>
        <v>160</v>
      </c>
      <c r="F761" s="45"/>
      <c r="G761" s="45"/>
      <c r="H761" s="45"/>
      <c r="I761" s="45"/>
      <c r="J761" s="42"/>
      <c r="K761" s="42"/>
      <c r="L761"/>
      <c r="M761"/>
    </row>
    <row r="762" spans="1:13" s="77" customFormat="1" ht="15.75" customHeight="1">
      <c r="A762" s="37" t="s">
        <v>943</v>
      </c>
      <c r="B762" s="38" t="s">
        <v>944</v>
      </c>
      <c r="C762" s="39">
        <v>43653</v>
      </c>
      <c r="D762" s="39">
        <v>43813</v>
      </c>
      <c r="E762" s="47">
        <f>D762-C762</f>
        <v>160</v>
      </c>
      <c r="F762" s="43" t="s">
        <v>0</v>
      </c>
      <c r="G762" s="45"/>
      <c r="H762" s="45"/>
      <c r="I762" s="45"/>
      <c r="J762" s="42"/>
      <c r="K762" s="42"/>
      <c r="L762" s="42"/>
      <c r="M762" s="42"/>
    </row>
    <row r="763" spans="1:13" s="77" customFormat="1" ht="15.75" customHeight="1">
      <c r="A763" s="37" t="s">
        <v>561</v>
      </c>
      <c r="B763" s="38" t="s">
        <v>562</v>
      </c>
      <c r="C763" s="39">
        <v>43379</v>
      </c>
      <c r="D763" s="39">
        <v>43540</v>
      </c>
      <c r="E763" s="47">
        <f>D763-C763</f>
        <v>161</v>
      </c>
      <c r="F763" s="43" t="s">
        <v>0</v>
      </c>
      <c r="G763" s="45" t="s">
        <v>70</v>
      </c>
      <c r="H763" s="45"/>
      <c r="I763" s="46" t="s">
        <v>455</v>
      </c>
      <c r="J763" s="42"/>
      <c r="K763" s="42"/>
      <c r="L763"/>
      <c r="M763"/>
    </row>
    <row r="764" spans="1:13" s="77" customFormat="1" ht="15.75" customHeight="1">
      <c r="A764" s="37" t="s">
        <v>624</v>
      </c>
      <c r="B764" s="38" t="s">
        <v>625</v>
      </c>
      <c r="C764" s="39">
        <v>43421</v>
      </c>
      <c r="D764" s="39">
        <v>43582</v>
      </c>
      <c r="E764" s="47">
        <f>D764-C764</f>
        <v>161</v>
      </c>
      <c r="F764" s="43" t="s">
        <v>475</v>
      </c>
      <c r="G764" s="45" t="s">
        <v>33</v>
      </c>
      <c r="H764" s="45"/>
      <c r="I764" s="45"/>
      <c r="J764" s="42"/>
      <c r="K764" s="53" t="s">
        <v>626</v>
      </c>
      <c r="L764"/>
      <c r="M764"/>
    </row>
    <row r="765" spans="1:13" s="77" customFormat="1" ht="15.75" customHeight="1">
      <c r="A765" s="77" t="s">
        <v>2214</v>
      </c>
      <c r="B765" s="82" t="s">
        <v>2215</v>
      </c>
      <c r="C765" s="79">
        <v>44569</v>
      </c>
      <c r="D765" s="80">
        <v>44730</v>
      </c>
      <c r="E765" s="41">
        <f>D765-C765</f>
        <v>161</v>
      </c>
      <c r="F765" s="48" t="s">
        <v>219</v>
      </c>
      <c r="G765" s="46"/>
      <c r="H765" s="83" t="s">
        <v>11</v>
      </c>
      <c r="I765" s="81" t="s">
        <v>2036</v>
      </c>
    </row>
    <row r="766" spans="1:13" s="77" customFormat="1" ht="15.75" customHeight="1">
      <c r="A766" s="87" t="s">
        <v>2397</v>
      </c>
      <c r="B766" s="87" t="s">
        <v>2398</v>
      </c>
      <c r="C766" s="79">
        <v>44757</v>
      </c>
      <c r="D766" s="80">
        <v>44919</v>
      </c>
      <c r="E766" s="41">
        <f>D766-C766</f>
        <v>162</v>
      </c>
      <c r="F766" s="43" t="s">
        <v>0</v>
      </c>
      <c r="G766" s="81"/>
      <c r="H766" s="83" t="s">
        <v>2</v>
      </c>
      <c r="I766" s="81"/>
      <c r="J766" s="87"/>
      <c r="K766" s="87"/>
      <c r="L766" s="87"/>
      <c r="M766" s="87"/>
    </row>
    <row r="767" spans="1:13" s="77" customFormat="1" ht="15.75" customHeight="1">
      <c r="A767" s="42" t="s">
        <v>500</v>
      </c>
      <c r="B767" s="38" t="s">
        <v>500</v>
      </c>
      <c r="C767" s="39">
        <v>43345</v>
      </c>
      <c r="D767" s="39">
        <v>43508</v>
      </c>
      <c r="E767" s="47">
        <f>D767-C767</f>
        <v>163</v>
      </c>
      <c r="F767" s="45"/>
      <c r="G767" s="45" t="s">
        <v>501</v>
      </c>
      <c r="H767" s="45"/>
      <c r="I767" s="45"/>
      <c r="J767" s="42"/>
      <c r="K767" s="53" t="s">
        <v>502</v>
      </c>
      <c r="L767"/>
      <c r="M767"/>
    </row>
    <row r="768" spans="1:13" s="77" customFormat="1" ht="15.75" customHeight="1">
      <c r="A768" s="82" t="s">
        <v>2222</v>
      </c>
      <c r="B768" s="82" t="s">
        <v>2223</v>
      </c>
      <c r="C768" s="39">
        <v>44573</v>
      </c>
      <c r="D768" s="80">
        <v>44736</v>
      </c>
      <c r="E768" s="41">
        <f>D768-C768</f>
        <v>163</v>
      </c>
      <c r="F768" s="43" t="s">
        <v>0</v>
      </c>
      <c r="G768" s="46"/>
      <c r="H768" s="83" t="s">
        <v>2</v>
      </c>
      <c r="I768" s="81" t="s">
        <v>85</v>
      </c>
    </row>
    <row r="769" spans="1:27" s="77" customFormat="1" ht="15.75" customHeight="1">
      <c r="A769" s="87" t="s">
        <v>2321</v>
      </c>
      <c r="B769" s="87" t="s">
        <v>2321</v>
      </c>
      <c r="C769" s="79">
        <v>44728</v>
      </c>
      <c r="D769" s="80">
        <v>44891</v>
      </c>
      <c r="E769" s="41">
        <f>D769-C769</f>
        <v>163</v>
      </c>
      <c r="F769" s="83" t="s">
        <v>63</v>
      </c>
      <c r="G769" s="81" t="s">
        <v>2367</v>
      </c>
      <c r="H769" s="83" t="s">
        <v>11</v>
      </c>
      <c r="I769" s="81"/>
      <c r="J769" s="87"/>
      <c r="K769" s="87"/>
      <c r="L769" s="87"/>
      <c r="M769" s="87"/>
    </row>
    <row r="770" spans="1:27" s="77" customFormat="1" ht="15.75" customHeight="1">
      <c r="A770" s="37" t="s">
        <v>543</v>
      </c>
      <c r="B770" s="38" t="s">
        <v>464</v>
      </c>
      <c r="C770" s="39">
        <v>43368</v>
      </c>
      <c r="D770" s="39">
        <v>43532</v>
      </c>
      <c r="E770" s="47">
        <f>D770-C770</f>
        <v>164</v>
      </c>
      <c r="F770" s="46" t="s">
        <v>544</v>
      </c>
      <c r="G770" s="45" t="s">
        <v>545</v>
      </c>
      <c r="H770" s="45"/>
      <c r="I770" s="45"/>
      <c r="J770" s="42"/>
      <c r="K770" s="42"/>
      <c r="L770"/>
      <c r="M770"/>
    </row>
    <row r="771" spans="1:27" s="77" customFormat="1" ht="15.75" customHeight="1">
      <c r="A771" s="37" t="s">
        <v>770</v>
      </c>
      <c r="B771" s="38" t="s">
        <v>908</v>
      </c>
      <c r="C771" s="39">
        <v>43627</v>
      </c>
      <c r="D771" s="39">
        <v>43791</v>
      </c>
      <c r="E771" s="47">
        <f>D771-C771</f>
        <v>164</v>
      </c>
      <c r="F771" s="43" t="s">
        <v>54</v>
      </c>
      <c r="G771" s="45" t="s">
        <v>1</v>
      </c>
      <c r="H771" s="45"/>
      <c r="I771" s="44"/>
      <c r="J771" s="1"/>
      <c r="K771" s="1"/>
      <c r="L771"/>
      <c r="M771"/>
    </row>
    <row r="772" spans="1:27" s="77" customFormat="1" ht="15.75" customHeight="1">
      <c r="A772" s="42" t="s">
        <v>1454</v>
      </c>
      <c r="B772" s="42" t="s">
        <v>1455</v>
      </c>
      <c r="C772" s="39">
        <v>43987</v>
      </c>
      <c r="D772" s="40">
        <v>44151</v>
      </c>
      <c r="E772" s="41">
        <f>D772-C772</f>
        <v>164</v>
      </c>
      <c r="F772" s="43" t="s">
        <v>0</v>
      </c>
      <c r="G772" s="45" t="s">
        <v>995</v>
      </c>
      <c r="H772" s="46"/>
      <c r="I772" s="46"/>
      <c r="J772" s="37"/>
      <c r="K772" s="37"/>
      <c r="L772" s="42" t="s">
        <v>1456</v>
      </c>
      <c r="M772" s="37"/>
    </row>
    <row r="773" spans="1:27" s="77" customFormat="1" ht="15.75" customHeight="1">
      <c r="A773" s="42" t="s">
        <v>580</v>
      </c>
      <c r="B773" s="38" t="s">
        <v>581</v>
      </c>
      <c r="C773" s="39">
        <v>43386</v>
      </c>
      <c r="D773" s="40">
        <v>43551</v>
      </c>
      <c r="E773" s="47">
        <f>D773-C773</f>
        <v>165</v>
      </c>
      <c r="F773" s="46" t="s">
        <v>498</v>
      </c>
      <c r="G773" s="54" t="s">
        <v>582</v>
      </c>
      <c r="H773" s="46"/>
      <c r="I773" s="45"/>
      <c r="J773" s="42"/>
      <c r="K773" s="42"/>
      <c r="L773"/>
      <c r="M773"/>
    </row>
    <row r="774" spans="1:27" s="77" customFormat="1" ht="15.75" customHeight="1">
      <c r="A774" s="42" t="s">
        <v>869</v>
      </c>
      <c r="B774" s="38" t="s">
        <v>869</v>
      </c>
      <c r="C774" s="39">
        <v>43620</v>
      </c>
      <c r="D774" s="39">
        <v>43785</v>
      </c>
      <c r="E774" s="47">
        <f>D774-C774</f>
        <v>165</v>
      </c>
      <c r="F774" s="43" t="s">
        <v>0</v>
      </c>
      <c r="G774" s="45"/>
      <c r="H774" s="45"/>
      <c r="I774" s="45"/>
      <c r="J774" s="42"/>
      <c r="K774" s="42"/>
      <c r="L774"/>
      <c r="M774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spans="1:27" s="77" customFormat="1" ht="15.75" customHeight="1">
      <c r="A775" s="82" t="s">
        <v>2224</v>
      </c>
      <c r="B775" s="82" t="s">
        <v>2225</v>
      </c>
      <c r="C775" s="79">
        <v>44572</v>
      </c>
      <c r="D775" s="80">
        <v>44737</v>
      </c>
      <c r="E775" s="41">
        <f>D775-C775</f>
        <v>165</v>
      </c>
      <c r="F775" s="83" t="s">
        <v>196</v>
      </c>
      <c r="G775" s="81" t="s">
        <v>26</v>
      </c>
      <c r="H775" s="83" t="s">
        <v>2</v>
      </c>
      <c r="I775" s="81" t="s">
        <v>1595</v>
      </c>
    </row>
    <row r="776" spans="1:27" s="77" customFormat="1" ht="15.75" customHeight="1">
      <c r="A776" s="42" t="s">
        <v>514</v>
      </c>
      <c r="B776" s="38" t="s">
        <v>514</v>
      </c>
      <c r="C776" s="39">
        <v>43346</v>
      </c>
      <c r="D776" s="39">
        <v>43512</v>
      </c>
      <c r="E776" s="47">
        <f>D776-C776</f>
        <v>166</v>
      </c>
      <c r="F776" s="45"/>
      <c r="G776" s="45"/>
      <c r="H776" s="45"/>
      <c r="I776" s="45"/>
      <c r="J776" s="42"/>
      <c r="K776" s="42"/>
      <c r="L776"/>
      <c r="M776"/>
    </row>
    <row r="777" spans="1:27" s="77" customFormat="1" ht="15.75" customHeight="1">
      <c r="A777" s="42" t="s">
        <v>859</v>
      </c>
      <c r="B777" s="38" t="s">
        <v>860</v>
      </c>
      <c r="C777" s="39">
        <v>43576</v>
      </c>
      <c r="D777" s="39">
        <v>43744</v>
      </c>
      <c r="E777" s="47">
        <f>D777-C777</f>
        <v>168</v>
      </c>
      <c r="F777" s="43" t="s">
        <v>54</v>
      </c>
      <c r="G777" s="45" t="s">
        <v>1</v>
      </c>
      <c r="H777" s="45"/>
      <c r="I777" s="45"/>
      <c r="J777" s="42"/>
      <c r="K777" s="42"/>
      <c r="L777"/>
      <c r="M777"/>
    </row>
    <row r="778" spans="1:27" s="77" customFormat="1" ht="15.75" customHeight="1">
      <c r="A778" s="37" t="s">
        <v>888</v>
      </c>
      <c r="B778" s="38" t="s">
        <v>889</v>
      </c>
      <c r="C778" s="39">
        <v>43603</v>
      </c>
      <c r="D778" s="39">
        <v>43771</v>
      </c>
      <c r="E778" s="47">
        <f>D778-C778</f>
        <v>168</v>
      </c>
      <c r="F778" s="43" t="s">
        <v>54</v>
      </c>
      <c r="G778" s="45" t="s">
        <v>43</v>
      </c>
      <c r="H778" s="45"/>
      <c r="I778" s="45" t="s">
        <v>817</v>
      </c>
      <c r="J778" s="42"/>
      <c r="K778" s="42"/>
      <c r="L778"/>
      <c r="M778"/>
    </row>
    <row r="779" spans="1:27" s="77" customFormat="1" ht="15.75" customHeight="1">
      <c r="A779" s="82" t="s">
        <v>1930</v>
      </c>
      <c r="B779" s="82" t="s">
        <v>1931</v>
      </c>
      <c r="C779" s="79">
        <v>44359</v>
      </c>
      <c r="D779" s="80">
        <v>44527</v>
      </c>
      <c r="E779" s="41">
        <f>D779-C779</f>
        <v>168</v>
      </c>
      <c r="F779" s="48" t="s">
        <v>1322</v>
      </c>
      <c r="G779" s="81" t="s">
        <v>225</v>
      </c>
      <c r="H779" s="46"/>
      <c r="I779" s="46"/>
      <c r="K779" s="76" t="s">
        <v>1932</v>
      </c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spans="1:27" s="77" customFormat="1" ht="15.75" customHeight="1">
      <c r="A780" s="37" t="s">
        <v>989</v>
      </c>
      <c r="B780" s="42" t="s">
        <v>990</v>
      </c>
      <c r="C780" s="39">
        <v>43685</v>
      </c>
      <c r="D780" s="39">
        <v>43854</v>
      </c>
      <c r="E780" s="47">
        <f>D780-C780</f>
        <v>169</v>
      </c>
      <c r="F780" s="43" t="s">
        <v>991</v>
      </c>
      <c r="G780" s="45"/>
      <c r="H780" s="45"/>
      <c r="I780" s="45"/>
      <c r="J780" s="42"/>
      <c r="K780" s="42"/>
      <c r="L780" s="42"/>
      <c r="M780" s="42"/>
    </row>
    <row r="781" spans="1:27" s="77" customFormat="1" ht="15.75" customHeight="1">
      <c r="A781" s="77" t="s">
        <v>1665</v>
      </c>
      <c r="B781" s="75" t="s">
        <v>1666</v>
      </c>
      <c r="C781" s="39">
        <v>44175</v>
      </c>
      <c r="D781" s="40">
        <v>44344</v>
      </c>
      <c r="E781" s="41">
        <f>D781-C781</f>
        <v>169</v>
      </c>
      <c r="F781" s="43" t="s">
        <v>0</v>
      </c>
      <c r="G781" s="45" t="s">
        <v>26</v>
      </c>
      <c r="H781" s="46"/>
      <c r="I781" s="46"/>
      <c r="K781" s="76" t="s">
        <v>1667</v>
      </c>
    </row>
    <row r="782" spans="1:27" s="77" customFormat="1" ht="15.75" customHeight="1">
      <c r="A782" s="37" t="s">
        <v>1294</v>
      </c>
      <c r="B782" s="42" t="s">
        <v>1377</v>
      </c>
      <c r="C782" s="39">
        <v>43910</v>
      </c>
      <c r="D782" s="40">
        <v>44080</v>
      </c>
      <c r="E782" s="47">
        <f>D782-C782</f>
        <v>170</v>
      </c>
      <c r="F782" s="48" t="s">
        <v>1105</v>
      </c>
      <c r="G782" s="45" t="s">
        <v>33</v>
      </c>
      <c r="H782" s="46"/>
      <c r="I782" s="46"/>
      <c r="J782" s="37"/>
      <c r="K782" s="53" t="s">
        <v>1378</v>
      </c>
      <c r="L782" s="37"/>
      <c r="M782" s="37"/>
    </row>
    <row r="783" spans="1:27" s="77" customFormat="1" ht="15.75" customHeight="1">
      <c r="A783" s="37" t="s">
        <v>2310</v>
      </c>
      <c r="B783" s="87" t="s">
        <v>2311</v>
      </c>
      <c r="C783" s="79">
        <v>44676</v>
      </c>
      <c r="D783" s="80">
        <v>44846</v>
      </c>
      <c r="E783" s="41">
        <f>D783-C783</f>
        <v>170</v>
      </c>
      <c r="F783" s="83" t="s">
        <v>0</v>
      </c>
      <c r="G783" s="81" t="s">
        <v>26</v>
      </c>
      <c r="H783" s="83" t="s">
        <v>11</v>
      </c>
      <c r="I783" s="81"/>
      <c r="J783" s="87"/>
      <c r="K783" s="87"/>
      <c r="L783" s="87"/>
      <c r="M783" s="87"/>
    </row>
    <row r="784" spans="1:27" s="77" customFormat="1" ht="15.75" customHeight="1">
      <c r="A784" s="37" t="s">
        <v>1328</v>
      </c>
      <c r="B784" s="42" t="s">
        <v>1329</v>
      </c>
      <c r="C784" s="39">
        <v>43862</v>
      </c>
      <c r="D784" s="39">
        <v>44033</v>
      </c>
      <c r="E784" s="41">
        <f>D784-C784</f>
        <v>171</v>
      </c>
      <c r="F784" s="43" t="s">
        <v>0</v>
      </c>
      <c r="G784" s="45" t="s">
        <v>33</v>
      </c>
      <c r="H784" s="46"/>
      <c r="I784" s="46"/>
      <c r="J784" s="37"/>
      <c r="K784" s="53" t="s">
        <v>1330</v>
      </c>
      <c r="L784" s="37"/>
      <c r="M784" s="37"/>
    </row>
    <row r="785" spans="1:27" s="77" customFormat="1" ht="15.75" customHeight="1">
      <c r="A785" s="37" t="s">
        <v>1353</v>
      </c>
      <c r="B785" s="42" t="s">
        <v>1354</v>
      </c>
      <c r="C785" s="39">
        <v>44181</v>
      </c>
      <c r="D785" s="40">
        <v>44352</v>
      </c>
      <c r="E785" s="41">
        <f>D785-C785</f>
        <v>171</v>
      </c>
      <c r="F785" s="43" t="s">
        <v>0</v>
      </c>
      <c r="G785" s="45" t="s">
        <v>26</v>
      </c>
      <c r="H785" s="46"/>
      <c r="I785" s="46"/>
      <c r="J785" s="37"/>
      <c r="K785" s="37"/>
      <c r="L785" s="37"/>
      <c r="M785" s="37"/>
    </row>
    <row r="786" spans="1:27" s="77" customFormat="1" ht="15.75" customHeight="1">
      <c r="A786" s="82" t="s">
        <v>2119</v>
      </c>
      <c r="B786" s="82" t="s">
        <v>2120</v>
      </c>
      <c r="C786" s="79">
        <v>44482</v>
      </c>
      <c r="D786" s="80">
        <v>44653</v>
      </c>
      <c r="E786" s="41">
        <f>D786-C786</f>
        <v>171</v>
      </c>
      <c r="F786" s="43" t="s">
        <v>0</v>
      </c>
      <c r="G786" s="81" t="s">
        <v>33</v>
      </c>
      <c r="H786" s="83" t="s">
        <v>11</v>
      </c>
      <c r="I786" s="46"/>
      <c r="K786" s="76" t="s">
        <v>2121</v>
      </c>
    </row>
    <row r="787" spans="1:27" s="77" customFormat="1" ht="15.75" customHeight="1">
      <c r="A787" s="37" t="s">
        <v>1362</v>
      </c>
      <c r="B787" s="75" t="s">
        <v>1363</v>
      </c>
      <c r="C787" s="39">
        <v>44573</v>
      </c>
      <c r="D787" s="80">
        <v>44744</v>
      </c>
      <c r="E787" s="41">
        <f>D787-C787</f>
        <v>171</v>
      </c>
      <c r="F787" s="43" t="s">
        <v>0</v>
      </c>
      <c r="G787" s="45" t="s">
        <v>33</v>
      </c>
      <c r="H787" s="45" t="s">
        <v>11</v>
      </c>
      <c r="I787" s="46"/>
      <c r="J787" s="37"/>
      <c r="K787" s="76" t="s">
        <v>1905</v>
      </c>
      <c r="L787" s="42" t="s">
        <v>1904</v>
      </c>
      <c r="M787" s="37"/>
    </row>
    <row r="788" spans="1:27" s="77" customFormat="1" ht="15.75" customHeight="1">
      <c r="A788" s="37" t="s">
        <v>1402</v>
      </c>
      <c r="B788" s="73" t="s">
        <v>1403</v>
      </c>
      <c r="C788" s="39">
        <v>43935</v>
      </c>
      <c r="D788" s="40">
        <v>44107</v>
      </c>
      <c r="E788" s="47">
        <f>D788-C788</f>
        <v>172</v>
      </c>
      <c r="F788" s="43" t="s">
        <v>0</v>
      </c>
      <c r="G788" s="46"/>
      <c r="H788" s="46"/>
      <c r="I788" s="46"/>
      <c r="J788" s="37"/>
      <c r="K788" s="37"/>
      <c r="L788" s="42" t="s">
        <v>1404</v>
      </c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spans="1:27" s="77" customFormat="1" ht="15.75" customHeight="1">
      <c r="A789" s="42" t="s">
        <v>527</v>
      </c>
      <c r="B789" s="38" t="s">
        <v>528</v>
      </c>
      <c r="C789" s="39">
        <v>43352</v>
      </c>
      <c r="D789" s="39">
        <v>43526</v>
      </c>
      <c r="E789" s="41">
        <f>D789-C789</f>
        <v>174</v>
      </c>
      <c r="F789" s="43" t="s">
        <v>0</v>
      </c>
      <c r="G789" s="45"/>
      <c r="H789" s="45"/>
      <c r="I789" s="45"/>
      <c r="J789" s="42"/>
      <c r="K789" s="42"/>
      <c r="L789"/>
      <c r="M789"/>
    </row>
    <row r="790" spans="1:27" s="77" customFormat="1" ht="15.75" customHeight="1">
      <c r="A790" s="37" t="s">
        <v>1417</v>
      </c>
      <c r="B790" s="42" t="s">
        <v>1418</v>
      </c>
      <c r="C790" s="39">
        <v>43947</v>
      </c>
      <c r="D790" s="40">
        <v>44121</v>
      </c>
      <c r="E790" s="41">
        <f>D790-C790</f>
        <v>174</v>
      </c>
      <c r="F790" s="43" t="s">
        <v>0</v>
      </c>
      <c r="G790" s="46"/>
      <c r="H790" s="46"/>
      <c r="I790" s="45" t="s">
        <v>90</v>
      </c>
      <c r="J790" s="37"/>
      <c r="K790" s="37"/>
      <c r="L790" s="37" t="s">
        <v>1419</v>
      </c>
      <c r="M790" s="37"/>
    </row>
    <row r="791" spans="1:27" s="77" customFormat="1" ht="15.75" customHeight="1">
      <c r="A791" s="37" t="s">
        <v>1509</v>
      </c>
      <c r="B791" s="42" t="s">
        <v>1510</v>
      </c>
      <c r="C791" s="39">
        <v>44025</v>
      </c>
      <c r="D791" s="40">
        <v>44199</v>
      </c>
      <c r="E791" s="41">
        <f>D791-C791</f>
        <v>174</v>
      </c>
      <c r="F791" s="43" t="s">
        <v>1413</v>
      </c>
      <c r="G791" s="45" t="s">
        <v>33</v>
      </c>
      <c r="H791" s="46"/>
      <c r="I791" s="45" t="s">
        <v>90</v>
      </c>
      <c r="J791" s="75"/>
      <c r="K791" s="75"/>
      <c r="L791" s="75"/>
      <c r="M791" s="75"/>
    </row>
    <row r="792" spans="1:27" s="77" customFormat="1" ht="15.75" customHeight="1">
      <c r="A792" s="77" t="s">
        <v>1729</v>
      </c>
      <c r="B792" s="75" t="s">
        <v>1730</v>
      </c>
      <c r="C792" s="79">
        <v>44472</v>
      </c>
      <c r="D792" s="80">
        <v>44646</v>
      </c>
      <c r="E792" s="41">
        <f>D792-C792</f>
        <v>174</v>
      </c>
      <c r="F792" s="43" t="s">
        <v>0</v>
      </c>
      <c r="G792" s="46"/>
      <c r="H792" s="41" t="s">
        <v>11</v>
      </c>
      <c r="I792" s="46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spans="1:27" s="77" customFormat="1" ht="15.75" customHeight="1">
      <c r="A793" s="37" t="s">
        <v>1840</v>
      </c>
      <c r="B793" s="87" t="s">
        <v>1890</v>
      </c>
      <c r="C793" s="79">
        <v>44661</v>
      </c>
      <c r="D793" s="80">
        <v>44835</v>
      </c>
      <c r="E793" s="41">
        <f>D793-C793</f>
        <v>174</v>
      </c>
      <c r="F793" s="43" t="s">
        <v>0</v>
      </c>
      <c r="G793" s="81" t="s">
        <v>33</v>
      </c>
      <c r="H793" s="81" t="s">
        <v>2</v>
      </c>
      <c r="I793" s="81"/>
      <c r="J793" s="87"/>
      <c r="K793" s="76" t="s">
        <v>1891</v>
      </c>
      <c r="L793" s="87"/>
      <c r="M793" s="87"/>
    </row>
    <row r="794" spans="1:27" s="77" customFormat="1" ht="15.75" customHeight="1">
      <c r="A794" s="37" t="s">
        <v>529</v>
      </c>
      <c r="B794" s="38" t="s">
        <v>530</v>
      </c>
      <c r="C794" s="39">
        <v>43350</v>
      </c>
      <c r="D794" s="39">
        <v>43526</v>
      </c>
      <c r="E794" s="41">
        <f>D794-C794</f>
        <v>176</v>
      </c>
      <c r="F794" s="45"/>
      <c r="G794" s="45"/>
      <c r="H794" s="45"/>
      <c r="I794" s="45"/>
      <c r="J794" s="42"/>
      <c r="K794" s="42"/>
      <c r="L794"/>
      <c r="M794"/>
    </row>
    <row r="795" spans="1:27" s="77" customFormat="1" ht="15.75" customHeight="1">
      <c r="A795" s="82" t="s">
        <v>1982</v>
      </c>
      <c r="B795" s="82" t="s">
        <v>1983</v>
      </c>
      <c r="C795" s="79">
        <v>44395</v>
      </c>
      <c r="D795" s="80">
        <v>44571</v>
      </c>
      <c r="E795" s="41">
        <f>D795-C795</f>
        <v>176</v>
      </c>
      <c r="F795" s="43" t="s">
        <v>0</v>
      </c>
      <c r="G795" s="81" t="s">
        <v>1</v>
      </c>
      <c r="H795" s="83" t="s">
        <v>11</v>
      </c>
      <c r="I795" s="46"/>
      <c r="K795" s="76" t="s">
        <v>1984</v>
      </c>
    </row>
    <row r="796" spans="1:27" s="77" customFormat="1" ht="15.75" customHeight="1">
      <c r="A796" s="82" t="s">
        <v>2180</v>
      </c>
      <c r="B796" s="82" t="s">
        <v>2181</v>
      </c>
      <c r="C796" s="79">
        <v>44520</v>
      </c>
      <c r="D796" s="80">
        <v>44696</v>
      </c>
      <c r="E796" s="41">
        <f>D796-C796</f>
        <v>176</v>
      </c>
      <c r="F796" s="48" t="s">
        <v>180</v>
      </c>
      <c r="G796" s="81" t="s">
        <v>805</v>
      </c>
      <c r="H796" s="83" t="s">
        <v>2</v>
      </c>
      <c r="I796" s="46"/>
    </row>
    <row r="797" spans="1:27" s="77" customFormat="1" ht="15.75" customHeight="1">
      <c r="A797" s="42" t="s">
        <v>536</v>
      </c>
      <c r="B797" s="38" t="s">
        <v>537</v>
      </c>
      <c r="C797" s="79">
        <v>44597</v>
      </c>
      <c r="D797" s="39">
        <v>44773</v>
      </c>
      <c r="E797" s="41">
        <f>D797-C797</f>
        <v>176</v>
      </c>
      <c r="F797" s="43" t="s">
        <v>0</v>
      </c>
      <c r="G797" s="45" t="s">
        <v>33</v>
      </c>
      <c r="H797" s="45" t="s">
        <v>11</v>
      </c>
      <c r="I797" s="45" t="s">
        <v>90</v>
      </c>
      <c r="J797" s="37"/>
      <c r="K797" s="53" t="s">
        <v>538</v>
      </c>
    </row>
    <row r="798" spans="1:27" s="77" customFormat="1" ht="15.75" customHeight="1">
      <c r="A798" s="37" t="s">
        <v>519</v>
      </c>
      <c r="B798" s="38" t="s">
        <v>520</v>
      </c>
      <c r="C798" s="39">
        <v>43345</v>
      </c>
      <c r="D798" s="39">
        <v>43522</v>
      </c>
      <c r="E798" s="47">
        <f>D798-C798</f>
        <v>177</v>
      </c>
      <c r="F798" s="45"/>
      <c r="G798" s="45" t="s">
        <v>1</v>
      </c>
      <c r="H798" s="45"/>
      <c r="I798" s="45" t="s">
        <v>521</v>
      </c>
      <c r="J798" s="42"/>
      <c r="K798" s="42"/>
      <c r="L798"/>
      <c r="M798"/>
    </row>
    <row r="799" spans="1:27" s="77" customFormat="1" ht="15.75" customHeight="1">
      <c r="A799" s="37" t="s">
        <v>624</v>
      </c>
      <c r="B799" s="42" t="s">
        <v>625</v>
      </c>
      <c r="C799" s="39">
        <v>43649</v>
      </c>
      <c r="D799" s="39">
        <v>43827</v>
      </c>
      <c r="E799" s="47">
        <f>D799-C799</f>
        <v>178</v>
      </c>
      <c r="F799" s="43" t="s">
        <v>0</v>
      </c>
      <c r="G799" s="45" t="s">
        <v>33</v>
      </c>
      <c r="H799" s="45"/>
      <c r="I799" s="45"/>
      <c r="J799" s="42"/>
      <c r="K799" s="42"/>
      <c r="L799" s="42"/>
      <c r="M799" s="42"/>
    </row>
    <row r="800" spans="1:27" s="77" customFormat="1" ht="15.75" customHeight="1">
      <c r="A800" s="37" t="s">
        <v>988</v>
      </c>
      <c r="B800" s="42" t="s">
        <v>1085</v>
      </c>
      <c r="C800" s="39">
        <v>44062</v>
      </c>
      <c r="D800" s="40">
        <v>44240</v>
      </c>
      <c r="E800" s="41">
        <f>D800-C800</f>
        <v>178</v>
      </c>
      <c r="F800" s="43" t="s">
        <v>0</v>
      </c>
      <c r="G800" s="45" t="s">
        <v>995</v>
      </c>
      <c r="H800" s="46"/>
      <c r="I800" s="46"/>
      <c r="K800" s="76" t="s">
        <v>1086</v>
      </c>
    </row>
    <row r="801" spans="1:27" s="77" customFormat="1">
      <c r="A801" s="87" t="s">
        <v>2282</v>
      </c>
      <c r="B801" s="87" t="s">
        <v>2283</v>
      </c>
      <c r="C801" s="79">
        <v>44644</v>
      </c>
      <c r="D801" s="80">
        <v>44822</v>
      </c>
      <c r="E801" s="41">
        <f>D801-C801</f>
        <v>178</v>
      </c>
      <c r="F801" s="83" t="s">
        <v>196</v>
      </c>
      <c r="G801" s="81"/>
      <c r="H801" s="83" t="s">
        <v>2</v>
      </c>
      <c r="I801" s="81" t="s">
        <v>21</v>
      </c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</row>
    <row r="802" spans="1:27" s="77" customFormat="1" ht="15.75" customHeight="1">
      <c r="A802" s="37" t="s">
        <v>921</v>
      </c>
      <c r="B802" s="51" t="s">
        <v>922</v>
      </c>
      <c r="C802" s="39">
        <v>43626</v>
      </c>
      <c r="D802" s="39">
        <v>43805</v>
      </c>
      <c r="E802" s="47">
        <f>D802-C802</f>
        <v>179</v>
      </c>
      <c r="F802" s="43" t="s">
        <v>54</v>
      </c>
      <c r="G802" s="45" t="s">
        <v>33</v>
      </c>
      <c r="H802" s="45"/>
      <c r="I802" s="45"/>
      <c r="J802" s="42"/>
      <c r="K802" s="42"/>
      <c r="L802"/>
      <c r="M802"/>
    </row>
    <row r="803" spans="1:27" s="77" customFormat="1" ht="15.75" customHeight="1">
      <c r="A803" s="37" t="s">
        <v>931</v>
      </c>
      <c r="B803" s="38" t="s">
        <v>932</v>
      </c>
      <c r="C803" s="39">
        <v>43626</v>
      </c>
      <c r="D803" s="39">
        <v>43806</v>
      </c>
      <c r="E803" s="47">
        <f>D803-C803</f>
        <v>180</v>
      </c>
      <c r="F803" s="43" t="s">
        <v>54</v>
      </c>
      <c r="G803" s="45" t="s">
        <v>312</v>
      </c>
      <c r="H803" s="45"/>
      <c r="I803" s="45"/>
      <c r="J803" s="42"/>
      <c r="K803" s="42"/>
      <c r="L803"/>
      <c r="M803"/>
    </row>
    <row r="804" spans="1:27" s="77" customFormat="1" ht="15.75" customHeight="1">
      <c r="A804" s="57" t="s">
        <v>963</v>
      </c>
      <c r="B804" s="42" t="s">
        <v>964</v>
      </c>
      <c r="C804" s="39">
        <v>43647</v>
      </c>
      <c r="D804" s="39">
        <v>43827</v>
      </c>
      <c r="E804" s="47">
        <f>D804-C804</f>
        <v>180</v>
      </c>
      <c r="F804" s="43" t="s">
        <v>726</v>
      </c>
      <c r="G804" s="45"/>
      <c r="H804" s="45"/>
      <c r="I804" s="45"/>
      <c r="J804" s="42"/>
      <c r="K804" s="42"/>
      <c r="L804" s="42"/>
      <c r="M804" s="42"/>
    </row>
    <row r="805" spans="1:27" s="77" customFormat="1" ht="15.75" customHeight="1">
      <c r="A805" s="37" t="s">
        <v>1222</v>
      </c>
      <c r="B805" s="42" t="s">
        <v>1223</v>
      </c>
      <c r="C805" s="39">
        <v>43780</v>
      </c>
      <c r="D805" s="39">
        <v>43960</v>
      </c>
      <c r="E805" s="47">
        <f>D805-C805</f>
        <v>180</v>
      </c>
      <c r="F805" s="43" t="s">
        <v>1224</v>
      </c>
      <c r="G805" s="45" t="s">
        <v>33</v>
      </c>
      <c r="H805" s="45"/>
      <c r="I805" s="45"/>
      <c r="J805" s="37"/>
      <c r="K805" s="53" t="s">
        <v>1225</v>
      </c>
      <c r="L805" s="37"/>
      <c r="M805" s="37"/>
    </row>
    <row r="806" spans="1:27" s="77" customFormat="1" ht="15.75" customHeight="1">
      <c r="A806" s="42" t="s">
        <v>723</v>
      </c>
      <c r="B806" s="42" t="s">
        <v>1938</v>
      </c>
      <c r="C806" s="39">
        <v>44356</v>
      </c>
      <c r="D806" s="40">
        <v>44536</v>
      </c>
      <c r="E806" s="41">
        <f>D806-C806</f>
        <v>180</v>
      </c>
      <c r="F806" s="43" t="s">
        <v>0</v>
      </c>
      <c r="G806" s="45" t="s">
        <v>26</v>
      </c>
      <c r="H806" s="46"/>
      <c r="I806" s="46"/>
      <c r="J806" s="37"/>
      <c r="K806" s="53" t="s">
        <v>1341</v>
      </c>
      <c r="L806" s="42" t="s">
        <v>1342</v>
      </c>
      <c r="M806" s="37"/>
    </row>
    <row r="807" spans="1:27" s="77" customFormat="1" ht="15.75" customHeight="1">
      <c r="A807" s="37" t="s">
        <v>1101</v>
      </c>
      <c r="B807" s="52" t="s">
        <v>1102</v>
      </c>
      <c r="C807" s="39">
        <v>43741</v>
      </c>
      <c r="D807" s="39">
        <v>43922</v>
      </c>
      <c r="E807" s="47">
        <f>D807-C807</f>
        <v>181</v>
      </c>
      <c r="F807" s="43" t="s">
        <v>0</v>
      </c>
      <c r="G807" s="45" t="s">
        <v>1103</v>
      </c>
      <c r="H807" s="45"/>
      <c r="I807" s="45"/>
      <c r="J807" s="37"/>
      <c r="K807" s="53" t="s">
        <v>1104</v>
      </c>
      <c r="L807" s="37"/>
      <c r="M807" s="37"/>
    </row>
    <row r="808" spans="1:27" s="77" customFormat="1" ht="15.75" customHeight="1">
      <c r="A808" s="82" t="s">
        <v>1991</v>
      </c>
      <c r="B808" s="82" t="s">
        <v>1992</v>
      </c>
      <c r="C808" s="79">
        <v>44395</v>
      </c>
      <c r="D808" s="79">
        <v>44576</v>
      </c>
      <c r="E808" s="41">
        <f>D808-C808</f>
        <v>181</v>
      </c>
      <c r="F808" s="43" t="s">
        <v>0</v>
      </c>
      <c r="G808" s="46"/>
      <c r="H808" s="83" t="s">
        <v>11</v>
      </c>
      <c r="I808" s="81" t="s">
        <v>1993</v>
      </c>
    </row>
    <row r="809" spans="1:27" s="77" customFormat="1" ht="15.75" customHeight="1">
      <c r="A809" s="42" t="s">
        <v>549</v>
      </c>
      <c r="B809" s="38" t="s">
        <v>549</v>
      </c>
      <c r="C809" s="39">
        <v>43477</v>
      </c>
      <c r="D809" s="39">
        <v>43659</v>
      </c>
      <c r="E809" s="47">
        <f>D809-C809</f>
        <v>182</v>
      </c>
      <c r="F809" s="45" t="s">
        <v>481</v>
      </c>
      <c r="G809" s="45"/>
      <c r="H809" s="45"/>
      <c r="I809" s="45"/>
      <c r="J809" s="42"/>
      <c r="K809" s="42"/>
      <c r="L809"/>
      <c r="M809"/>
    </row>
    <row r="810" spans="1:27" s="77" customFormat="1" ht="15.75" customHeight="1">
      <c r="A810" s="42" t="s">
        <v>1514</v>
      </c>
      <c r="B810" s="42" t="s">
        <v>1515</v>
      </c>
      <c r="C810" s="39">
        <v>44023</v>
      </c>
      <c r="D810" s="40">
        <v>44206</v>
      </c>
      <c r="E810" s="41">
        <f>D810-C810</f>
        <v>183</v>
      </c>
      <c r="F810" s="45" t="s">
        <v>1343</v>
      </c>
      <c r="G810" s="46"/>
      <c r="H810" s="46"/>
      <c r="I810" s="46"/>
      <c r="J810" s="75"/>
      <c r="K810" s="75"/>
      <c r="L810" s="75"/>
      <c r="M810" s="75"/>
    </row>
    <row r="811" spans="1:27" s="77" customFormat="1" ht="15.75" customHeight="1">
      <c r="A811" s="37" t="s">
        <v>2029</v>
      </c>
      <c r="B811" s="87" t="s">
        <v>2030</v>
      </c>
      <c r="C811" s="79">
        <v>44729</v>
      </c>
      <c r="D811" s="80">
        <v>44912</v>
      </c>
      <c r="E811" s="41">
        <f>D811-C811</f>
        <v>183</v>
      </c>
      <c r="F811" s="43" t="s">
        <v>0</v>
      </c>
      <c r="G811" s="81" t="s">
        <v>70</v>
      </c>
      <c r="H811" s="83" t="s">
        <v>2</v>
      </c>
      <c r="I811" s="81" t="s">
        <v>21</v>
      </c>
      <c r="J811" s="87"/>
      <c r="K811" s="76" t="s">
        <v>2031</v>
      </c>
      <c r="L811" s="37" t="s">
        <v>2029</v>
      </c>
      <c r="M811" s="87"/>
    </row>
    <row r="812" spans="1:27" s="77" customFormat="1" ht="15.75" customHeight="1">
      <c r="A812" s="37" t="s">
        <v>531</v>
      </c>
      <c r="B812" s="38" t="s">
        <v>532</v>
      </c>
      <c r="C812" s="39">
        <v>43345</v>
      </c>
      <c r="D812" s="39">
        <v>43529</v>
      </c>
      <c r="E812" s="47">
        <f>D812-C812</f>
        <v>184</v>
      </c>
      <c r="F812" s="45"/>
      <c r="G812"/>
      <c r="H812"/>
      <c r="I812" s="46" t="s">
        <v>533</v>
      </c>
      <c r="J812" s="42"/>
      <c r="K812" s="42"/>
      <c r="L812"/>
      <c r="M812"/>
    </row>
    <row r="813" spans="1:27" s="77" customFormat="1" ht="15.75" customHeight="1">
      <c r="A813" s="77" t="s">
        <v>1944</v>
      </c>
      <c r="B813" s="82" t="s">
        <v>1945</v>
      </c>
      <c r="C813" s="79">
        <v>44364</v>
      </c>
      <c r="D813" s="80">
        <v>44548</v>
      </c>
      <c r="E813" s="41">
        <f>D813-C813</f>
        <v>184</v>
      </c>
      <c r="F813" s="43" t="s">
        <v>0</v>
      </c>
      <c r="G813" s="45" t="s">
        <v>26</v>
      </c>
      <c r="H813" s="46"/>
      <c r="I813" s="46"/>
    </row>
    <row r="814" spans="1:27" s="77" customFormat="1">
      <c r="A814" s="37" t="s">
        <v>363</v>
      </c>
      <c r="B814" s="42" t="s">
        <v>364</v>
      </c>
      <c r="C814" s="79">
        <v>44457</v>
      </c>
      <c r="D814" s="40">
        <v>44643</v>
      </c>
      <c r="E814" s="41">
        <f>D814-C814</f>
        <v>186</v>
      </c>
      <c r="F814" s="43" t="s">
        <v>0</v>
      </c>
      <c r="G814" s="46"/>
      <c r="H814" s="41" t="s">
        <v>11</v>
      </c>
      <c r="I814" s="45" t="s">
        <v>365</v>
      </c>
      <c r="J814" s="37"/>
      <c r="K814" s="53" t="s">
        <v>366</v>
      </c>
      <c r="L814" s="37"/>
      <c r="M814" s="37"/>
    </row>
    <row r="815" spans="1:27" s="77" customFormat="1" ht="15.75" customHeight="1">
      <c r="A815" s="37" t="s">
        <v>1286</v>
      </c>
      <c r="B815" s="42" t="s">
        <v>1287</v>
      </c>
      <c r="C815" s="39">
        <v>43817</v>
      </c>
      <c r="D815" s="39">
        <v>44004</v>
      </c>
      <c r="E815" s="41">
        <f>D815-C815</f>
        <v>187</v>
      </c>
      <c r="F815" s="48" t="s">
        <v>1212</v>
      </c>
      <c r="G815" s="46"/>
      <c r="H815" s="46"/>
      <c r="I815" s="46"/>
      <c r="J815" s="37"/>
      <c r="K815" s="53" t="s">
        <v>1288</v>
      </c>
      <c r="L815" s="37"/>
      <c r="M815" s="37"/>
    </row>
    <row r="816" spans="1:27" s="77" customFormat="1" ht="15.75" customHeight="1">
      <c r="A816" s="42" t="s">
        <v>474</v>
      </c>
      <c r="B816" s="38" t="s">
        <v>630</v>
      </c>
      <c r="C816" s="39">
        <v>43396</v>
      </c>
      <c r="D816" s="39">
        <v>43584</v>
      </c>
      <c r="E816" s="47">
        <f>D816-C816</f>
        <v>188</v>
      </c>
      <c r="F816" s="43" t="s">
        <v>601</v>
      </c>
      <c r="G816" s="45" t="s">
        <v>471</v>
      </c>
      <c r="H816" s="45"/>
      <c r="I816" s="45"/>
      <c r="J816" s="42"/>
      <c r="K816" s="42"/>
      <c r="L816"/>
      <c r="M816"/>
    </row>
    <row r="817" spans="1:27" s="77" customFormat="1" ht="15.75" customHeight="1">
      <c r="A817" s="37" t="s">
        <v>301</v>
      </c>
      <c r="B817" s="38" t="s">
        <v>303</v>
      </c>
      <c r="C817" s="39">
        <v>43522</v>
      </c>
      <c r="D817" s="40">
        <v>43710</v>
      </c>
      <c r="E817" s="41">
        <f>D817-C817</f>
        <v>188</v>
      </c>
      <c r="F817" s="45" t="s">
        <v>2854</v>
      </c>
      <c r="G817" s="45"/>
      <c r="H817" s="45"/>
      <c r="I817" s="45"/>
      <c r="J817" s="42"/>
      <c r="K817" s="42"/>
      <c r="L817"/>
      <c r="M817"/>
    </row>
    <row r="818" spans="1:27" s="77" customFormat="1" ht="15.75" customHeight="1">
      <c r="A818" s="37" t="s">
        <v>803</v>
      </c>
      <c r="B818" s="38" t="s">
        <v>804</v>
      </c>
      <c r="C818" s="39">
        <v>43524</v>
      </c>
      <c r="D818" s="39">
        <v>43712</v>
      </c>
      <c r="E818" s="47">
        <f>D818-C818</f>
        <v>188</v>
      </c>
      <c r="F818" s="43" t="s">
        <v>0</v>
      </c>
      <c r="G818" s="45" t="s">
        <v>805</v>
      </c>
      <c r="H818" s="45"/>
      <c r="I818" s="45"/>
      <c r="J818" s="42"/>
      <c r="K818" s="42"/>
      <c r="L818"/>
      <c r="M818"/>
    </row>
    <row r="819" spans="1:27" s="77" customFormat="1" ht="15.75" customHeight="1">
      <c r="A819" s="82" t="s">
        <v>1774</v>
      </c>
      <c r="B819" s="75" t="s">
        <v>1775</v>
      </c>
      <c r="C819" s="79">
        <v>44222</v>
      </c>
      <c r="D819" s="79">
        <v>44410</v>
      </c>
      <c r="E819" s="41">
        <f>D819-C819</f>
        <v>188</v>
      </c>
      <c r="F819" s="43" t="s">
        <v>0</v>
      </c>
      <c r="G819" s="81" t="s">
        <v>1</v>
      </c>
      <c r="H819" s="46"/>
      <c r="I819" s="46"/>
      <c r="K819" s="76" t="s">
        <v>1776</v>
      </c>
    </row>
    <row r="820" spans="1:27" s="77" customFormat="1" ht="15.75" customHeight="1">
      <c r="A820" s="75" t="s">
        <v>1750</v>
      </c>
      <c r="B820" s="82" t="s">
        <v>1751</v>
      </c>
      <c r="C820" s="39">
        <v>44205</v>
      </c>
      <c r="D820" s="80">
        <v>44394</v>
      </c>
      <c r="E820" s="41">
        <f>D820-C820</f>
        <v>189</v>
      </c>
      <c r="F820" s="43" t="s">
        <v>0</v>
      </c>
      <c r="G820" s="81" t="s">
        <v>33</v>
      </c>
      <c r="H820" s="46"/>
      <c r="I820" s="46"/>
      <c r="K820" s="76" t="s">
        <v>1752</v>
      </c>
    </row>
    <row r="821" spans="1:27" s="77" customFormat="1" ht="15.75" customHeight="1">
      <c r="A821" s="87" t="s">
        <v>2391</v>
      </c>
      <c r="B821" s="87" t="s">
        <v>2392</v>
      </c>
      <c r="C821" s="79">
        <v>44730</v>
      </c>
      <c r="D821" s="80">
        <v>44919</v>
      </c>
      <c r="E821" s="41">
        <f>D821-C821</f>
        <v>189</v>
      </c>
      <c r="F821" s="83" t="s">
        <v>2265</v>
      </c>
      <c r="G821" s="81"/>
      <c r="H821" s="83" t="s">
        <v>2</v>
      </c>
      <c r="I821" s="81"/>
      <c r="J821" s="87"/>
      <c r="K821" s="87"/>
      <c r="L821" s="87"/>
      <c r="M821" s="87"/>
    </row>
    <row r="822" spans="1:27" s="77" customFormat="1" ht="15.75" customHeight="1">
      <c r="A822" s="82" t="s">
        <v>2141</v>
      </c>
      <c r="B822" s="82" t="s">
        <v>2142</v>
      </c>
      <c r="C822" s="79">
        <v>44475</v>
      </c>
      <c r="D822" s="80">
        <v>44666</v>
      </c>
      <c r="E822" s="41">
        <f>D822-C822</f>
        <v>191</v>
      </c>
      <c r="F822" s="43" t="s">
        <v>0</v>
      </c>
      <c r="G822" s="81" t="s">
        <v>1</v>
      </c>
      <c r="H822" s="83" t="s">
        <v>2</v>
      </c>
      <c r="I822" s="46"/>
      <c r="J822" s="82" t="s">
        <v>817</v>
      </c>
      <c r="K822" s="76" t="s">
        <v>2143</v>
      </c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spans="1:27" s="77" customFormat="1" ht="15.75" customHeight="1">
      <c r="A823" s="65" t="s">
        <v>1316</v>
      </c>
      <c r="B823" s="42" t="s">
        <v>1317</v>
      </c>
      <c r="C823" s="39">
        <v>43825</v>
      </c>
      <c r="D823" s="40">
        <v>44017</v>
      </c>
      <c r="E823" s="41">
        <f>D823-C823</f>
        <v>192</v>
      </c>
      <c r="F823" s="43" t="s">
        <v>0</v>
      </c>
      <c r="G823" s="45" t="s">
        <v>33</v>
      </c>
      <c r="H823" s="46"/>
      <c r="I823" s="46"/>
      <c r="J823" s="37"/>
      <c r="K823" s="53" t="s">
        <v>1318</v>
      </c>
      <c r="L823" s="37"/>
      <c r="M823" s="37"/>
    </row>
    <row r="824" spans="1:27" s="77" customFormat="1" ht="15.75" customHeight="1">
      <c r="A824" s="37" t="s">
        <v>1211</v>
      </c>
      <c r="B824" s="42" t="s">
        <v>1546</v>
      </c>
      <c r="C824" s="39">
        <v>44349</v>
      </c>
      <c r="D824" s="80">
        <v>44541</v>
      </c>
      <c r="E824" s="41">
        <f>D824-C824</f>
        <v>192</v>
      </c>
      <c r="F824" s="43" t="s">
        <v>0</v>
      </c>
      <c r="G824" s="46"/>
      <c r="H824" s="46"/>
      <c r="I824" s="46"/>
      <c r="K824" s="53" t="s">
        <v>1547</v>
      </c>
      <c r="L824" s="42" t="s">
        <v>1548</v>
      </c>
    </row>
    <row r="825" spans="1:27" s="145" customFormat="1" ht="15.75" customHeight="1">
      <c r="A825" s="139" t="s">
        <v>945</v>
      </c>
      <c r="B825" s="146" t="s">
        <v>946</v>
      </c>
      <c r="C825" s="140">
        <v>43620</v>
      </c>
      <c r="D825" s="140">
        <v>43813</v>
      </c>
      <c r="E825" s="147">
        <f>D825-C825</f>
        <v>193</v>
      </c>
      <c r="F825" s="148" t="s">
        <v>0</v>
      </c>
      <c r="G825" s="149" t="s">
        <v>26</v>
      </c>
      <c r="H825" s="149"/>
      <c r="I825" s="149"/>
      <c r="J825" s="139"/>
      <c r="K825" s="139"/>
      <c r="L825" s="139"/>
      <c r="M825" s="139"/>
    </row>
    <row r="826" spans="1:27" s="77" customFormat="1" ht="15.75" customHeight="1">
      <c r="A826" s="37" t="s">
        <v>1075</v>
      </c>
      <c r="B826" s="52" t="s">
        <v>1076</v>
      </c>
      <c r="C826" s="39">
        <v>43712</v>
      </c>
      <c r="D826" s="39">
        <v>43905</v>
      </c>
      <c r="E826" s="47">
        <f>D826-C826</f>
        <v>193</v>
      </c>
      <c r="F826" s="43" t="s">
        <v>19</v>
      </c>
      <c r="G826" s="45" t="s">
        <v>1077</v>
      </c>
      <c r="H826" s="45"/>
      <c r="I826" s="45"/>
      <c r="J826" s="42"/>
      <c r="K826" s="53" t="s">
        <v>1078</v>
      </c>
      <c r="L826" s="42"/>
      <c r="M826" s="42"/>
    </row>
    <row r="827" spans="1:27" s="77" customFormat="1" ht="15.75" customHeight="1">
      <c r="A827" s="37" t="s">
        <v>2358</v>
      </c>
      <c r="B827" s="87" t="s">
        <v>2359</v>
      </c>
      <c r="C827" s="79">
        <v>44689</v>
      </c>
      <c r="D827" s="80">
        <v>44882</v>
      </c>
      <c r="E827" s="41">
        <f>D827-C827</f>
        <v>193</v>
      </c>
      <c r="F827" s="43" t="s">
        <v>0</v>
      </c>
      <c r="G827" s="81" t="s">
        <v>213</v>
      </c>
      <c r="H827" s="83" t="s">
        <v>2</v>
      </c>
      <c r="I827" s="81"/>
      <c r="J827" s="87"/>
      <c r="K827" s="87"/>
      <c r="L827" s="87"/>
      <c r="M827" s="87"/>
    </row>
    <row r="828" spans="1:27" s="77" customFormat="1" ht="15.75" customHeight="1">
      <c r="A828" s="37" t="s">
        <v>1523</v>
      </c>
      <c r="B828" s="42" t="s">
        <v>1524</v>
      </c>
      <c r="C828" s="39">
        <v>44024</v>
      </c>
      <c r="D828" s="40">
        <v>44219</v>
      </c>
      <c r="E828" s="41">
        <f>D828-C828</f>
        <v>195</v>
      </c>
      <c r="F828" s="43" t="s">
        <v>1413</v>
      </c>
      <c r="G828" s="45" t="s">
        <v>33</v>
      </c>
      <c r="H828" s="46"/>
      <c r="I828" s="46"/>
      <c r="J828" s="75"/>
      <c r="K828" s="75"/>
      <c r="L828" s="75"/>
      <c r="M828" s="75"/>
    </row>
    <row r="829" spans="1:27" s="77" customFormat="1" ht="15.75" customHeight="1">
      <c r="A829" s="37" t="s">
        <v>861</v>
      </c>
      <c r="B829" s="38" t="s">
        <v>862</v>
      </c>
      <c r="C829" s="39">
        <v>43548</v>
      </c>
      <c r="D829" s="39">
        <v>43745</v>
      </c>
      <c r="E829" s="47">
        <f>D829-C829</f>
        <v>197</v>
      </c>
      <c r="F829" s="43" t="s">
        <v>0</v>
      </c>
      <c r="G829" s="45" t="s">
        <v>1</v>
      </c>
      <c r="H829" s="45"/>
      <c r="I829" s="45"/>
      <c r="J829" s="42"/>
      <c r="K829" s="42"/>
      <c r="L829"/>
      <c r="M829"/>
    </row>
    <row r="830" spans="1:27" s="145" customFormat="1" ht="15.75" customHeight="1">
      <c r="A830" s="139" t="s">
        <v>1333</v>
      </c>
      <c r="B830" s="139" t="s">
        <v>1333</v>
      </c>
      <c r="C830" s="140">
        <v>43841</v>
      </c>
      <c r="D830" s="140">
        <v>44038</v>
      </c>
      <c r="E830" s="141">
        <f>D830-C830</f>
        <v>197</v>
      </c>
      <c r="F830" s="142" t="s">
        <v>1137</v>
      </c>
      <c r="G830" s="143"/>
      <c r="H830" s="143"/>
      <c r="I830" s="143"/>
      <c r="J830" s="144"/>
      <c r="K830" s="144"/>
      <c r="L830" s="144"/>
      <c r="M830" s="144"/>
    </row>
    <row r="831" spans="1:27" s="77" customFormat="1" ht="15.75" customHeight="1">
      <c r="A831" s="37" t="s">
        <v>31</v>
      </c>
      <c r="B831" s="38" t="s">
        <v>32</v>
      </c>
      <c r="C831" s="39">
        <v>43368</v>
      </c>
      <c r="D831" s="39">
        <v>43567</v>
      </c>
      <c r="E831" s="47">
        <f>D831-C831</f>
        <v>199</v>
      </c>
      <c r="F831" s="43" t="s">
        <v>0</v>
      </c>
      <c r="G831" s="45"/>
      <c r="H831" s="45"/>
      <c r="I831" s="45"/>
      <c r="J831" s="42"/>
      <c r="K831" s="42"/>
      <c r="L831"/>
      <c r="M831"/>
    </row>
    <row r="832" spans="1:27" s="77" customFormat="1" ht="15.75" customHeight="1">
      <c r="A832" s="42" t="s">
        <v>656</v>
      </c>
      <c r="B832" s="38" t="s">
        <v>657</v>
      </c>
      <c r="C832" s="39">
        <v>43398</v>
      </c>
      <c r="D832" s="39">
        <v>43597</v>
      </c>
      <c r="E832" s="47">
        <f>D832-C832</f>
        <v>199</v>
      </c>
      <c r="F832" s="43" t="s">
        <v>464</v>
      </c>
      <c r="G832" s="45" t="s">
        <v>33</v>
      </c>
      <c r="H832" s="45"/>
      <c r="I832" s="45"/>
      <c r="J832" s="42"/>
      <c r="K832" s="42"/>
      <c r="L832"/>
      <c r="M832"/>
    </row>
    <row r="833" spans="1:27" s="77" customFormat="1" ht="15.75" customHeight="1">
      <c r="A833" s="42" t="s">
        <v>1499</v>
      </c>
      <c r="B833" s="42" t="s">
        <v>1500</v>
      </c>
      <c r="C833" s="39">
        <v>43979</v>
      </c>
      <c r="D833" s="40">
        <v>44178</v>
      </c>
      <c r="E833" s="41">
        <f>D833-C833</f>
        <v>199</v>
      </c>
      <c r="F833" s="48" t="s">
        <v>1093</v>
      </c>
      <c r="G833" s="46"/>
      <c r="H833" s="46"/>
      <c r="I833" s="46"/>
      <c r="J833" s="75"/>
      <c r="K833" s="75"/>
      <c r="L833" s="75"/>
      <c r="M833" s="75"/>
    </row>
    <row r="834" spans="1:27" s="77" customFormat="1" ht="15.75" customHeight="1">
      <c r="A834" s="87" t="s">
        <v>2314</v>
      </c>
      <c r="B834" s="87" t="s">
        <v>2315</v>
      </c>
      <c r="C834" s="79">
        <v>44647</v>
      </c>
      <c r="D834" s="80">
        <v>44848</v>
      </c>
      <c r="E834" s="41">
        <f>D834-C834</f>
        <v>201</v>
      </c>
      <c r="F834" s="43" t="s">
        <v>0</v>
      </c>
      <c r="G834" s="81" t="s">
        <v>2316</v>
      </c>
      <c r="H834" s="83" t="s">
        <v>11</v>
      </c>
      <c r="I834" s="81"/>
      <c r="J834" s="87"/>
      <c r="K834" s="87"/>
      <c r="L834" s="87"/>
      <c r="M834" s="87"/>
    </row>
    <row r="835" spans="1:27" s="77" customFormat="1" ht="15.75" customHeight="1">
      <c r="A835" s="77" t="s">
        <v>1758</v>
      </c>
      <c r="B835" s="75" t="s">
        <v>1759</v>
      </c>
      <c r="C835" s="79">
        <v>44199</v>
      </c>
      <c r="D835" s="80">
        <v>44402</v>
      </c>
      <c r="E835" s="41">
        <f>D835-C835</f>
        <v>203</v>
      </c>
      <c r="F835" s="43" t="s">
        <v>0</v>
      </c>
      <c r="G835" s="81" t="s">
        <v>1</v>
      </c>
      <c r="H835" s="46"/>
      <c r="I835" s="81" t="s">
        <v>21</v>
      </c>
      <c r="K835" s="76" t="s">
        <v>1760</v>
      </c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spans="1:27" s="77" customFormat="1" ht="15.75" customHeight="1">
      <c r="A836" s="37" t="s">
        <v>2322</v>
      </c>
      <c r="B836" s="87" t="s">
        <v>2323</v>
      </c>
      <c r="C836" s="79">
        <v>44651</v>
      </c>
      <c r="D836" s="80">
        <v>44854</v>
      </c>
      <c r="E836" s="41">
        <f>D836-C836</f>
        <v>203</v>
      </c>
      <c r="F836" s="43" t="s">
        <v>0</v>
      </c>
      <c r="G836" s="81" t="s">
        <v>644</v>
      </c>
      <c r="H836" s="83" t="s">
        <v>11</v>
      </c>
      <c r="I836" s="81"/>
      <c r="J836" s="87"/>
      <c r="K836" s="87"/>
      <c r="L836" s="87"/>
      <c r="M836" s="87"/>
    </row>
    <row r="837" spans="1:27" s="77" customFormat="1" ht="15.75" customHeight="1">
      <c r="A837" s="37" t="s">
        <v>1607</v>
      </c>
      <c r="B837" s="42" t="s">
        <v>1608</v>
      </c>
      <c r="C837" s="39">
        <v>44091</v>
      </c>
      <c r="D837" s="40">
        <v>44296</v>
      </c>
      <c r="E837" s="41">
        <f>D837-C837</f>
        <v>205</v>
      </c>
      <c r="F837" s="48" t="s">
        <v>1523</v>
      </c>
      <c r="G837" s="45" t="s">
        <v>1</v>
      </c>
      <c r="H837" s="46"/>
      <c r="I837" s="46"/>
      <c r="L837" s="42" t="s">
        <v>1609</v>
      </c>
    </row>
    <row r="838" spans="1:27" s="77" customFormat="1" ht="15.75" customHeight="1">
      <c r="A838" s="37" t="s">
        <v>1364</v>
      </c>
      <c r="B838" s="42" t="s">
        <v>1365</v>
      </c>
      <c r="C838" s="39">
        <v>43870</v>
      </c>
      <c r="D838" s="40">
        <v>44076</v>
      </c>
      <c r="E838" s="41">
        <f>D838-C838</f>
        <v>206</v>
      </c>
      <c r="F838" s="43" t="s">
        <v>0</v>
      </c>
      <c r="G838" s="45" t="s">
        <v>312</v>
      </c>
      <c r="H838" s="46"/>
      <c r="I838" s="46"/>
      <c r="J838" s="37"/>
      <c r="K838" s="53" t="s">
        <v>1366</v>
      </c>
      <c r="L838" s="37"/>
      <c r="M838" s="37"/>
    </row>
    <row r="839" spans="1:27" s="77" customFormat="1" ht="15.75" customHeight="1">
      <c r="A839" s="42" t="s">
        <v>965</v>
      </c>
      <c r="B839" s="42" t="s">
        <v>966</v>
      </c>
      <c r="C839" s="39">
        <v>43620</v>
      </c>
      <c r="D839" s="39">
        <v>43827</v>
      </c>
      <c r="E839" s="47">
        <f>D839-C839</f>
        <v>207</v>
      </c>
      <c r="F839" s="43" t="s">
        <v>0</v>
      </c>
      <c r="G839" s="45"/>
      <c r="H839" s="45"/>
      <c r="I839" s="45"/>
      <c r="J839" s="42"/>
      <c r="K839" s="42"/>
      <c r="L839" s="42"/>
      <c r="M839" s="42"/>
    </row>
    <row r="840" spans="1:27" s="77" customFormat="1" ht="15.75" customHeight="1">
      <c r="A840" s="42" t="s">
        <v>1367</v>
      </c>
      <c r="B840" s="42" t="s">
        <v>1368</v>
      </c>
      <c r="C840" s="39">
        <v>43870</v>
      </c>
      <c r="D840" s="40">
        <v>44077</v>
      </c>
      <c r="E840" s="41">
        <f>D840-C840</f>
        <v>207</v>
      </c>
      <c r="F840" s="43" t="s">
        <v>0</v>
      </c>
      <c r="G840" s="45" t="s">
        <v>70</v>
      </c>
      <c r="H840" s="46"/>
      <c r="I840" s="46"/>
      <c r="J840" s="37"/>
      <c r="K840" s="37"/>
      <c r="L840" s="37"/>
      <c r="M840" s="37"/>
    </row>
    <row r="841" spans="1:27" s="77" customFormat="1" ht="15.75" customHeight="1">
      <c r="A841" s="56" t="s">
        <v>813</v>
      </c>
      <c r="B841" s="56" t="s">
        <v>982</v>
      </c>
      <c r="C841" s="61">
        <v>43640</v>
      </c>
      <c r="D841" s="61">
        <v>43848</v>
      </c>
      <c r="E841" s="71">
        <f>D841-C841</f>
        <v>208</v>
      </c>
      <c r="F841" s="62" t="s">
        <v>983</v>
      </c>
      <c r="G841" s="56"/>
      <c r="H841" s="56"/>
      <c r="I841" s="56"/>
      <c r="J841" s="56"/>
      <c r="K841" s="56"/>
      <c r="L841" s="56"/>
      <c r="M841" s="56"/>
    </row>
    <row r="842" spans="1:27" s="77" customFormat="1" ht="15.75" customHeight="1">
      <c r="A842" s="37" t="s">
        <v>1420</v>
      </c>
      <c r="B842" s="42" t="s">
        <v>1421</v>
      </c>
      <c r="C842" s="39">
        <v>43913</v>
      </c>
      <c r="D842" s="40">
        <v>44121</v>
      </c>
      <c r="E842" s="41">
        <f>D842-C842</f>
        <v>208</v>
      </c>
      <c r="F842" s="43" t="s">
        <v>0</v>
      </c>
      <c r="G842" s="45" t="s">
        <v>312</v>
      </c>
      <c r="H842" s="46"/>
      <c r="I842" s="46"/>
      <c r="J842" s="37"/>
      <c r="K842" s="53" t="s">
        <v>1422</v>
      </c>
      <c r="L842" s="37"/>
      <c r="M842" s="37"/>
    </row>
    <row r="843" spans="1:27" s="77" customFormat="1" ht="15.75" customHeight="1">
      <c r="A843" s="37" t="s">
        <v>1379</v>
      </c>
      <c r="B843" s="42" t="s">
        <v>1380</v>
      </c>
      <c r="C843" s="39">
        <v>43870</v>
      </c>
      <c r="D843" s="40">
        <v>44080</v>
      </c>
      <c r="E843" s="41">
        <f>D843-C843</f>
        <v>210</v>
      </c>
      <c r="F843" s="43" t="s">
        <v>0</v>
      </c>
      <c r="G843" s="45" t="s">
        <v>70</v>
      </c>
      <c r="H843" s="46"/>
      <c r="I843" s="46"/>
      <c r="J843" s="37"/>
      <c r="K843" s="53" t="s">
        <v>1381</v>
      </c>
      <c r="L843" s="42" t="s">
        <v>1382</v>
      </c>
      <c r="M843" s="37"/>
    </row>
    <row r="844" spans="1:27" s="77" customFormat="1" ht="15.75" customHeight="1">
      <c r="A844" s="77" t="s">
        <v>2070</v>
      </c>
      <c r="B844" s="82" t="s">
        <v>2071</v>
      </c>
      <c r="C844" s="79">
        <v>44421</v>
      </c>
      <c r="D844" s="80">
        <v>44632</v>
      </c>
      <c r="E844" s="41">
        <f>D844-C844</f>
        <v>211</v>
      </c>
      <c r="F844" s="83" t="s">
        <v>48</v>
      </c>
      <c r="G844" s="81" t="s">
        <v>1</v>
      </c>
      <c r="H844" s="83" t="s">
        <v>11</v>
      </c>
      <c r="I844" s="81" t="s">
        <v>85</v>
      </c>
      <c r="K844" s="76" t="s">
        <v>2072</v>
      </c>
      <c r="L844" s="76"/>
    </row>
    <row r="845" spans="1:27" s="77" customFormat="1" ht="15.75" customHeight="1">
      <c r="A845" s="87" t="s">
        <v>2271</v>
      </c>
      <c r="B845" s="87" t="s">
        <v>2272</v>
      </c>
      <c r="C845" s="79">
        <v>44580</v>
      </c>
      <c r="D845" s="80">
        <v>44793</v>
      </c>
      <c r="E845" s="41">
        <f>D845-C845</f>
        <v>213</v>
      </c>
      <c r="F845" s="43" t="s">
        <v>0</v>
      </c>
      <c r="G845" s="81"/>
      <c r="H845" s="83" t="s">
        <v>11</v>
      </c>
      <c r="I845" s="81"/>
      <c r="J845" s="87"/>
      <c r="K845" s="87"/>
      <c r="L845" s="87"/>
      <c r="M845" s="87"/>
    </row>
    <row r="846" spans="1:27" s="77" customFormat="1" ht="15.75" customHeight="1">
      <c r="A846" s="37" t="s">
        <v>639</v>
      </c>
      <c r="B846" s="42" t="s">
        <v>640</v>
      </c>
      <c r="C846" s="39">
        <v>43627</v>
      </c>
      <c r="D846" s="61">
        <v>43841</v>
      </c>
      <c r="E846" s="71">
        <f>D846-C846</f>
        <v>214</v>
      </c>
      <c r="F846" s="43" t="s">
        <v>0</v>
      </c>
      <c r="G846" s="45"/>
      <c r="H846" s="45"/>
      <c r="I846" s="45"/>
      <c r="J846" s="42"/>
      <c r="K846" s="42"/>
      <c r="L846" s="42"/>
      <c r="M846" s="42"/>
    </row>
    <row r="847" spans="1:27" s="77" customFormat="1" ht="15.75" customHeight="1">
      <c r="A847" s="37" t="s">
        <v>1013</v>
      </c>
      <c r="B847" s="42" t="s">
        <v>1014</v>
      </c>
      <c r="C847" s="79">
        <v>44425</v>
      </c>
      <c r="D847" s="80">
        <v>44639</v>
      </c>
      <c r="E847" s="41">
        <f>D847-C847</f>
        <v>214</v>
      </c>
      <c r="F847" s="43" t="s">
        <v>0</v>
      </c>
      <c r="G847" s="81" t="s">
        <v>1</v>
      </c>
      <c r="H847" s="47" t="s">
        <v>2</v>
      </c>
      <c r="I847" s="46"/>
      <c r="K847" s="76" t="s">
        <v>2086</v>
      </c>
      <c r="L847" s="82" t="s">
        <v>2087</v>
      </c>
    </row>
    <row r="848" spans="1:27" s="77" customFormat="1" ht="15.75" customHeight="1">
      <c r="A848" s="82" t="s">
        <v>2194</v>
      </c>
      <c r="B848" s="82" t="s">
        <v>2195</v>
      </c>
      <c r="C848" s="79">
        <v>44495</v>
      </c>
      <c r="D848" s="80">
        <v>44709</v>
      </c>
      <c r="E848" s="41">
        <f>D848-C848</f>
        <v>214</v>
      </c>
      <c r="F848" s="43" t="s">
        <v>0</v>
      </c>
      <c r="G848" s="81" t="s">
        <v>33</v>
      </c>
      <c r="H848" s="83" t="s">
        <v>11</v>
      </c>
      <c r="I848" s="81" t="s">
        <v>71</v>
      </c>
      <c r="K848" s="76" t="s">
        <v>2196</v>
      </c>
    </row>
    <row r="849" spans="1:27" s="77" customFormat="1" ht="15.75" customHeight="1">
      <c r="A849" s="37" t="s">
        <v>654</v>
      </c>
      <c r="B849" s="38" t="s">
        <v>655</v>
      </c>
      <c r="C849" s="39">
        <v>43381</v>
      </c>
      <c r="D849" s="39">
        <v>43596</v>
      </c>
      <c r="E849" s="47">
        <f>D849-C849</f>
        <v>215</v>
      </c>
      <c r="F849" s="43" t="s">
        <v>0</v>
      </c>
      <c r="G849" s="45" t="s">
        <v>106</v>
      </c>
      <c r="H849" s="45"/>
      <c r="I849" s="45"/>
      <c r="J849" s="42"/>
      <c r="K849" s="42"/>
      <c r="L849"/>
      <c r="M849"/>
    </row>
    <row r="850" spans="1:27" s="77" customFormat="1" ht="15.75" customHeight="1">
      <c r="A850" s="37" t="s">
        <v>1616</v>
      </c>
      <c r="B850" s="42" t="s">
        <v>1617</v>
      </c>
      <c r="C850" s="39">
        <v>44095</v>
      </c>
      <c r="D850" s="40">
        <v>44310</v>
      </c>
      <c r="E850" s="41">
        <f>D850-C850</f>
        <v>215</v>
      </c>
      <c r="F850" s="48" t="s">
        <v>174</v>
      </c>
      <c r="G850" s="45" t="s">
        <v>225</v>
      </c>
      <c r="H850" s="46"/>
      <c r="I850" s="45" t="s">
        <v>3</v>
      </c>
    </row>
    <row r="851" spans="1:27" s="77" customFormat="1" ht="15.75" customHeight="1">
      <c r="A851" s="37" t="s">
        <v>1543</v>
      </c>
      <c r="B851" s="42" t="s">
        <v>1544</v>
      </c>
      <c r="C851" s="79">
        <v>44030</v>
      </c>
      <c r="D851" s="80">
        <v>44247</v>
      </c>
      <c r="E851" s="41">
        <f>D851-C851</f>
        <v>217</v>
      </c>
      <c r="F851" s="46" t="s">
        <v>1539</v>
      </c>
      <c r="G851" s="81" t="s">
        <v>70</v>
      </c>
      <c r="H851" s="46"/>
      <c r="I851" s="81" t="s">
        <v>3</v>
      </c>
      <c r="J851" s="82"/>
      <c r="K851" s="82"/>
      <c r="L851" s="37" t="s">
        <v>1545</v>
      </c>
      <c r="M851" s="82"/>
    </row>
    <row r="852" spans="1:27" s="77" customFormat="1" ht="15.75" customHeight="1">
      <c r="A852" s="42" t="s">
        <v>810</v>
      </c>
      <c r="B852" s="42" t="s">
        <v>839</v>
      </c>
      <c r="C852" s="39">
        <v>43770</v>
      </c>
      <c r="D852" s="40">
        <v>43988</v>
      </c>
      <c r="E852" s="41">
        <f>D852-C852</f>
        <v>218</v>
      </c>
      <c r="F852" s="43" t="s">
        <v>0</v>
      </c>
      <c r="G852" s="45" t="s">
        <v>33</v>
      </c>
      <c r="H852" s="45"/>
      <c r="I852" s="45"/>
      <c r="J852" s="37"/>
      <c r="K852" s="53" t="s">
        <v>1257</v>
      </c>
      <c r="L852" s="37"/>
      <c r="M852" s="37"/>
    </row>
    <row r="853" spans="1:27" s="77" customFormat="1" ht="15.75" customHeight="1">
      <c r="A853" s="84" t="s">
        <v>1889</v>
      </c>
      <c r="B853" s="75" t="s">
        <v>1889</v>
      </c>
      <c r="C853" s="79">
        <v>44323</v>
      </c>
      <c r="D853" s="80">
        <v>44541</v>
      </c>
      <c r="E853" s="41">
        <f>D853-C853</f>
        <v>218</v>
      </c>
      <c r="F853" s="48" t="s">
        <v>174</v>
      </c>
      <c r="G853" s="81" t="s">
        <v>942</v>
      </c>
      <c r="H853" s="46"/>
      <c r="I853" s="46"/>
      <c r="K853" s="76" t="s">
        <v>1941</v>
      </c>
      <c r="L853" s="77" t="s">
        <v>1942</v>
      </c>
    </row>
    <row r="854" spans="1:27" s="77" customFormat="1" ht="15.75" customHeight="1">
      <c r="A854" s="82" t="s">
        <v>2088</v>
      </c>
      <c r="B854" s="82" t="s">
        <v>2089</v>
      </c>
      <c r="C854" s="79">
        <v>44419</v>
      </c>
      <c r="D854" s="80">
        <v>44639</v>
      </c>
      <c r="E854" s="41">
        <f>D854-C854</f>
        <v>220</v>
      </c>
      <c r="F854" s="48" t="s">
        <v>2090</v>
      </c>
      <c r="G854" s="46"/>
      <c r="H854" s="83" t="s">
        <v>11</v>
      </c>
      <c r="I854" s="46"/>
      <c r="K854" s="76" t="s">
        <v>2091</v>
      </c>
      <c r="L854" s="82" t="s">
        <v>2092</v>
      </c>
    </row>
    <row r="855" spans="1:27" s="77" customFormat="1" ht="15.75" customHeight="1">
      <c r="A855" s="37" t="s">
        <v>2340</v>
      </c>
      <c r="B855" s="87" t="s">
        <v>2341</v>
      </c>
      <c r="C855" s="79">
        <v>44643</v>
      </c>
      <c r="D855" s="80">
        <v>44864</v>
      </c>
      <c r="E855" s="41">
        <f>D855-C855</f>
        <v>221</v>
      </c>
      <c r="F855" s="43" t="s">
        <v>0</v>
      </c>
      <c r="G855" s="81" t="s">
        <v>2342</v>
      </c>
      <c r="H855" s="83" t="s">
        <v>11</v>
      </c>
      <c r="I855" s="81"/>
      <c r="J855" s="87"/>
      <c r="K855" s="76" t="s">
        <v>2343</v>
      </c>
      <c r="L855" s="87"/>
      <c r="M855" s="87"/>
    </row>
    <row r="856" spans="1:27" s="77" customFormat="1" ht="15.75" customHeight="1">
      <c r="A856" s="37" t="s">
        <v>619</v>
      </c>
      <c r="B856" s="38" t="s">
        <v>620</v>
      </c>
      <c r="C856" s="39">
        <v>43857</v>
      </c>
      <c r="D856" s="39">
        <v>44079</v>
      </c>
      <c r="E856" s="47">
        <f>D856-C856</f>
        <v>222</v>
      </c>
      <c r="F856" s="43" t="s">
        <v>0</v>
      </c>
      <c r="G856" s="45" t="s">
        <v>1369</v>
      </c>
      <c r="H856" s="46"/>
      <c r="I856" s="46"/>
      <c r="J856" s="37"/>
      <c r="K856" s="53" t="s">
        <v>1370</v>
      </c>
      <c r="L856" s="37"/>
      <c r="M856" s="37"/>
    </row>
    <row r="857" spans="1:27" s="77" customFormat="1" ht="15.75" customHeight="1">
      <c r="A857" s="57" t="s">
        <v>1018</v>
      </c>
      <c r="B857" s="42" t="s">
        <v>1018</v>
      </c>
      <c r="C857" s="39">
        <v>43653</v>
      </c>
      <c r="D857" s="40">
        <v>43876</v>
      </c>
      <c r="E857" s="41">
        <f>D857-C857</f>
        <v>223</v>
      </c>
      <c r="F857" s="43" t="s">
        <v>686</v>
      </c>
      <c r="G857" s="44"/>
      <c r="H857" s="44"/>
      <c r="I857" s="44"/>
      <c r="J857" s="1"/>
      <c r="K857" s="1"/>
      <c r="L857" s="1"/>
      <c r="M857" s="1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spans="1:27" s="77" customFormat="1" ht="15.75" customHeight="1">
      <c r="A858" s="57" t="s">
        <v>1009</v>
      </c>
      <c r="B858" s="42" t="s">
        <v>1036</v>
      </c>
      <c r="C858" s="39">
        <v>43660</v>
      </c>
      <c r="D858" s="40">
        <v>43883</v>
      </c>
      <c r="E858" s="47">
        <f>D858-C858</f>
        <v>223</v>
      </c>
      <c r="F858" s="45" t="s">
        <v>1037</v>
      </c>
      <c r="G858" s="45" t="s">
        <v>1</v>
      </c>
      <c r="H858" s="45"/>
      <c r="I858" s="45"/>
      <c r="J858" s="42"/>
      <c r="K858" s="42"/>
      <c r="L858" s="42"/>
      <c r="M858" s="42"/>
    </row>
    <row r="859" spans="1:27" s="77" customFormat="1" ht="15.75" customHeight="1">
      <c r="A859" s="42" t="s">
        <v>1114</v>
      </c>
      <c r="B859" s="42" t="s">
        <v>1115</v>
      </c>
      <c r="C859" s="39">
        <v>43702</v>
      </c>
      <c r="D859" s="39">
        <v>43925</v>
      </c>
      <c r="E859" s="47">
        <f>D859-C859</f>
        <v>223</v>
      </c>
      <c r="F859" s="43" t="s">
        <v>1018</v>
      </c>
      <c r="G859" s="45"/>
      <c r="H859" s="45"/>
      <c r="I859" s="45"/>
      <c r="J859" s="37"/>
      <c r="K859" s="53" t="s">
        <v>1116</v>
      </c>
      <c r="L859" s="37"/>
      <c r="M859" s="37"/>
    </row>
    <row r="860" spans="1:27" s="77" customFormat="1" ht="15.75" customHeight="1">
      <c r="A860" s="42" t="s">
        <v>601</v>
      </c>
      <c r="B860" s="38" t="s">
        <v>602</v>
      </c>
      <c r="C860" s="39">
        <v>43346</v>
      </c>
      <c r="D860" s="39">
        <v>43570</v>
      </c>
      <c r="E860" s="47">
        <f>D860-C860</f>
        <v>224</v>
      </c>
      <c r="F860" s="45"/>
      <c r="G860" s="45" t="s">
        <v>33</v>
      </c>
      <c r="H860" s="45"/>
      <c r="I860" s="45"/>
      <c r="J860" s="42"/>
      <c r="K860" s="42"/>
      <c r="L860"/>
      <c r="M860"/>
    </row>
    <row r="861" spans="1:27" s="77" customFormat="1" ht="15.75" customHeight="1">
      <c r="A861" s="37" t="s">
        <v>1447</v>
      </c>
      <c r="B861" s="42" t="s">
        <v>1448</v>
      </c>
      <c r="C861" s="39">
        <v>43918</v>
      </c>
      <c r="D861" s="40">
        <v>44142</v>
      </c>
      <c r="E861" s="41">
        <f>D861-C861</f>
        <v>224</v>
      </c>
      <c r="F861" s="48" t="s">
        <v>2864</v>
      </c>
      <c r="G861" s="46"/>
      <c r="H861" s="46"/>
      <c r="I861" s="45" t="s">
        <v>1450</v>
      </c>
      <c r="J861" s="37"/>
      <c r="K861" s="53" t="s">
        <v>1451</v>
      </c>
      <c r="L861" s="37"/>
      <c r="M861" s="37"/>
    </row>
    <row r="862" spans="1:27" s="77" customFormat="1" ht="15.75" customHeight="1">
      <c r="A862" s="37" t="s">
        <v>1506</v>
      </c>
      <c r="B862" s="42" t="s">
        <v>1507</v>
      </c>
      <c r="C862" s="39">
        <v>44654</v>
      </c>
      <c r="D862" s="40">
        <v>44878</v>
      </c>
      <c r="E862" s="41">
        <f>D862-C862</f>
        <v>224</v>
      </c>
      <c r="F862" s="43" t="s">
        <v>0</v>
      </c>
      <c r="G862" s="45" t="s">
        <v>70</v>
      </c>
      <c r="H862" s="83" t="s">
        <v>11</v>
      </c>
      <c r="I862" s="46"/>
      <c r="K862" s="53" t="s">
        <v>1508</v>
      </c>
    </row>
    <row r="863" spans="1:27" s="77" customFormat="1" ht="15.75" customHeight="1">
      <c r="A863" s="52" t="s">
        <v>1145</v>
      </c>
      <c r="B863" s="52" t="s">
        <v>1145</v>
      </c>
      <c r="C863" s="39">
        <v>43711</v>
      </c>
      <c r="D863" s="39">
        <v>43936</v>
      </c>
      <c r="E863" s="47">
        <f>D863-C863</f>
        <v>225</v>
      </c>
      <c r="F863" s="43" t="s">
        <v>723</v>
      </c>
      <c r="G863" s="45"/>
      <c r="H863" s="45"/>
      <c r="I863" s="45"/>
      <c r="J863" s="37"/>
      <c r="K863" s="37"/>
      <c r="L863" s="37"/>
      <c r="M863" s="37"/>
    </row>
    <row r="864" spans="1:27" s="77" customFormat="1" ht="15.75" customHeight="1">
      <c r="A864" s="37" t="s">
        <v>2865</v>
      </c>
      <c r="B864" s="42" t="s">
        <v>1579</v>
      </c>
      <c r="C864" s="39">
        <v>44052</v>
      </c>
      <c r="D864" s="40">
        <v>44277</v>
      </c>
      <c r="E864" s="41">
        <f>D864-C864</f>
        <v>225</v>
      </c>
      <c r="F864" s="43" t="s">
        <v>0</v>
      </c>
      <c r="G864" s="46"/>
      <c r="H864" s="46"/>
      <c r="I864" s="46"/>
      <c r="L864" s="42" t="s">
        <v>1580</v>
      </c>
    </row>
    <row r="865" spans="1:27" s="77" customFormat="1" ht="15.75" customHeight="1">
      <c r="A865" s="42" t="s">
        <v>881</v>
      </c>
      <c r="B865" s="42" t="s">
        <v>955</v>
      </c>
      <c r="C865" s="39">
        <v>43594</v>
      </c>
      <c r="D865" s="39">
        <v>43820</v>
      </c>
      <c r="E865" s="47">
        <f>D865-C865</f>
        <v>226</v>
      </c>
      <c r="F865" s="48" t="s">
        <v>847</v>
      </c>
      <c r="G865" s="45" t="s">
        <v>956</v>
      </c>
      <c r="H865" s="45"/>
      <c r="I865" s="45"/>
      <c r="J865" s="42"/>
      <c r="K865" s="42"/>
      <c r="L865" s="42"/>
      <c r="M865" s="42"/>
    </row>
    <row r="866" spans="1:27" s="77" customFormat="1" ht="15.75" customHeight="1">
      <c r="A866" s="87" t="s">
        <v>2383</v>
      </c>
      <c r="B866" s="87" t="s">
        <v>2384</v>
      </c>
      <c r="C866" s="79">
        <v>44683</v>
      </c>
      <c r="D866" s="80">
        <v>44910</v>
      </c>
      <c r="E866" s="41">
        <f>D866-C866</f>
        <v>227</v>
      </c>
      <c r="F866" s="43" t="s">
        <v>0</v>
      </c>
      <c r="G866" s="81" t="s">
        <v>1</v>
      </c>
      <c r="H866" s="83" t="s">
        <v>11</v>
      </c>
      <c r="I866" s="81"/>
      <c r="J866" s="87"/>
      <c r="K866" s="87"/>
      <c r="L866" s="87"/>
      <c r="M866" s="87"/>
    </row>
    <row r="867" spans="1:27" s="77" customFormat="1" ht="15.75" customHeight="1">
      <c r="A867" s="37" t="s">
        <v>565</v>
      </c>
      <c r="B867" s="38" t="s">
        <v>627</v>
      </c>
      <c r="C867" s="39">
        <v>43354</v>
      </c>
      <c r="D867" s="39">
        <v>43582</v>
      </c>
      <c r="E867" s="47">
        <f>D867-C867</f>
        <v>228</v>
      </c>
      <c r="F867" s="45" t="s">
        <v>601</v>
      </c>
      <c r="G867" s="45" t="s">
        <v>628</v>
      </c>
      <c r="H867" s="45"/>
      <c r="I867" s="45"/>
      <c r="J867" s="42"/>
      <c r="K867" s="42"/>
      <c r="L867"/>
      <c r="M867"/>
    </row>
    <row r="868" spans="1:27" s="77" customFormat="1" ht="15.75" customHeight="1">
      <c r="A868" s="37" t="s">
        <v>1374</v>
      </c>
      <c r="B868" s="42" t="s">
        <v>2243</v>
      </c>
      <c r="C868" s="39">
        <v>44523</v>
      </c>
      <c r="D868" s="80">
        <v>44751</v>
      </c>
      <c r="E868" s="41">
        <f>D868-C868</f>
        <v>228</v>
      </c>
      <c r="F868" s="43" t="s">
        <v>0</v>
      </c>
      <c r="G868" s="45" t="s">
        <v>995</v>
      </c>
      <c r="H868" s="41" t="s">
        <v>11</v>
      </c>
      <c r="I868" s="46"/>
      <c r="J868" s="37"/>
      <c r="K868" s="76" t="s">
        <v>2244</v>
      </c>
      <c r="L868" s="42" t="s">
        <v>1690</v>
      </c>
      <c r="M868" s="37"/>
    </row>
    <row r="869" spans="1:27" s="77" customFormat="1" ht="15.75" customHeight="1">
      <c r="A869" s="37" t="s">
        <v>1353</v>
      </c>
      <c r="B869" s="42" t="s">
        <v>1354</v>
      </c>
      <c r="C869" s="39">
        <v>43829</v>
      </c>
      <c r="D869" s="40">
        <v>44058</v>
      </c>
      <c r="E869" s="41">
        <f>D869-C869</f>
        <v>229</v>
      </c>
      <c r="F869" s="43" t="s">
        <v>0</v>
      </c>
      <c r="G869" s="45" t="s">
        <v>26</v>
      </c>
      <c r="H869" s="46"/>
      <c r="I869" s="46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spans="1:27" s="77" customFormat="1" ht="15.75" customHeight="1">
      <c r="A870" s="42" t="s">
        <v>1430</v>
      </c>
      <c r="B870" s="42" t="s">
        <v>1431</v>
      </c>
      <c r="C870" s="39">
        <v>43899</v>
      </c>
      <c r="D870" s="40">
        <v>44128</v>
      </c>
      <c r="E870" s="41">
        <f>D870-C870</f>
        <v>229</v>
      </c>
      <c r="F870" s="45" t="s">
        <v>0</v>
      </c>
      <c r="G870" s="45" t="s">
        <v>33</v>
      </c>
      <c r="H870" s="46"/>
      <c r="I870" s="46"/>
      <c r="J870" s="37"/>
      <c r="K870" s="53" t="s">
        <v>1432</v>
      </c>
      <c r="L870" s="74" t="s">
        <v>1433</v>
      </c>
      <c r="M870" s="37"/>
    </row>
    <row r="871" spans="1:27" s="77" customFormat="1" ht="15.75" customHeight="1">
      <c r="A871" s="37" t="s">
        <v>1539</v>
      </c>
      <c r="B871" s="42" t="s">
        <v>1540</v>
      </c>
      <c r="C871" s="39">
        <v>44010</v>
      </c>
      <c r="D871" s="39">
        <v>44246</v>
      </c>
      <c r="E871" s="41">
        <f>D871-C871</f>
        <v>236</v>
      </c>
      <c r="F871" s="43" t="s">
        <v>0</v>
      </c>
      <c r="G871" s="45" t="s">
        <v>26</v>
      </c>
      <c r="H871" s="46"/>
      <c r="I871" s="45" t="s">
        <v>3</v>
      </c>
    </row>
    <row r="872" spans="1:27" s="77" customFormat="1" ht="15.75" customHeight="1">
      <c r="A872" s="84" t="s">
        <v>1966</v>
      </c>
      <c r="B872" s="75" t="s">
        <v>1967</v>
      </c>
      <c r="C872" s="79">
        <v>44332</v>
      </c>
      <c r="D872" s="80">
        <v>44569</v>
      </c>
      <c r="E872" s="41">
        <f>D872-C872</f>
        <v>237</v>
      </c>
      <c r="F872" s="43" t="s">
        <v>0</v>
      </c>
      <c r="G872" s="81" t="s">
        <v>1</v>
      </c>
      <c r="H872" s="83" t="s">
        <v>11</v>
      </c>
      <c r="I872" s="46"/>
    </row>
    <row r="873" spans="1:27" s="77" customFormat="1" ht="15.75" customHeight="1">
      <c r="A873" s="42" t="s">
        <v>263</v>
      </c>
      <c r="B873" s="42" t="s">
        <v>263</v>
      </c>
      <c r="C873" s="39">
        <v>44089</v>
      </c>
      <c r="D873" s="40">
        <v>44327</v>
      </c>
      <c r="E873" s="41">
        <f>D873-C873</f>
        <v>238</v>
      </c>
      <c r="F873" s="46" t="s">
        <v>1570</v>
      </c>
      <c r="G873" s="45" t="s">
        <v>1641</v>
      </c>
      <c r="H873" s="46"/>
      <c r="I873" s="46"/>
      <c r="L873" s="37" t="s">
        <v>266</v>
      </c>
    </row>
    <row r="874" spans="1:27" s="77" customFormat="1" ht="15.75" customHeight="1">
      <c r="A874" s="42" t="s">
        <v>694</v>
      </c>
      <c r="B874" s="38" t="s">
        <v>695</v>
      </c>
      <c r="C874" s="39">
        <v>43386</v>
      </c>
      <c r="D874" s="39">
        <v>43625</v>
      </c>
      <c r="E874" s="47">
        <f>D874-C874</f>
        <v>239</v>
      </c>
      <c r="F874" s="46" t="s">
        <v>498</v>
      </c>
      <c r="G874" s="45" t="s">
        <v>26</v>
      </c>
      <c r="H874" s="45"/>
      <c r="I874" s="44"/>
      <c r="J874" s="1"/>
      <c r="K874" s="3" t="s">
        <v>696</v>
      </c>
      <c r="L874"/>
      <c r="M874"/>
    </row>
    <row r="875" spans="1:27" s="77" customFormat="1" ht="15.75" customHeight="1">
      <c r="A875" s="87" t="s">
        <v>2381</v>
      </c>
      <c r="B875" s="87" t="s">
        <v>2382</v>
      </c>
      <c r="C875" s="79">
        <v>44667</v>
      </c>
      <c r="D875" s="80">
        <v>44906</v>
      </c>
      <c r="E875" s="41">
        <f>D875-C875</f>
        <v>239</v>
      </c>
      <c r="F875" s="43" t="s">
        <v>217</v>
      </c>
      <c r="G875" s="81"/>
      <c r="H875" s="83" t="s">
        <v>11</v>
      </c>
      <c r="I875" s="81"/>
      <c r="J875" s="87"/>
      <c r="K875" s="87"/>
      <c r="L875" s="87"/>
      <c r="M875" s="87"/>
    </row>
    <row r="876" spans="1:27" s="77" customFormat="1" ht="15.75" customHeight="1">
      <c r="A876" s="87" t="s">
        <v>2327</v>
      </c>
      <c r="B876" s="87" t="s">
        <v>2328</v>
      </c>
      <c r="C876" s="79">
        <v>44616</v>
      </c>
      <c r="D876" s="80">
        <v>44856</v>
      </c>
      <c r="E876" s="41">
        <f>D876-C876</f>
        <v>240</v>
      </c>
      <c r="F876" s="83" t="s">
        <v>144</v>
      </c>
      <c r="G876" s="81"/>
      <c r="H876" s="83" t="s">
        <v>11</v>
      </c>
      <c r="I876" s="81" t="s">
        <v>90</v>
      </c>
      <c r="J876" s="87"/>
      <c r="K876" s="76" t="s">
        <v>2329</v>
      </c>
      <c r="L876" s="87"/>
      <c r="M876" s="87"/>
    </row>
    <row r="877" spans="1:27" s="77" customFormat="1" ht="15.75" customHeight="1">
      <c r="A877" s="87" t="s">
        <v>2136</v>
      </c>
      <c r="B877" s="87" t="s">
        <v>2136</v>
      </c>
      <c r="C877" s="79">
        <v>44647</v>
      </c>
      <c r="D877" s="80">
        <v>44891</v>
      </c>
      <c r="E877" s="41">
        <f>D877-C877</f>
        <v>244</v>
      </c>
      <c r="F877" s="48" t="s">
        <v>133</v>
      </c>
      <c r="G877" s="81" t="s">
        <v>2362</v>
      </c>
      <c r="H877" s="83" t="s">
        <v>11</v>
      </c>
      <c r="I877" s="81" t="s">
        <v>21</v>
      </c>
      <c r="J877" s="87"/>
      <c r="K877" s="76" t="s">
        <v>2363</v>
      </c>
      <c r="L877" s="87"/>
      <c r="M877" s="87"/>
    </row>
    <row r="878" spans="1:27" s="77" customFormat="1" ht="15.75" customHeight="1">
      <c r="A878" s="37" t="s">
        <v>1258</v>
      </c>
      <c r="B878" s="52" t="s">
        <v>1259</v>
      </c>
      <c r="C878" s="39">
        <v>43743</v>
      </c>
      <c r="D878" s="39">
        <v>43988</v>
      </c>
      <c r="E878" s="47">
        <f>D878-C878</f>
        <v>245</v>
      </c>
      <c r="F878" s="43" t="s">
        <v>0</v>
      </c>
      <c r="G878" s="45"/>
      <c r="H878" s="45"/>
      <c r="I878" s="45"/>
      <c r="J878" s="37"/>
      <c r="K878" s="53" t="s">
        <v>1260</v>
      </c>
      <c r="L878" s="37"/>
      <c r="M878" s="37"/>
    </row>
    <row r="879" spans="1:27" s="77" customFormat="1" ht="15.75" customHeight="1">
      <c r="A879" s="37" t="s">
        <v>702</v>
      </c>
      <c r="B879" s="38" t="s">
        <v>905</v>
      </c>
      <c r="C879" s="39">
        <v>43544</v>
      </c>
      <c r="D879" s="39">
        <v>43790</v>
      </c>
      <c r="E879" s="47">
        <f>D879-C879</f>
        <v>246</v>
      </c>
      <c r="F879" s="43" t="s">
        <v>0</v>
      </c>
      <c r="G879" s="64" t="s">
        <v>33</v>
      </c>
      <c r="H879" s="64"/>
      <c r="I879" s="44"/>
      <c r="J879" s="1"/>
      <c r="K879" s="1"/>
      <c r="L879"/>
      <c r="M879"/>
    </row>
    <row r="880" spans="1:27" s="77" customFormat="1" ht="15.75" customHeight="1">
      <c r="A880" s="42" t="s">
        <v>906</v>
      </c>
      <c r="B880" s="38" t="s">
        <v>907</v>
      </c>
      <c r="C880" s="39">
        <v>43544</v>
      </c>
      <c r="D880" s="39">
        <v>43790</v>
      </c>
      <c r="E880" s="47">
        <f>D880-C880</f>
        <v>246</v>
      </c>
      <c r="F880" s="43" t="s">
        <v>0</v>
      </c>
      <c r="G880" s="45" t="s">
        <v>33</v>
      </c>
      <c r="H880" s="45"/>
      <c r="I880" s="45"/>
      <c r="J880" s="42"/>
      <c r="K880" s="42"/>
      <c r="L880"/>
      <c r="M880"/>
    </row>
    <row r="881" spans="1:27" s="77" customFormat="1" ht="15.75" customHeight="1">
      <c r="A881" s="56" t="s">
        <v>637</v>
      </c>
      <c r="B881" s="56" t="s">
        <v>638</v>
      </c>
      <c r="C881" s="61">
        <v>43601</v>
      </c>
      <c r="D881" s="61">
        <v>43848</v>
      </c>
      <c r="E881" s="71">
        <f>D881-C881</f>
        <v>247</v>
      </c>
      <c r="F881" s="62" t="s">
        <v>0</v>
      </c>
      <c r="G881" s="55"/>
      <c r="H881" s="55"/>
      <c r="I881" s="55"/>
      <c r="J881" s="56"/>
      <c r="K881" s="56"/>
      <c r="L881" s="56"/>
      <c r="M881" s="56"/>
    </row>
    <row r="882" spans="1:27" s="77" customFormat="1" ht="15.75" customHeight="1">
      <c r="A882" s="57" t="s">
        <v>1234</v>
      </c>
      <c r="B882" s="52" t="s">
        <v>1234</v>
      </c>
      <c r="C882" s="39">
        <v>43722</v>
      </c>
      <c r="D882" s="40">
        <v>43969</v>
      </c>
      <c r="E882" s="47">
        <f>D882-C882</f>
        <v>247</v>
      </c>
      <c r="F882" s="43" t="s">
        <v>0</v>
      </c>
      <c r="G882" s="45" t="s">
        <v>942</v>
      </c>
      <c r="H882" s="45"/>
      <c r="I882" s="45"/>
      <c r="J882" s="37"/>
      <c r="K882" s="37"/>
      <c r="L882" s="37"/>
      <c r="M882" s="37"/>
    </row>
    <row r="883" spans="1:27" s="77" customFormat="1" ht="15.75" customHeight="1">
      <c r="A883" s="42" t="s">
        <v>686</v>
      </c>
      <c r="B883" s="38" t="s">
        <v>913</v>
      </c>
      <c r="C883" s="39">
        <v>43544</v>
      </c>
      <c r="D883" s="39">
        <v>43792</v>
      </c>
      <c r="E883" s="47">
        <f>D883-C883</f>
        <v>248</v>
      </c>
      <c r="F883" s="43" t="s">
        <v>524</v>
      </c>
      <c r="G883" s="45"/>
      <c r="H883" s="45"/>
      <c r="I883" s="45"/>
      <c r="J883" s="42"/>
      <c r="K883" s="42"/>
      <c r="L883"/>
      <c r="M883"/>
    </row>
    <row r="884" spans="1:27" s="77" customFormat="1" ht="15.75" customHeight="1">
      <c r="A884" s="37" t="s">
        <v>100</v>
      </c>
      <c r="B884" s="52" t="s">
        <v>1280</v>
      </c>
      <c r="C884" s="39">
        <v>43752</v>
      </c>
      <c r="D884" s="39">
        <v>44002</v>
      </c>
      <c r="E884" s="47">
        <f>D884-C884</f>
        <v>250</v>
      </c>
      <c r="F884" s="43" t="s">
        <v>884</v>
      </c>
      <c r="G884" s="45" t="s">
        <v>995</v>
      </c>
      <c r="H884" s="45"/>
      <c r="I884" s="45"/>
      <c r="J884" s="37"/>
      <c r="K884" s="53" t="s">
        <v>115</v>
      </c>
      <c r="L884" s="52" t="s">
        <v>1281</v>
      </c>
      <c r="M884" s="37"/>
    </row>
    <row r="885" spans="1:27" s="77" customFormat="1" ht="15.75" customHeight="1">
      <c r="A885" s="37" t="s">
        <v>877</v>
      </c>
      <c r="B885" s="38" t="s">
        <v>890</v>
      </c>
      <c r="C885" s="39">
        <v>43521</v>
      </c>
      <c r="D885" s="39">
        <v>43772</v>
      </c>
      <c r="E885" s="47">
        <f>D885-C885</f>
        <v>251</v>
      </c>
      <c r="F885" s="48" t="s">
        <v>589</v>
      </c>
      <c r="G885" s="44"/>
      <c r="H885" s="44"/>
      <c r="I885" s="44"/>
      <c r="J885" s="1"/>
      <c r="K885" s="1"/>
      <c r="L885"/>
      <c r="M885"/>
    </row>
    <row r="886" spans="1:27" s="77" customFormat="1" ht="15.75" customHeight="1">
      <c r="A886" s="37" t="s">
        <v>330</v>
      </c>
      <c r="B886" s="87" t="s">
        <v>331</v>
      </c>
      <c r="C886" s="79">
        <v>44598</v>
      </c>
      <c r="D886" s="40">
        <v>44849</v>
      </c>
      <c r="E886" s="41">
        <f>D886-C886</f>
        <v>251</v>
      </c>
      <c r="F886" s="43" t="s">
        <v>0</v>
      </c>
      <c r="G886" s="81"/>
      <c r="H886" s="45" t="s">
        <v>11</v>
      </c>
      <c r="I886" s="81"/>
      <c r="J886" s="87"/>
      <c r="K886" s="87"/>
      <c r="L886" s="87"/>
      <c r="M886" s="8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spans="1:27" s="77" customFormat="1" ht="15.75" customHeight="1">
      <c r="A887" s="42" t="s">
        <v>916</v>
      </c>
      <c r="B887" s="38" t="s">
        <v>917</v>
      </c>
      <c r="C887" s="39">
        <v>43548</v>
      </c>
      <c r="D887" s="39">
        <v>43800</v>
      </c>
      <c r="E887" s="47">
        <f>D887-C887</f>
        <v>252</v>
      </c>
      <c r="F887" s="48" t="s">
        <v>918</v>
      </c>
      <c r="G887" s="45" t="s">
        <v>919</v>
      </c>
      <c r="H887" s="45"/>
      <c r="I887" s="45"/>
      <c r="J887" s="42"/>
      <c r="K887" s="42"/>
      <c r="L887"/>
      <c r="M887"/>
    </row>
    <row r="888" spans="1:27" s="77" customFormat="1" ht="15.75" customHeight="1">
      <c r="A888" s="75" t="s">
        <v>1919</v>
      </c>
      <c r="B888" s="75" t="s">
        <v>1920</v>
      </c>
      <c r="C888" s="79">
        <v>44267</v>
      </c>
      <c r="D888" s="80">
        <v>44521</v>
      </c>
      <c r="E888" s="41">
        <f>D888-C888</f>
        <v>254</v>
      </c>
      <c r="F888" s="43" t="s">
        <v>0</v>
      </c>
      <c r="G888" s="81" t="s">
        <v>1</v>
      </c>
      <c r="H888" s="46"/>
      <c r="I888" s="81" t="s">
        <v>85</v>
      </c>
      <c r="K888" s="76" t="s">
        <v>1921</v>
      </c>
    </row>
    <row r="889" spans="1:27" s="77" customFormat="1" ht="15.75" customHeight="1">
      <c r="A889" s="37" t="s">
        <v>1322</v>
      </c>
      <c r="B889" s="42" t="s">
        <v>1323</v>
      </c>
      <c r="C889" s="39">
        <v>43767</v>
      </c>
      <c r="D889" s="39">
        <v>44023</v>
      </c>
      <c r="E889" s="47">
        <f>D889-C889</f>
        <v>256</v>
      </c>
      <c r="F889" s="43" t="s">
        <v>0</v>
      </c>
      <c r="G889" s="46"/>
      <c r="H889" s="46"/>
      <c r="I889" s="46"/>
      <c r="J889" s="37"/>
      <c r="K889" s="53" t="s">
        <v>1324</v>
      </c>
      <c r="L889" s="37"/>
      <c r="M889" s="37"/>
    </row>
    <row r="890" spans="1:27" s="77" customFormat="1" ht="15.75" customHeight="1">
      <c r="A890" s="42" t="s">
        <v>475</v>
      </c>
      <c r="B890" s="38" t="s">
        <v>476</v>
      </c>
      <c r="C890" s="39">
        <v>44355</v>
      </c>
      <c r="D890" s="80">
        <v>44611</v>
      </c>
      <c r="E890" s="41">
        <f>D890-C890</f>
        <v>256</v>
      </c>
      <c r="F890" s="43" t="s">
        <v>0</v>
      </c>
      <c r="G890" s="45" t="s">
        <v>33</v>
      </c>
      <c r="H890" s="47" t="s">
        <v>11</v>
      </c>
      <c r="I890" s="46"/>
      <c r="J890" s="37"/>
      <c r="K890" s="76" t="s">
        <v>2052</v>
      </c>
    </row>
    <row r="891" spans="1:27" s="77" customFormat="1" ht="15.75" customHeight="1">
      <c r="A891" s="37" t="s">
        <v>2853</v>
      </c>
      <c r="B891" s="42" t="s">
        <v>349</v>
      </c>
      <c r="C891" s="39">
        <v>43919</v>
      </c>
      <c r="D891" s="40">
        <v>44176</v>
      </c>
      <c r="E891" s="41">
        <f>D891-C891</f>
        <v>257</v>
      </c>
      <c r="F891" s="43" t="s">
        <v>0</v>
      </c>
      <c r="G891" s="46"/>
      <c r="H891" s="46"/>
      <c r="I891" s="46"/>
      <c r="J891" s="75"/>
      <c r="K891" s="53" t="s">
        <v>348</v>
      </c>
      <c r="L891" s="75"/>
      <c r="M891" s="75"/>
    </row>
    <row r="892" spans="1:27" s="77" customFormat="1" ht="15.75" customHeight="1">
      <c r="A892" s="37" t="s">
        <v>1558</v>
      </c>
      <c r="B892" s="52" t="s">
        <v>1559</v>
      </c>
      <c r="C892" s="39">
        <v>44005</v>
      </c>
      <c r="D892" s="40">
        <v>44262</v>
      </c>
      <c r="E892" s="41">
        <f>D892-C892</f>
        <v>257</v>
      </c>
      <c r="F892" s="43" t="s">
        <v>0</v>
      </c>
      <c r="G892" s="46"/>
      <c r="H892" s="46"/>
      <c r="I892" s="46"/>
      <c r="L892" s="52" t="s">
        <v>1560</v>
      </c>
    </row>
    <row r="893" spans="1:27" s="77" customFormat="1" ht="15.75" customHeight="1">
      <c r="A893" s="37" t="s">
        <v>1673</v>
      </c>
      <c r="B893" s="74" t="s">
        <v>1674</v>
      </c>
      <c r="C893" s="39">
        <v>44088</v>
      </c>
      <c r="D893" s="40">
        <v>44345</v>
      </c>
      <c r="E893" s="41">
        <f>D893-C893</f>
        <v>257</v>
      </c>
      <c r="F893" s="43" t="s">
        <v>68</v>
      </c>
      <c r="G893" s="46"/>
      <c r="H893" s="46"/>
      <c r="I893" s="46"/>
      <c r="M893" s="85" t="s">
        <v>1675</v>
      </c>
    </row>
    <row r="894" spans="1:27" s="77" customFormat="1" ht="15.75" customHeight="1">
      <c r="A894" s="42" t="s">
        <v>1394</v>
      </c>
      <c r="B894" s="42" t="s">
        <v>1394</v>
      </c>
      <c r="C894" s="39">
        <v>43841</v>
      </c>
      <c r="D894" s="39">
        <v>44100</v>
      </c>
      <c r="E894" s="47">
        <f>D894-C894</f>
        <v>259</v>
      </c>
      <c r="F894" s="43" t="s">
        <v>1350</v>
      </c>
      <c r="G894" s="46"/>
      <c r="H894" s="46"/>
      <c r="I894" s="46"/>
      <c r="J894" s="37"/>
      <c r="K894" s="37"/>
      <c r="L894" s="37"/>
      <c r="M894" s="37"/>
    </row>
    <row r="895" spans="1:27" s="77" customFormat="1" ht="15.75" customHeight="1">
      <c r="A895" s="77" t="s">
        <v>1955</v>
      </c>
      <c r="B895" s="75" t="s">
        <v>1956</v>
      </c>
      <c r="C895" s="79">
        <v>44303</v>
      </c>
      <c r="D895" s="80">
        <v>44562</v>
      </c>
      <c r="E895" s="41">
        <f>D895-C895</f>
        <v>259</v>
      </c>
      <c r="F895" s="45" t="s">
        <v>1631</v>
      </c>
      <c r="G895" s="46"/>
      <c r="H895" s="46"/>
      <c r="I895" s="46"/>
      <c r="K895" s="76" t="s">
        <v>1957</v>
      </c>
    </row>
    <row r="896" spans="1:27" s="77" customFormat="1">
      <c r="A896" s="37" t="s">
        <v>592</v>
      </c>
      <c r="B896" s="38" t="s">
        <v>837</v>
      </c>
      <c r="C896" s="39">
        <v>43473</v>
      </c>
      <c r="D896" s="39">
        <v>43736</v>
      </c>
      <c r="E896" s="47">
        <f>D896-C896</f>
        <v>263</v>
      </c>
      <c r="F896" s="43" t="s">
        <v>0</v>
      </c>
      <c r="G896" s="45" t="s">
        <v>838</v>
      </c>
      <c r="H896" s="45"/>
      <c r="I896" s="45"/>
      <c r="J896" s="42"/>
      <c r="K896" s="42"/>
      <c r="L896"/>
      <c r="M896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</row>
    <row r="897" spans="1:27" s="77" customFormat="1" ht="15.75" customHeight="1">
      <c r="A897" s="42" t="s">
        <v>998</v>
      </c>
      <c r="B897" s="42" t="s">
        <v>999</v>
      </c>
      <c r="C897" s="39">
        <v>43595</v>
      </c>
      <c r="D897" s="39">
        <v>43859</v>
      </c>
      <c r="E897" s="47">
        <f>D897-C897</f>
        <v>264</v>
      </c>
      <c r="F897" s="48" t="s">
        <v>928</v>
      </c>
      <c r="G897" s="45" t="s">
        <v>1</v>
      </c>
      <c r="H897" s="45"/>
      <c r="I897" s="45"/>
      <c r="J897" s="42"/>
      <c r="K897" s="53" t="s">
        <v>1000</v>
      </c>
      <c r="L897" s="42"/>
      <c r="M897" s="42"/>
    </row>
    <row r="898" spans="1:27" s="77" customFormat="1" ht="15.75" customHeight="1">
      <c r="A898" s="57" t="s">
        <v>1141</v>
      </c>
      <c r="B898" s="42" t="s">
        <v>884</v>
      </c>
      <c r="C898" s="39">
        <v>43669</v>
      </c>
      <c r="D898" s="39">
        <v>43933</v>
      </c>
      <c r="E898" s="47">
        <f>D898-C898</f>
        <v>264</v>
      </c>
      <c r="F898" s="43" t="s">
        <v>859</v>
      </c>
      <c r="G898" s="45"/>
      <c r="H898" s="45"/>
      <c r="I898" s="45"/>
      <c r="J898" s="37"/>
      <c r="K898" s="53" t="s">
        <v>1142</v>
      </c>
      <c r="L898" s="37"/>
      <c r="M898" s="37"/>
    </row>
    <row r="899" spans="1:27" s="77" customFormat="1" ht="15.75" customHeight="1">
      <c r="A899" s="77" t="s">
        <v>1831</v>
      </c>
      <c r="B899" s="75" t="s">
        <v>1832</v>
      </c>
      <c r="C899" s="79">
        <v>44200</v>
      </c>
      <c r="D899" s="80">
        <v>44464</v>
      </c>
      <c r="E899" s="41">
        <f>D899-C899</f>
        <v>264</v>
      </c>
      <c r="F899" s="43" t="s">
        <v>0</v>
      </c>
      <c r="G899" s="81" t="s">
        <v>43</v>
      </c>
      <c r="H899" s="46"/>
      <c r="I899" s="46"/>
    </row>
    <row r="900" spans="1:27" s="77" customFormat="1" ht="15.75" customHeight="1">
      <c r="A900" s="42" t="s">
        <v>810</v>
      </c>
      <c r="B900" s="38" t="s">
        <v>839</v>
      </c>
      <c r="C900" s="39">
        <v>43471</v>
      </c>
      <c r="D900" s="39">
        <v>43736</v>
      </c>
      <c r="E900" s="47">
        <f>D900-C900</f>
        <v>265</v>
      </c>
      <c r="F900" s="45" t="s">
        <v>481</v>
      </c>
      <c r="G900" s="45" t="s">
        <v>33</v>
      </c>
      <c r="H900" s="45"/>
      <c r="I900" s="45"/>
      <c r="J900" s="42"/>
      <c r="K900" s="42"/>
      <c r="L900"/>
      <c r="M900"/>
    </row>
    <row r="901" spans="1:27" s="77" customFormat="1" ht="15.75" customHeight="1">
      <c r="A901" s="77" t="s">
        <v>2186</v>
      </c>
      <c r="B901" s="82" t="s">
        <v>2187</v>
      </c>
      <c r="C901" s="79">
        <v>44437</v>
      </c>
      <c r="D901" s="80">
        <v>44702</v>
      </c>
      <c r="E901" s="41">
        <f>D901-C901</f>
        <v>265</v>
      </c>
      <c r="F901" s="83" t="s">
        <v>1358</v>
      </c>
      <c r="G901" s="81" t="s">
        <v>1</v>
      </c>
      <c r="H901" s="83" t="s">
        <v>11</v>
      </c>
      <c r="I901" s="81" t="s">
        <v>154</v>
      </c>
      <c r="L901" s="82" t="s">
        <v>2188</v>
      </c>
    </row>
    <row r="902" spans="1:27" s="77" customFormat="1" ht="15.75" customHeight="1">
      <c r="A902" s="42" t="s">
        <v>825</v>
      </c>
      <c r="B902" s="42" t="s">
        <v>951</v>
      </c>
      <c r="C902" s="39">
        <v>43548</v>
      </c>
      <c r="D902" s="39">
        <v>43814</v>
      </c>
      <c r="E902" s="47">
        <f>D902-C902</f>
        <v>266</v>
      </c>
      <c r="F902" s="48" t="s">
        <v>647</v>
      </c>
      <c r="G902" s="45" t="s">
        <v>1</v>
      </c>
      <c r="H902" s="45"/>
      <c r="I902" s="45"/>
      <c r="J902" s="42"/>
      <c r="K902" s="42"/>
      <c r="L902" s="42"/>
      <c r="M902" s="42"/>
    </row>
    <row r="903" spans="1:27" s="77" customFormat="1" ht="15.75" customHeight="1">
      <c r="A903" s="77" t="s">
        <v>2161</v>
      </c>
      <c r="B903" s="75" t="s">
        <v>2230</v>
      </c>
      <c r="C903" s="39">
        <v>44477</v>
      </c>
      <c r="D903" s="40">
        <v>44743</v>
      </c>
      <c r="E903" s="41">
        <f>D903-C903</f>
        <v>266</v>
      </c>
      <c r="F903" s="43" t="s">
        <v>196</v>
      </c>
      <c r="G903" s="46"/>
      <c r="H903" s="43" t="s">
        <v>2</v>
      </c>
      <c r="I903" s="45" t="s">
        <v>85</v>
      </c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</row>
    <row r="904" spans="1:27" s="77" customFormat="1" ht="15.75" customHeight="1">
      <c r="A904" s="37" t="s">
        <v>359</v>
      </c>
      <c r="B904" s="38" t="s">
        <v>360</v>
      </c>
      <c r="C904" s="39">
        <v>43352</v>
      </c>
      <c r="D904" s="39">
        <v>43619</v>
      </c>
      <c r="E904" s="47">
        <f>D904-C904</f>
        <v>267</v>
      </c>
      <c r="F904" s="43" t="s">
        <v>0</v>
      </c>
      <c r="G904" s="45" t="s">
        <v>33</v>
      </c>
      <c r="H904" s="45"/>
      <c r="I904" s="45"/>
      <c r="J904" s="42"/>
      <c r="K904" s="42"/>
      <c r="L904"/>
      <c r="M904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spans="1:27" s="77" customFormat="1" ht="15.75" customHeight="1">
      <c r="A905" s="42" t="s">
        <v>2866</v>
      </c>
      <c r="B905" s="38" t="s">
        <v>741</v>
      </c>
      <c r="C905" s="39">
        <v>43398</v>
      </c>
      <c r="D905" s="39">
        <v>43666</v>
      </c>
      <c r="E905" s="47">
        <f>D905-C905</f>
        <v>268</v>
      </c>
      <c r="F905" s="43" t="s">
        <v>464</v>
      </c>
      <c r="G905" s="45" t="s">
        <v>33</v>
      </c>
      <c r="H905" s="45"/>
      <c r="I905" s="46" t="s">
        <v>455</v>
      </c>
      <c r="J905" s="42"/>
      <c r="K905" s="42"/>
      <c r="L905"/>
      <c r="M905"/>
    </row>
    <row r="906" spans="1:27" s="77" customFormat="1" ht="15.75" customHeight="1">
      <c r="A906" s="65" t="s">
        <v>1350</v>
      </c>
      <c r="B906" s="42" t="s">
        <v>1351</v>
      </c>
      <c r="C906" s="39">
        <v>43784</v>
      </c>
      <c r="D906" s="39">
        <v>44052</v>
      </c>
      <c r="E906" s="47">
        <f>D906-C906</f>
        <v>268</v>
      </c>
      <c r="F906" s="43" t="s">
        <v>54</v>
      </c>
      <c r="G906" s="45" t="s">
        <v>33</v>
      </c>
      <c r="H906" s="46"/>
      <c r="I906" s="46"/>
      <c r="J906" s="37"/>
      <c r="K906" s="37"/>
      <c r="L906" s="42" t="s">
        <v>1352</v>
      </c>
      <c r="M906" s="37"/>
    </row>
    <row r="907" spans="1:27" s="77" customFormat="1" ht="15.75" customHeight="1">
      <c r="A907" s="57" t="s">
        <v>1141</v>
      </c>
      <c r="B907" s="42" t="s">
        <v>884</v>
      </c>
      <c r="C907" s="39">
        <v>43952</v>
      </c>
      <c r="D907" s="39">
        <v>44221</v>
      </c>
      <c r="E907" s="47">
        <f>D907-C907</f>
        <v>269</v>
      </c>
      <c r="F907" s="45" t="s">
        <v>998</v>
      </c>
      <c r="G907" s="45" t="s">
        <v>1</v>
      </c>
      <c r="H907" s="46"/>
      <c r="I907" s="46"/>
      <c r="J907" s="37"/>
      <c r="K907" s="53" t="s">
        <v>1142</v>
      </c>
      <c r="L907" s="37"/>
      <c r="M907" s="37"/>
    </row>
    <row r="908" spans="1:27" s="77" customFormat="1" ht="15.75" customHeight="1">
      <c r="A908" s="57" t="s">
        <v>1189</v>
      </c>
      <c r="B908" s="42" t="s">
        <v>1190</v>
      </c>
      <c r="C908" s="39">
        <v>43678</v>
      </c>
      <c r="D908" s="40">
        <v>43949</v>
      </c>
      <c r="E908" s="47">
        <f>D908-C908</f>
        <v>271</v>
      </c>
      <c r="F908" s="43" t="s">
        <v>0</v>
      </c>
      <c r="G908" s="45"/>
      <c r="H908" s="45"/>
      <c r="I908" s="45"/>
      <c r="J908" s="37"/>
      <c r="K908" s="53" t="s">
        <v>1191</v>
      </c>
      <c r="L908" s="37"/>
      <c r="M908" s="37"/>
    </row>
    <row r="909" spans="1:27" s="77" customFormat="1" ht="15.75" customHeight="1">
      <c r="A909" s="42" t="s">
        <v>1468</v>
      </c>
      <c r="B909" s="42" t="s">
        <v>1469</v>
      </c>
      <c r="C909" s="39">
        <v>43884</v>
      </c>
      <c r="D909" s="40">
        <v>44155</v>
      </c>
      <c r="E909" s="41">
        <f>D909-C909</f>
        <v>271</v>
      </c>
      <c r="F909" s="43" t="s">
        <v>0</v>
      </c>
      <c r="G909" s="45" t="s">
        <v>1470</v>
      </c>
      <c r="H909" s="46"/>
      <c r="I909" s="46"/>
      <c r="J909" s="37"/>
      <c r="K909" s="53" t="s">
        <v>1471</v>
      </c>
      <c r="L909" s="37"/>
      <c r="M909" s="37"/>
    </row>
    <row r="910" spans="1:27" s="77" customFormat="1" ht="15.75" customHeight="1">
      <c r="A910" s="37" t="s">
        <v>1196</v>
      </c>
      <c r="B910" s="42" t="s">
        <v>1197</v>
      </c>
      <c r="C910" s="39">
        <v>43678</v>
      </c>
      <c r="D910" s="39">
        <v>43952</v>
      </c>
      <c r="E910" s="47">
        <f>D910-C910</f>
        <v>274</v>
      </c>
      <c r="F910" s="43" t="s">
        <v>0</v>
      </c>
      <c r="G910" s="45"/>
      <c r="H910" s="45"/>
      <c r="I910" s="45"/>
      <c r="J910" s="37"/>
      <c r="K910" s="53" t="s">
        <v>1198</v>
      </c>
      <c r="L910" s="37"/>
      <c r="M910" s="37"/>
    </row>
    <row r="911" spans="1:27" s="77" customFormat="1" ht="15.75" customHeight="1">
      <c r="A911" s="37" t="s">
        <v>1328</v>
      </c>
      <c r="B911" s="42" t="s">
        <v>1329</v>
      </c>
      <c r="C911" s="39">
        <v>44053</v>
      </c>
      <c r="D911" s="39">
        <v>44331</v>
      </c>
      <c r="E911" s="41">
        <f>D911-C911</f>
        <v>278</v>
      </c>
      <c r="F911" s="43" t="s">
        <v>0</v>
      </c>
      <c r="G911" s="45" t="s">
        <v>33</v>
      </c>
      <c r="H911" s="46"/>
      <c r="I911" s="46"/>
      <c r="J911" s="37"/>
      <c r="K911" s="53" t="s">
        <v>1330</v>
      </c>
      <c r="L911" s="42" t="s">
        <v>1644</v>
      </c>
    </row>
    <row r="912" spans="1:27" s="77" customFormat="1" ht="15.75" customHeight="1">
      <c r="A912" s="37" t="s">
        <v>847</v>
      </c>
      <c r="B912" s="38" t="s">
        <v>848</v>
      </c>
      <c r="C912" s="39">
        <v>43459</v>
      </c>
      <c r="D912" s="39">
        <v>43738</v>
      </c>
      <c r="E912" s="47">
        <f>D912-C912</f>
        <v>279</v>
      </c>
      <c r="F912" s="43" t="s">
        <v>0</v>
      </c>
      <c r="G912" s="45"/>
      <c r="H912" s="45"/>
      <c r="I912" s="45"/>
      <c r="J912" s="42"/>
      <c r="K912" s="42"/>
      <c r="L912"/>
      <c r="M912"/>
    </row>
    <row r="913" spans="1:27" s="77" customFormat="1" ht="15.75" customHeight="1">
      <c r="A913" s="50" t="s">
        <v>269</v>
      </c>
      <c r="B913" s="50" t="s">
        <v>270</v>
      </c>
      <c r="C913" s="66">
        <v>43555</v>
      </c>
      <c r="D913" s="66">
        <v>43834</v>
      </c>
      <c r="E913" s="47">
        <f>D913-C913</f>
        <v>279</v>
      </c>
      <c r="F913" s="67" t="s">
        <v>0</v>
      </c>
      <c r="G913"/>
      <c r="H913"/>
      <c r="I913"/>
      <c r="J913"/>
      <c r="K913"/>
      <c r="L913"/>
      <c r="M913"/>
    </row>
    <row r="914" spans="1:27" s="77" customFormat="1" ht="15.75" customHeight="1">
      <c r="A914" s="37" t="s">
        <v>1272</v>
      </c>
      <c r="B914" s="52" t="s">
        <v>1273</v>
      </c>
      <c r="C914" s="39">
        <v>43716</v>
      </c>
      <c r="D914" s="40">
        <v>43995</v>
      </c>
      <c r="E914" s="41">
        <f>D914-C914</f>
        <v>279</v>
      </c>
      <c r="F914" s="43" t="s">
        <v>853</v>
      </c>
      <c r="G914" s="45" t="s">
        <v>995</v>
      </c>
      <c r="H914" s="45"/>
      <c r="I914" s="45"/>
      <c r="J914" s="37"/>
      <c r="K914" s="53" t="s">
        <v>1274</v>
      </c>
      <c r="L914" s="37"/>
      <c r="M914" s="37"/>
    </row>
    <row r="915" spans="1:27" s="77" customFormat="1" ht="15.75" customHeight="1">
      <c r="A915" s="42" t="s">
        <v>1413</v>
      </c>
      <c r="B915" s="42" t="s">
        <v>1472</v>
      </c>
      <c r="C915" s="39">
        <v>43876</v>
      </c>
      <c r="D915" s="40">
        <v>44155</v>
      </c>
      <c r="E915" s="41">
        <f>D915-C915</f>
        <v>279</v>
      </c>
      <c r="F915" s="43" t="s">
        <v>0</v>
      </c>
      <c r="G915" s="45" t="s">
        <v>1</v>
      </c>
      <c r="H915" s="46"/>
      <c r="I915" s="46"/>
      <c r="J915" s="37"/>
      <c r="K915" s="53" t="s">
        <v>1473</v>
      </c>
      <c r="L915" s="37"/>
      <c r="M915" s="37"/>
    </row>
    <row r="916" spans="1:27" s="77" customFormat="1" ht="15.75" customHeight="1">
      <c r="A916" s="37" t="s">
        <v>2287</v>
      </c>
      <c r="B916" s="87" t="s">
        <v>2288</v>
      </c>
      <c r="C916" s="79">
        <v>44540</v>
      </c>
      <c r="D916" s="80">
        <v>44825</v>
      </c>
      <c r="E916" s="41">
        <f>D916-C916</f>
        <v>285</v>
      </c>
      <c r="F916" s="43" t="s">
        <v>0</v>
      </c>
      <c r="G916" s="81" t="s">
        <v>70</v>
      </c>
      <c r="H916" s="41" t="s">
        <v>2</v>
      </c>
      <c r="I916" s="81"/>
      <c r="J916" s="87"/>
      <c r="K916" s="87"/>
      <c r="L916" s="87"/>
      <c r="M916" s="87"/>
    </row>
    <row r="917" spans="1:27" s="77" customFormat="1" ht="15.75" customHeight="1">
      <c r="A917" s="37" t="s">
        <v>1420</v>
      </c>
      <c r="B917" s="42" t="s">
        <v>1421</v>
      </c>
      <c r="C917" s="79">
        <v>44563</v>
      </c>
      <c r="D917" s="40">
        <v>44849</v>
      </c>
      <c r="E917" s="41">
        <f>D917-C917</f>
        <v>286</v>
      </c>
      <c r="F917" s="43" t="s">
        <v>0</v>
      </c>
      <c r="G917" s="45" t="s">
        <v>312</v>
      </c>
      <c r="H917" s="83" t="s">
        <v>2</v>
      </c>
      <c r="I917" s="46"/>
      <c r="J917" s="37"/>
      <c r="K917" s="53" t="s">
        <v>1422</v>
      </c>
      <c r="L917" s="37"/>
      <c r="M917" s="37"/>
    </row>
    <row r="918" spans="1:27" s="77" customFormat="1" ht="15.75" customHeight="1">
      <c r="A918" s="42" t="s">
        <v>705</v>
      </c>
      <c r="B918" s="38" t="s">
        <v>1812</v>
      </c>
      <c r="C918" s="39">
        <v>44450</v>
      </c>
      <c r="D918" s="80">
        <v>44737</v>
      </c>
      <c r="E918" s="41">
        <f>D918-C918</f>
        <v>287</v>
      </c>
      <c r="F918" s="43" t="s">
        <v>0</v>
      </c>
      <c r="G918" s="45" t="s">
        <v>942</v>
      </c>
      <c r="H918" s="47" t="s">
        <v>11</v>
      </c>
      <c r="I918" s="81" t="s">
        <v>3</v>
      </c>
      <c r="J918" s="37"/>
      <c r="K918" s="76" t="s">
        <v>2226</v>
      </c>
      <c r="L918" s="37"/>
      <c r="M918" s="37"/>
    </row>
    <row r="919" spans="1:27" s="77" customFormat="1" ht="15.75" customHeight="1">
      <c r="A919" s="82" t="s">
        <v>2093</v>
      </c>
      <c r="B919" s="82" t="s">
        <v>2238</v>
      </c>
      <c r="C919" s="79">
        <v>44461</v>
      </c>
      <c r="D919" s="80">
        <v>44749</v>
      </c>
      <c r="E919" s="41">
        <f>D919-C919</f>
        <v>288</v>
      </c>
      <c r="F919" s="83" t="s">
        <v>2239</v>
      </c>
      <c r="G919" s="81" t="s">
        <v>2240</v>
      </c>
      <c r="H919" s="83" t="s">
        <v>2</v>
      </c>
      <c r="I919" s="81" t="s">
        <v>2241</v>
      </c>
    </row>
    <row r="920" spans="1:27" s="77" customFormat="1" ht="15.75" customHeight="1">
      <c r="A920" s="37" t="s">
        <v>1146</v>
      </c>
      <c r="B920" s="57" t="s">
        <v>1147</v>
      </c>
      <c r="C920" s="39">
        <v>43646</v>
      </c>
      <c r="D920" s="39">
        <v>43936</v>
      </c>
      <c r="E920" s="47">
        <f>D920-C920</f>
        <v>290</v>
      </c>
      <c r="F920" s="43" t="s">
        <v>0</v>
      </c>
      <c r="G920" s="45" t="s">
        <v>1148</v>
      </c>
      <c r="H920" s="45"/>
      <c r="I920" s="45"/>
      <c r="J920" s="37"/>
      <c r="K920" s="53" t="s">
        <v>1149</v>
      </c>
      <c r="L920" s="37"/>
      <c r="M920" s="37"/>
    </row>
    <row r="921" spans="1:27" s="77" customFormat="1" ht="15.75" customHeight="1">
      <c r="A921" s="82" t="s">
        <v>2255</v>
      </c>
      <c r="B921" s="82" t="s">
        <v>2256</v>
      </c>
      <c r="C921" s="79">
        <v>44468</v>
      </c>
      <c r="D921" s="80">
        <v>44760</v>
      </c>
      <c r="E921" s="41">
        <f>D921-C921</f>
        <v>292</v>
      </c>
      <c r="F921" s="43" t="s">
        <v>0</v>
      </c>
      <c r="G921" s="81" t="s">
        <v>33</v>
      </c>
      <c r="H921" s="83" t="s">
        <v>2</v>
      </c>
      <c r="I921" s="46"/>
    </row>
    <row r="922" spans="1:27" s="77" customFormat="1" ht="15.75" customHeight="1">
      <c r="A922" s="37" t="s">
        <v>1093</v>
      </c>
      <c r="B922" s="42" t="s">
        <v>1269</v>
      </c>
      <c r="C922" s="79">
        <v>44059</v>
      </c>
      <c r="D922" s="80">
        <v>44353</v>
      </c>
      <c r="E922" s="41">
        <f>D922-C922</f>
        <v>294</v>
      </c>
      <c r="F922" s="43" t="s">
        <v>0</v>
      </c>
      <c r="G922" s="46"/>
      <c r="H922" s="46"/>
      <c r="I922" s="46"/>
      <c r="K922" s="76" t="s">
        <v>1270</v>
      </c>
    </row>
    <row r="923" spans="1:27" s="77" customFormat="1" ht="15.75" customHeight="1">
      <c r="A923" s="57" t="s">
        <v>939</v>
      </c>
      <c r="B923" s="52" t="s">
        <v>1338</v>
      </c>
      <c r="C923" s="39">
        <v>43749</v>
      </c>
      <c r="D923" s="40">
        <v>44044</v>
      </c>
      <c r="E923" s="41">
        <f>D923-C923</f>
        <v>295</v>
      </c>
      <c r="F923" s="48" t="s">
        <v>1137</v>
      </c>
      <c r="G923" s="37"/>
      <c r="H923" s="37"/>
      <c r="I923" s="46"/>
      <c r="J923" s="37"/>
      <c r="K923" s="53" t="s">
        <v>1339</v>
      </c>
      <c r="L923" s="37"/>
      <c r="M923" s="37"/>
    </row>
    <row r="924" spans="1:27" s="77" customFormat="1" ht="15.75" customHeight="1">
      <c r="A924" s="42" t="s">
        <v>970</v>
      </c>
      <c r="B924" s="42" t="s">
        <v>971</v>
      </c>
      <c r="C924" s="39">
        <v>43537</v>
      </c>
      <c r="D924" s="66">
        <v>43834</v>
      </c>
      <c r="E924" s="47">
        <f>D924-C924</f>
        <v>297</v>
      </c>
      <c r="F924" s="43" t="s">
        <v>0</v>
      </c>
      <c r="G924" s="45" t="s">
        <v>972</v>
      </c>
      <c r="H924" s="45"/>
      <c r="I924" s="35"/>
      <c r="J924" s="1"/>
      <c r="K924" s="1"/>
      <c r="L924" s="1"/>
      <c r="M924" s="1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spans="1:27" s="77" customFormat="1" ht="15.75" customHeight="1">
      <c r="A925" s="37" t="s">
        <v>2353</v>
      </c>
      <c r="B925" s="87" t="s">
        <v>2354</v>
      </c>
      <c r="C925" s="79">
        <v>44580</v>
      </c>
      <c r="D925" s="40">
        <v>44878</v>
      </c>
      <c r="E925" s="41">
        <f>D925-C925</f>
        <v>298</v>
      </c>
      <c r="F925" s="43" t="s">
        <v>0</v>
      </c>
      <c r="G925" s="81" t="s">
        <v>1</v>
      </c>
      <c r="H925" s="83" t="s">
        <v>2</v>
      </c>
      <c r="I925" s="81"/>
      <c r="J925" s="87"/>
      <c r="K925" s="76" t="s">
        <v>2355</v>
      </c>
      <c r="L925" s="87" t="s">
        <v>2356</v>
      </c>
      <c r="M925" s="87"/>
    </row>
    <row r="926" spans="1:27" s="77" customFormat="1" ht="15.75" customHeight="1">
      <c r="A926" s="57" t="s">
        <v>595</v>
      </c>
      <c r="B926" s="42" t="s">
        <v>1180</v>
      </c>
      <c r="C926" s="39">
        <v>43646</v>
      </c>
      <c r="D926" s="40">
        <v>43946</v>
      </c>
      <c r="E926" s="41">
        <f>D926-C926</f>
        <v>300</v>
      </c>
      <c r="F926" s="43" t="s">
        <v>0</v>
      </c>
      <c r="G926" s="37"/>
      <c r="H926" s="37"/>
      <c r="I926" s="45"/>
      <c r="J926" s="37"/>
      <c r="K926" s="53" t="s">
        <v>1181</v>
      </c>
      <c r="L926" s="37"/>
      <c r="M926" s="37"/>
    </row>
    <row r="927" spans="1:27" s="77" customFormat="1" ht="15.75" customHeight="1">
      <c r="A927" s="37" t="s">
        <v>1715</v>
      </c>
      <c r="B927" s="42" t="s">
        <v>1716</v>
      </c>
      <c r="C927" s="79">
        <v>44073</v>
      </c>
      <c r="D927" s="80">
        <v>44373</v>
      </c>
      <c r="E927" s="41">
        <f>D927-C927</f>
        <v>300</v>
      </c>
      <c r="F927" s="43" t="s">
        <v>0</v>
      </c>
      <c r="G927" s="45" t="s">
        <v>1</v>
      </c>
      <c r="H927" s="46"/>
      <c r="I927" s="45" t="s">
        <v>817</v>
      </c>
      <c r="K927" s="76" t="s">
        <v>1717</v>
      </c>
      <c r="L927" s="42" t="s">
        <v>1718</v>
      </c>
    </row>
    <row r="928" spans="1:27" s="77" customFormat="1" ht="15.75" customHeight="1">
      <c r="A928" s="75" t="s">
        <v>1278</v>
      </c>
      <c r="B928" s="82" t="s">
        <v>1897</v>
      </c>
      <c r="C928" s="79">
        <v>44198</v>
      </c>
      <c r="D928" s="80">
        <v>44501</v>
      </c>
      <c r="E928" s="41">
        <f>D928-C928</f>
        <v>303</v>
      </c>
      <c r="F928" s="43" t="s">
        <v>0</v>
      </c>
      <c r="G928" s="81" t="s">
        <v>1</v>
      </c>
      <c r="H928" s="46"/>
      <c r="I928" s="46"/>
      <c r="K928" s="76" t="s">
        <v>1898</v>
      </c>
      <c r="M928" s="75" t="s">
        <v>1899</v>
      </c>
    </row>
    <row r="929" spans="1:27" s="77" customFormat="1" ht="15.75" customHeight="1">
      <c r="A929" s="37" t="s">
        <v>1157</v>
      </c>
      <c r="B929" s="42" t="s">
        <v>1158</v>
      </c>
      <c r="C929" s="39">
        <v>44024</v>
      </c>
      <c r="D929" s="40">
        <v>44330</v>
      </c>
      <c r="E929" s="41">
        <f>D929-C929</f>
        <v>306</v>
      </c>
      <c r="F929" s="43" t="s">
        <v>0</v>
      </c>
      <c r="G929" s="46"/>
      <c r="H929" s="46"/>
      <c r="I929" s="46"/>
    </row>
    <row r="930" spans="1:27" s="77" customFormat="1" ht="15.75" customHeight="1">
      <c r="A930" s="42" t="s">
        <v>1310</v>
      </c>
      <c r="B930" s="42" t="s">
        <v>1310</v>
      </c>
      <c r="C930" s="39">
        <v>43702</v>
      </c>
      <c r="D930" s="40">
        <v>44016</v>
      </c>
      <c r="E930" s="41">
        <f>D930-C930</f>
        <v>314</v>
      </c>
      <c r="F930" s="43" t="s">
        <v>54</v>
      </c>
      <c r="G930" s="45" t="s">
        <v>1</v>
      </c>
      <c r="H930" s="46"/>
      <c r="I930" s="46"/>
      <c r="J930" s="37"/>
      <c r="K930" s="53" t="s">
        <v>1311</v>
      </c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spans="1:27" s="77" customFormat="1" ht="15.75" customHeight="1">
      <c r="A931" s="37" t="s">
        <v>1272</v>
      </c>
      <c r="B931" s="52" t="s">
        <v>1273</v>
      </c>
      <c r="C931" s="39">
        <v>44201</v>
      </c>
      <c r="D931" s="40">
        <v>44518</v>
      </c>
      <c r="E931" s="41">
        <f>D931-C931</f>
        <v>317</v>
      </c>
      <c r="F931" s="43" t="s">
        <v>0</v>
      </c>
      <c r="G931" s="45" t="s">
        <v>1</v>
      </c>
      <c r="H931" s="46"/>
      <c r="I931" s="46"/>
      <c r="J931" s="37"/>
      <c r="K931" s="53" t="s">
        <v>1274</v>
      </c>
    </row>
    <row r="932" spans="1:27" s="77" customFormat="1" ht="15.75" customHeight="1">
      <c r="A932" s="37" t="s">
        <v>816</v>
      </c>
      <c r="B932" s="42" t="s">
        <v>699</v>
      </c>
      <c r="C932" s="39">
        <v>43629</v>
      </c>
      <c r="D932" s="39">
        <v>43951</v>
      </c>
      <c r="E932" s="41">
        <f>D932-C932</f>
        <v>322</v>
      </c>
      <c r="F932" s="46" t="s">
        <v>794</v>
      </c>
      <c r="G932" s="45"/>
      <c r="H932" s="45"/>
      <c r="I932" s="45"/>
      <c r="J932" s="37"/>
      <c r="K932" s="53" t="s">
        <v>1193</v>
      </c>
      <c r="L932" s="37"/>
      <c r="M932" s="37"/>
    </row>
    <row r="933" spans="1:27" s="77" customFormat="1" ht="15.75" customHeight="1">
      <c r="A933" s="37" t="s">
        <v>1598</v>
      </c>
      <c r="B933" s="42" t="s">
        <v>1833</v>
      </c>
      <c r="C933" s="79">
        <v>44142</v>
      </c>
      <c r="D933" s="80">
        <v>44464</v>
      </c>
      <c r="E933" s="41">
        <f>D933-C933</f>
        <v>322</v>
      </c>
      <c r="F933" s="43" t="s">
        <v>0</v>
      </c>
      <c r="G933" s="81" t="s">
        <v>26</v>
      </c>
      <c r="H933" s="46"/>
      <c r="I933" s="46"/>
      <c r="K933" s="76" t="s">
        <v>1834</v>
      </c>
    </row>
    <row r="934" spans="1:27" s="77" customFormat="1" ht="15.75" customHeight="1">
      <c r="A934" s="42" t="s">
        <v>745</v>
      </c>
      <c r="B934" s="38" t="s">
        <v>746</v>
      </c>
      <c r="C934" s="39">
        <v>43345</v>
      </c>
      <c r="D934" s="39">
        <v>43673</v>
      </c>
      <c r="E934" s="47">
        <f>D934-C934</f>
        <v>328</v>
      </c>
      <c r="F934" s="43" t="s">
        <v>0</v>
      </c>
      <c r="G934" s="44"/>
      <c r="H934" s="44"/>
      <c r="I934" s="44"/>
      <c r="J934" s="1"/>
      <c r="K934" s="1"/>
      <c r="L934"/>
      <c r="M934"/>
    </row>
    <row r="935" spans="1:27" s="77" customFormat="1" ht="15.75" customHeight="1">
      <c r="A935" s="42" t="s">
        <v>1327</v>
      </c>
      <c r="B935" s="42" t="s">
        <v>1331</v>
      </c>
      <c r="C935" s="39">
        <v>43703</v>
      </c>
      <c r="D935" s="39">
        <v>44033</v>
      </c>
      <c r="E935" s="47">
        <f>D935-C935</f>
        <v>330</v>
      </c>
      <c r="F935" s="43" t="s">
        <v>54</v>
      </c>
      <c r="G935" s="45" t="s">
        <v>1</v>
      </c>
      <c r="H935" s="46"/>
      <c r="I935" s="46"/>
      <c r="J935" s="37"/>
      <c r="K935" s="53" t="s">
        <v>1332</v>
      </c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spans="1:27" s="77" customFormat="1" ht="15.75" customHeight="1">
      <c r="A936" s="42" t="s">
        <v>668</v>
      </c>
      <c r="B936" s="38" t="s">
        <v>669</v>
      </c>
      <c r="C936" s="39">
        <v>44539</v>
      </c>
      <c r="D936" s="80">
        <v>44869</v>
      </c>
      <c r="E936" s="41">
        <f>D936-C936</f>
        <v>330</v>
      </c>
      <c r="F936" s="43" t="s">
        <v>0</v>
      </c>
      <c r="G936" s="46"/>
      <c r="H936" s="83" t="s">
        <v>2</v>
      </c>
      <c r="I936" s="46"/>
      <c r="K936" s="76" t="s">
        <v>2344</v>
      </c>
    </row>
    <row r="937" spans="1:27" s="77" customFormat="1" ht="15.75" customHeight="1">
      <c r="A937" s="37" t="s">
        <v>219</v>
      </c>
      <c r="B937" s="87" t="s">
        <v>2266</v>
      </c>
      <c r="C937" s="79">
        <v>44454</v>
      </c>
      <c r="D937" s="80">
        <v>44785</v>
      </c>
      <c r="E937" s="41">
        <f>D937-C937</f>
        <v>331</v>
      </c>
      <c r="F937" s="83" t="s">
        <v>144</v>
      </c>
      <c r="G937" s="81" t="s">
        <v>70</v>
      </c>
      <c r="H937" s="83" t="s">
        <v>2</v>
      </c>
      <c r="I937" s="81"/>
      <c r="J937" s="87"/>
      <c r="K937" s="76" t="s">
        <v>2267</v>
      </c>
      <c r="L937" s="87"/>
      <c r="M937" s="87"/>
    </row>
    <row r="938" spans="1:27" s="77" customFormat="1" ht="15.75" customHeight="1">
      <c r="A938" s="42" t="s">
        <v>1818</v>
      </c>
      <c r="B938" s="42" t="s">
        <v>1819</v>
      </c>
      <c r="C938" s="79">
        <v>44118</v>
      </c>
      <c r="D938" s="80">
        <v>44450</v>
      </c>
      <c r="E938" s="41">
        <f>D938-C938</f>
        <v>332</v>
      </c>
      <c r="F938" s="43" t="s">
        <v>0</v>
      </c>
      <c r="G938" s="81" t="s">
        <v>1</v>
      </c>
      <c r="H938" s="46"/>
      <c r="I938" s="46"/>
      <c r="K938" s="76" t="s">
        <v>1820</v>
      </c>
    </row>
    <row r="939" spans="1:27" s="77" customFormat="1" ht="15.75" customHeight="1">
      <c r="A939" s="37" t="s">
        <v>619</v>
      </c>
      <c r="B939" s="38" t="s">
        <v>620</v>
      </c>
      <c r="C939" s="39">
        <v>44523</v>
      </c>
      <c r="D939" s="80">
        <v>44855</v>
      </c>
      <c r="E939" s="41">
        <f>D939-C939</f>
        <v>332</v>
      </c>
      <c r="F939" s="43" t="s">
        <v>0</v>
      </c>
      <c r="G939" s="45" t="s">
        <v>2326</v>
      </c>
      <c r="H939" s="47" t="s">
        <v>11</v>
      </c>
      <c r="I939" s="46"/>
      <c r="J939" s="37"/>
      <c r="K939" s="53" t="s">
        <v>1370</v>
      </c>
      <c r="L939" s="37"/>
      <c r="M939" s="37"/>
    </row>
    <row r="940" spans="1:27" s="77" customFormat="1" ht="15.75" customHeight="1">
      <c r="A940" s="42" t="s">
        <v>1490</v>
      </c>
      <c r="B940" s="42" t="s">
        <v>1490</v>
      </c>
      <c r="C940" s="39">
        <v>43836</v>
      </c>
      <c r="D940" s="40">
        <v>44169</v>
      </c>
      <c r="E940" s="41">
        <f>D940-C940</f>
        <v>333</v>
      </c>
      <c r="F940" s="43" t="s">
        <v>0</v>
      </c>
      <c r="G940" s="45" t="s">
        <v>26</v>
      </c>
      <c r="H940" s="46"/>
      <c r="I940" s="45" t="s">
        <v>1450</v>
      </c>
      <c r="J940" s="75"/>
      <c r="K940" s="75"/>
      <c r="L940" s="75"/>
      <c r="M940" s="75"/>
    </row>
    <row r="941" spans="1:27" s="77" customFormat="1" ht="15.75" customHeight="1">
      <c r="A941" s="42" t="s">
        <v>1564</v>
      </c>
      <c r="B941" s="42" t="s">
        <v>161</v>
      </c>
      <c r="C941" s="39">
        <v>43930</v>
      </c>
      <c r="D941" s="40">
        <v>44268</v>
      </c>
      <c r="E941" s="41">
        <f>D941-C941</f>
        <v>338</v>
      </c>
      <c r="F941" s="43" t="s">
        <v>0</v>
      </c>
      <c r="G941" s="45" t="s">
        <v>1</v>
      </c>
      <c r="H941" s="46"/>
      <c r="I941" s="46"/>
      <c r="K941" s="53" t="s">
        <v>1565</v>
      </c>
    </row>
    <row r="942" spans="1:27" s="77" customFormat="1" ht="15.75" customHeight="1">
      <c r="A942" s="77" t="s">
        <v>1968</v>
      </c>
      <c r="B942" s="75" t="s">
        <v>1969</v>
      </c>
      <c r="C942" s="79">
        <v>44232</v>
      </c>
      <c r="D942" s="80">
        <v>44570</v>
      </c>
      <c r="E942" s="41">
        <f>D942-C942</f>
        <v>338</v>
      </c>
      <c r="F942" s="83" t="s">
        <v>1970</v>
      </c>
      <c r="G942" s="81" t="s">
        <v>1</v>
      </c>
      <c r="H942" s="83" t="s">
        <v>2</v>
      </c>
      <c r="I942" s="81" t="s">
        <v>1971</v>
      </c>
      <c r="K942" s="76" t="s">
        <v>1972</v>
      </c>
      <c r="L942" s="82" t="s">
        <v>1973</v>
      </c>
    </row>
    <row r="943" spans="1:27" s="77" customFormat="1" ht="15.75" customHeight="1">
      <c r="A943" s="42" t="s">
        <v>707</v>
      </c>
      <c r="B943" s="38" t="s">
        <v>791</v>
      </c>
      <c r="C943" s="39">
        <v>43361</v>
      </c>
      <c r="D943" s="39">
        <v>43702</v>
      </c>
      <c r="E943" s="47">
        <f>D943-C943</f>
        <v>341</v>
      </c>
      <c r="F943" s="43" t="s">
        <v>0</v>
      </c>
      <c r="G943" s="45" t="s">
        <v>792</v>
      </c>
      <c r="H943" s="45"/>
      <c r="I943" s="45"/>
      <c r="J943" s="42"/>
      <c r="K943" s="53" t="s">
        <v>793</v>
      </c>
      <c r="L943"/>
      <c r="M943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spans="1:27" s="77" customFormat="1" ht="15.75" customHeight="1">
      <c r="A944" s="37" t="s">
        <v>1417</v>
      </c>
      <c r="B944" s="42" t="s">
        <v>1418</v>
      </c>
      <c r="C944" s="39">
        <v>44465</v>
      </c>
      <c r="D944" s="40">
        <v>44806</v>
      </c>
      <c r="E944" s="41">
        <f>D944-C944</f>
        <v>341</v>
      </c>
      <c r="F944" s="43" t="s">
        <v>0</v>
      </c>
      <c r="G944" s="45" t="s">
        <v>1089</v>
      </c>
      <c r="H944" s="41" t="s">
        <v>11</v>
      </c>
      <c r="I944" s="45" t="s">
        <v>90</v>
      </c>
      <c r="J944" s="37"/>
      <c r="K944" s="37"/>
      <c r="L944" s="37" t="s">
        <v>1419</v>
      </c>
      <c r="M944" s="37"/>
    </row>
    <row r="945" spans="1:13" s="77" customFormat="1" ht="15.75" customHeight="1">
      <c r="A945" s="87" t="s">
        <v>305</v>
      </c>
      <c r="B945" s="87" t="s">
        <v>306</v>
      </c>
      <c r="C945" s="79">
        <v>44495</v>
      </c>
      <c r="D945" s="80">
        <v>44837</v>
      </c>
      <c r="E945" s="41">
        <f>D945-C945</f>
        <v>342</v>
      </c>
      <c r="F945" s="43" t="s">
        <v>0</v>
      </c>
      <c r="G945" s="81"/>
      <c r="H945" s="83" t="s">
        <v>11</v>
      </c>
      <c r="I945" s="81" t="s">
        <v>125</v>
      </c>
      <c r="J945" s="87"/>
      <c r="K945" s="87"/>
      <c r="L945" s="87"/>
      <c r="M945" s="87"/>
    </row>
    <row r="946" spans="1:13" s="77" customFormat="1" ht="15.75" customHeight="1">
      <c r="A946" s="75" t="s">
        <v>2093</v>
      </c>
      <c r="B946" s="75" t="s">
        <v>2094</v>
      </c>
      <c r="C946" s="79">
        <v>44296</v>
      </c>
      <c r="D946" s="80">
        <v>44639</v>
      </c>
      <c r="E946" s="41">
        <f>D946-C946</f>
        <v>343</v>
      </c>
      <c r="F946" s="83" t="s">
        <v>68</v>
      </c>
      <c r="G946" s="81" t="s">
        <v>1</v>
      </c>
      <c r="H946" s="83" t="s">
        <v>2</v>
      </c>
      <c r="I946" s="81" t="s">
        <v>3</v>
      </c>
      <c r="K946" s="82" t="s">
        <v>2095</v>
      </c>
    </row>
    <row r="947" spans="1:13" s="77" customFormat="1" ht="15.75" customHeight="1">
      <c r="A947" s="42" t="s">
        <v>1192</v>
      </c>
      <c r="B947" s="42" t="s">
        <v>510</v>
      </c>
      <c r="C947" s="39">
        <v>43606</v>
      </c>
      <c r="D947" s="39">
        <v>43950</v>
      </c>
      <c r="E947" s="47">
        <f>D947-C947</f>
        <v>344</v>
      </c>
      <c r="F947" s="43" t="s">
        <v>0</v>
      </c>
      <c r="G947" s="45" t="s">
        <v>512</v>
      </c>
      <c r="H947" s="45"/>
      <c r="I947" s="45"/>
      <c r="J947" s="37"/>
      <c r="K947" s="53" t="s">
        <v>513</v>
      </c>
      <c r="L947" s="37"/>
      <c r="M947" s="37"/>
    </row>
    <row r="948" spans="1:13" s="77" customFormat="1" ht="15.75" customHeight="1">
      <c r="A948" s="42" t="s">
        <v>2867</v>
      </c>
      <c r="B948" s="42" t="s">
        <v>1393</v>
      </c>
      <c r="C948" s="39">
        <v>44259</v>
      </c>
      <c r="D948" s="40">
        <v>44603</v>
      </c>
      <c r="E948" s="41">
        <f>D948-C948</f>
        <v>344</v>
      </c>
      <c r="F948" s="43" t="s">
        <v>0</v>
      </c>
      <c r="G948" s="45" t="s">
        <v>1</v>
      </c>
      <c r="H948" s="45" t="s">
        <v>2</v>
      </c>
      <c r="I948" s="46"/>
      <c r="J948" s="37"/>
      <c r="K948" s="37"/>
      <c r="L948" s="37"/>
      <c r="M948" s="37"/>
    </row>
    <row r="949" spans="1:13" s="77" customFormat="1" ht="15.75" customHeight="1">
      <c r="A949" s="42" t="s">
        <v>1050</v>
      </c>
      <c r="B949" s="42" t="s">
        <v>1051</v>
      </c>
      <c r="C949" s="39">
        <v>43544</v>
      </c>
      <c r="D949" s="40">
        <v>43890</v>
      </c>
      <c r="E949" s="47">
        <f>D949-C949</f>
        <v>346</v>
      </c>
      <c r="F949" s="43" t="s">
        <v>0</v>
      </c>
      <c r="G949" s="45" t="s">
        <v>628</v>
      </c>
      <c r="H949" s="45"/>
      <c r="I949" s="45"/>
      <c r="J949" s="42"/>
      <c r="K949" s="42"/>
      <c r="L949" s="42"/>
      <c r="M949" s="42"/>
    </row>
    <row r="950" spans="1:13" s="77" customFormat="1" ht="15.75" customHeight="1">
      <c r="A950" s="57" t="s">
        <v>983</v>
      </c>
      <c r="B950" s="42" t="s">
        <v>1243</v>
      </c>
      <c r="C950" s="39">
        <v>43634</v>
      </c>
      <c r="D950" s="39">
        <v>43981</v>
      </c>
      <c r="E950" s="41">
        <f>D950-C950</f>
        <v>347</v>
      </c>
      <c r="F950" s="43" t="s">
        <v>0</v>
      </c>
      <c r="G950" s="45" t="s">
        <v>1244</v>
      </c>
      <c r="H950" s="45"/>
      <c r="I950" s="45" t="s">
        <v>817</v>
      </c>
      <c r="J950" s="37"/>
      <c r="K950" s="53" t="s">
        <v>1245</v>
      </c>
      <c r="L950" s="37"/>
      <c r="M950" s="37"/>
    </row>
    <row r="951" spans="1:13" s="77" customFormat="1" ht="15.75" customHeight="1">
      <c r="A951" s="37" t="s">
        <v>2389</v>
      </c>
      <c r="B951" s="87" t="s">
        <v>2390</v>
      </c>
      <c r="C951" s="79">
        <v>44566</v>
      </c>
      <c r="D951" s="80">
        <v>44913</v>
      </c>
      <c r="E951" s="41">
        <f>D951-C951</f>
        <v>347</v>
      </c>
      <c r="F951" s="83" t="s">
        <v>144</v>
      </c>
      <c r="G951" s="81"/>
      <c r="H951" s="83" t="s">
        <v>11</v>
      </c>
      <c r="I951" s="81"/>
      <c r="J951" s="87"/>
      <c r="K951" s="87"/>
      <c r="L951" s="87"/>
      <c r="M951" s="87"/>
    </row>
    <row r="952" spans="1:13" s="77" customFormat="1" ht="15.75" customHeight="1">
      <c r="A952" s="37" t="s">
        <v>1506</v>
      </c>
      <c r="B952" s="42" t="s">
        <v>1507</v>
      </c>
      <c r="C952" s="39">
        <v>43850</v>
      </c>
      <c r="D952" s="40">
        <v>44198</v>
      </c>
      <c r="E952" s="41">
        <f>D952-C952</f>
        <v>348</v>
      </c>
      <c r="F952" s="43" t="s">
        <v>0</v>
      </c>
      <c r="G952" s="45" t="s">
        <v>70</v>
      </c>
      <c r="H952" s="46"/>
      <c r="I952" s="46"/>
      <c r="J952" s="75"/>
      <c r="K952" s="53" t="s">
        <v>1508</v>
      </c>
      <c r="L952" s="75"/>
      <c r="M952" s="75"/>
    </row>
    <row r="953" spans="1:13" s="77" customFormat="1" ht="15.75" customHeight="1">
      <c r="A953" s="42" t="s">
        <v>1117</v>
      </c>
      <c r="B953" s="42" t="s">
        <v>1118</v>
      </c>
      <c r="C953" s="39">
        <v>44093</v>
      </c>
      <c r="D953" s="80">
        <v>44443</v>
      </c>
      <c r="E953" s="41">
        <f>D953-C953</f>
        <v>350</v>
      </c>
      <c r="F953" s="43" t="s">
        <v>0</v>
      </c>
      <c r="G953" s="45" t="s">
        <v>33</v>
      </c>
      <c r="H953" s="46"/>
      <c r="I953" s="46"/>
      <c r="J953" s="37"/>
      <c r="K953" s="53" t="s">
        <v>1120</v>
      </c>
      <c r="L953" s="37"/>
      <c r="M953" s="37"/>
    </row>
    <row r="954" spans="1:13" s="77" customFormat="1" ht="15.75" customHeight="1">
      <c r="A954" s="37" t="s">
        <v>827</v>
      </c>
      <c r="B954" s="38" t="s">
        <v>828</v>
      </c>
      <c r="C954" s="39">
        <v>43380</v>
      </c>
      <c r="D954" s="39">
        <v>43731</v>
      </c>
      <c r="E954" s="47">
        <f>D954-C954</f>
        <v>351</v>
      </c>
      <c r="F954" s="43" t="s">
        <v>0</v>
      </c>
      <c r="G954" s="45" t="s">
        <v>829</v>
      </c>
      <c r="H954" s="45"/>
      <c r="I954" s="45"/>
      <c r="J954" s="42"/>
      <c r="K954" s="53" t="s">
        <v>830</v>
      </c>
      <c r="L954"/>
      <c r="M954"/>
    </row>
    <row r="955" spans="1:13" s="77" customFormat="1" ht="15.75" customHeight="1">
      <c r="A955" s="77" t="s">
        <v>1948</v>
      </c>
      <c r="B955" s="75" t="s">
        <v>1949</v>
      </c>
      <c r="C955" s="79">
        <v>44200</v>
      </c>
      <c r="D955" s="80">
        <v>44551</v>
      </c>
      <c r="E955" s="41">
        <f>D955-C955</f>
        <v>351</v>
      </c>
      <c r="F955" s="43" t="s">
        <v>0</v>
      </c>
      <c r="G955" s="46"/>
      <c r="H955" s="46"/>
      <c r="I955" s="46"/>
      <c r="K955" s="76" t="s">
        <v>1950</v>
      </c>
    </row>
    <row r="956" spans="1:13" s="87" customFormat="1" ht="15.75" customHeight="1">
      <c r="A956" s="77" t="s">
        <v>2164</v>
      </c>
      <c r="B956" s="75" t="s">
        <v>2165</v>
      </c>
      <c r="C956" s="79">
        <v>44322</v>
      </c>
      <c r="D956" s="79">
        <v>44674</v>
      </c>
      <c r="E956" s="41">
        <f>D956-C956</f>
        <v>352</v>
      </c>
      <c r="F956" s="43" t="s">
        <v>0</v>
      </c>
      <c r="G956" s="81" t="s">
        <v>2166</v>
      </c>
      <c r="H956" s="83" t="s">
        <v>11</v>
      </c>
      <c r="I956" s="46"/>
      <c r="J956" s="77"/>
      <c r="K956" s="76" t="s">
        <v>2167</v>
      </c>
      <c r="L956" s="77"/>
      <c r="M956" s="77"/>
    </row>
    <row r="957" spans="1:13" s="87" customFormat="1" ht="15.75" customHeight="1">
      <c r="A957" s="56" t="s">
        <v>977</v>
      </c>
      <c r="B957" s="56" t="s">
        <v>978</v>
      </c>
      <c r="C957" s="61">
        <v>43488</v>
      </c>
      <c r="D957" s="61">
        <v>43841</v>
      </c>
      <c r="E957" s="47">
        <f>D957-C957</f>
        <v>353</v>
      </c>
      <c r="F957" s="62" t="s">
        <v>0</v>
      </c>
      <c r="G957" s="55" t="s">
        <v>312</v>
      </c>
      <c r="H957" s="55"/>
      <c r="I957"/>
      <c r="J957"/>
      <c r="K957"/>
      <c r="L957"/>
      <c r="M957"/>
    </row>
    <row r="958" spans="1:13" s="87" customFormat="1" ht="15.75" customHeight="1">
      <c r="A958" s="57" t="s">
        <v>1371</v>
      </c>
      <c r="B958" s="52" t="s">
        <v>1372</v>
      </c>
      <c r="C958" s="39">
        <v>43726</v>
      </c>
      <c r="D958" s="39">
        <v>44079</v>
      </c>
      <c r="E958" s="41">
        <f>D958-C958</f>
        <v>353</v>
      </c>
      <c r="F958" s="43" t="s">
        <v>0</v>
      </c>
      <c r="G958" s="46"/>
      <c r="H958" s="46"/>
      <c r="I958" s="46"/>
      <c r="J958" s="37"/>
      <c r="K958" s="53" t="s">
        <v>1373</v>
      </c>
      <c r="L958" s="37"/>
      <c r="M958" s="37"/>
    </row>
    <row r="959" spans="1:13" s="87" customFormat="1" ht="15.75" customHeight="1">
      <c r="A959" s="77" t="s">
        <v>2056</v>
      </c>
      <c r="B959" s="82" t="s">
        <v>2197</v>
      </c>
      <c r="C959" s="79">
        <v>44353</v>
      </c>
      <c r="D959" s="80">
        <v>44709</v>
      </c>
      <c r="E959" s="41">
        <f>D959-C959</f>
        <v>356</v>
      </c>
      <c r="F959" s="83" t="s">
        <v>1889</v>
      </c>
      <c r="G959" s="81" t="s">
        <v>225</v>
      </c>
      <c r="H959" s="83" t="s">
        <v>11</v>
      </c>
      <c r="I959" s="81" t="s">
        <v>1987</v>
      </c>
      <c r="J959" s="77"/>
      <c r="K959" s="76" t="s">
        <v>2198</v>
      </c>
      <c r="L959" s="77" t="s">
        <v>2199</v>
      </c>
      <c r="M959" s="77"/>
    </row>
    <row r="960" spans="1:13" s="87" customFormat="1" ht="15.75" customHeight="1">
      <c r="A960" s="42" t="s">
        <v>1764</v>
      </c>
      <c r="B960" s="42" t="s">
        <v>1764</v>
      </c>
      <c r="C960" s="39">
        <v>44044</v>
      </c>
      <c r="D960" s="80">
        <v>44405</v>
      </c>
      <c r="E960" s="41">
        <f>D960-C960</f>
        <v>361</v>
      </c>
      <c r="F960" s="46" t="s">
        <v>1570</v>
      </c>
      <c r="G960" s="46"/>
      <c r="H960" s="46"/>
      <c r="I960" s="46"/>
      <c r="J960" s="77"/>
      <c r="K960" s="76" t="s">
        <v>1765</v>
      </c>
      <c r="L960" s="77"/>
      <c r="M960" s="77"/>
    </row>
    <row r="961" spans="1:27" s="87" customFormat="1" ht="15.75" customHeight="1">
      <c r="A961" s="57" t="s">
        <v>1334</v>
      </c>
      <c r="B961" s="42" t="s">
        <v>1335</v>
      </c>
      <c r="C961" s="39">
        <v>43675</v>
      </c>
      <c r="D961" s="39">
        <v>44038</v>
      </c>
      <c r="E961" s="47">
        <f>D961-C961</f>
        <v>363</v>
      </c>
      <c r="F961" s="48" t="s">
        <v>2840</v>
      </c>
      <c r="G961" s="46"/>
      <c r="H961" s="46"/>
      <c r="I961" s="46"/>
      <c r="J961" s="37"/>
      <c r="K961" s="53" t="s">
        <v>1336</v>
      </c>
      <c r="L961" s="37"/>
      <c r="M961" s="37"/>
    </row>
    <row r="962" spans="1:27" s="87" customFormat="1" ht="15.75" customHeight="1">
      <c r="A962" s="82" t="s">
        <v>2200</v>
      </c>
      <c r="B962" s="82" t="s">
        <v>2201</v>
      </c>
      <c r="C962" s="79">
        <v>44346</v>
      </c>
      <c r="D962" s="80">
        <v>44711</v>
      </c>
      <c r="E962" s="41">
        <f>D962-C962</f>
        <v>365</v>
      </c>
      <c r="F962" s="46" t="s">
        <v>1871</v>
      </c>
      <c r="G962" s="46"/>
      <c r="H962" s="83" t="s">
        <v>11</v>
      </c>
      <c r="I962" s="46"/>
      <c r="J962" s="77"/>
      <c r="K962" s="76" t="s">
        <v>2202</v>
      </c>
      <c r="L962" s="77"/>
      <c r="M962" s="77"/>
    </row>
    <row r="963" spans="1:27" s="87" customFormat="1" ht="15.75" customHeight="1">
      <c r="A963" s="42" t="s">
        <v>1246</v>
      </c>
      <c r="B963" s="42" t="s">
        <v>1247</v>
      </c>
      <c r="C963" s="39">
        <v>43614</v>
      </c>
      <c r="D963" s="39">
        <v>43981</v>
      </c>
      <c r="E963" s="41">
        <f>D963-C963</f>
        <v>367</v>
      </c>
      <c r="F963" s="43" t="s">
        <v>0</v>
      </c>
      <c r="G963" s="45" t="s">
        <v>43</v>
      </c>
      <c r="H963" s="45"/>
      <c r="I963" s="45"/>
      <c r="J963" s="37"/>
      <c r="K963" s="53" t="s">
        <v>1248</v>
      </c>
      <c r="L963" s="37"/>
      <c r="M963" s="37"/>
    </row>
    <row r="964" spans="1:27" s="87" customFormat="1" ht="15.75" customHeight="1">
      <c r="A964" s="87" t="s">
        <v>2265</v>
      </c>
      <c r="B964" s="87" t="s">
        <v>2265</v>
      </c>
      <c r="C964" s="79">
        <v>44511</v>
      </c>
      <c r="D964" s="80">
        <v>44879</v>
      </c>
      <c r="E964" s="41">
        <f>D964-C964</f>
        <v>368</v>
      </c>
      <c r="F964" s="83" t="s">
        <v>205</v>
      </c>
      <c r="G964" s="81"/>
      <c r="H964" s="83" t="s">
        <v>11</v>
      </c>
      <c r="I964" s="81"/>
      <c r="K964" s="76" t="s">
        <v>2357</v>
      </c>
    </row>
    <row r="965" spans="1:27" s="87" customFormat="1" ht="15.75" customHeight="1">
      <c r="A965" s="37" t="s">
        <v>901</v>
      </c>
      <c r="B965" s="38" t="s">
        <v>539</v>
      </c>
      <c r="C965" s="39">
        <v>43416</v>
      </c>
      <c r="D965" s="39">
        <v>43787</v>
      </c>
      <c r="E965" s="47">
        <f>D965-C965</f>
        <v>371</v>
      </c>
      <c r="F965" s="48" t="s">
        <v>31</v>
      </c>
      <c r="G965" s="45" t="s">
        <v>43</v>
      </c>
      <c r="H965" s="45"/>
      <c r="I965" s="45"/>
      <c r="J965" s="42"/>
      <c r="K965" s="42"/>
      <c r="L965"/>
      <c r="M965"/>
    </row>
    <row r="966" spans="1:27" s="87" customFormat="1" ht="15.75" customHeight="1">
      <c r="A966" s="37" t="s">
        <v>928</v>
      </c>
      <c r="B966" s="42" t="s">
        <v>1203</v>
      </c>
      <c r="C966" s="39">
        <v>43586</v>
      </c>
      <c r="D966" s="39">
        <v>43957</v>
      </c>
      <c r="E966" s="47">
        <f>D966-C966</f>
        <v>371</v>
      </c>
      <c r="F966" s="43" t="s">
        <v>54</v>
      </c>
      <c r="G966" s="45" t="s">
        <v>1</v>
      </c>
      <c r="H966" s="45"/>
      <c r="I966" s="45"/>
      <c r="J966" s="37"/>
      <c r="K966" s="53" t="s">
        <v>1204</v>
      </c>
      <c r="L966" s="42" t="s">
        <v>1205</v>
      </c>
      <c r="M966" s="37"/>
    </row>
    <row r="967" spans="1:27" s="87" customFormat="1" ht="15.75" customHeight="1">
      <c r="A967" s="75" t="s">
        <v>1974</v>
      </c>
      <c r="B967" s="75" t="s">
        <v>1975</v>
      </c>
      <c r="C967" s="79">
        <v>44197</v>
      </c>
      <c r="D967" s="80">
        <v>44570</v>
      </c>
      <c r="E967" s="41">
        <f>D967-C967</f>
        <v>373</v>
      </c>
      <c r="F967" s="43" t="s">
        <v>0</v>
      </c>
      <c r="G967" s="45" t="s">
        <v>33</v>
      </c>
      <c r="H967" s="83" t="s">
        <v>2</v>
      </c>
      <c r="I967" s="46"/>
      <c r="J967" s="77"/>
      <c r="K967" s="76" t="s">
        <v>1976</v>
      </c>
      <c r="L967" s="82" t="s">
        <v>1977</v>
      </c>
      <c r="M967" s="77"/>
    </row>
    <row r="968" spans="1:27" s="87" customFormat="1" ht="15.75" customHeight="1">
      <c r="A968" s="77" t="s">
        <v>2013</v>
      </c>
      <c r="B968" s="82" t="s">
        <v>2014</v>
      </c>
      <c r="C968" s="79">
        <v>44208</v>
      </c>
      <c r="D968" s="39">
        <v>44590</v>
      </c>
      <c r="E968" s="41">
        <f>D968-C968</f>
        <v>382</v>
      </c>
      <c r="F968" s="48" t="s">
        <v>129</v>
      </c>
      <c r="G968" s="46"/>
      <c r="H968" s="83" t="s">
        <v>2</v>
      </c>
      <c r="I968" s="46"/>
      <c r="J968" s="77"/>
      <c r="K968" s="77"/>
      <c r="L968" s="77"/>
      <c r="M968" s="7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spans="1:27" s="87" customFormat="1" ht="15.75" customHeight="1">
      <c r="A969" s="37" t="s">
        <v>1211</v>
      </c>
      <c r="B969" s="42" t="s">
        <v>1546</v>
      </c>
      <c r="C969" s="39">
        <v>43865</v>
      </c>
      <c r="D969" s="40">
        <v>44248</v>
      </c>
      <c r="E969" s="41">
        <f>D969-C969</f>
        <v>383</v>
      </c>
      <c r="F969" s="48" t="s">
        <v>1093</v>
      </c>
      <c r="G969" s="46"/>
      <c r="H969" s="46"/>
      <c r="I969" s="46"/>
      <c r="J969" s="77"/>
      <c r="K969" s="53" t="s">
        <v>1547</v>
      </c>
      <c r="L969" s="42" t="s">
        <v>1548</v>
      </c>
      <c r="M969" s="77"/>
    </row>
    <row r="970" spans="1:27" s="87" customFormat="1" ht="15.75" customHeight="1">
      <c r="A970" s="42" t="s">
        <v>263</v>
      </c>
      <c r="B970" s="42" t="s">
        <v>263</v>
      </c>
      <c r="C970" s="39">
        <v>44352</v>
      </c>
      <c r="D970" s="80">
        <v>44736</v>
      </c>
      <c r="E970" s="41">
        <f>D970-C970</f>
        <v>384</v>
      </c>
      <c r="F970" s="43" t="s">
        <v>0</v>
      </c>
      <c r="G970" s="46"/>
      <c r="H970" s="41" t="s">
        <v>11</v>
      </c>
      <c r="I970" s="45" t="s">
        <v>21</v>
      </c>
      <c r="J970" s="77"/>
      <c r="K970" s="76" t="s">
        <v>265</v>
      </c>
      <c r="L970" s="37" t="s">
        <v>266</v>
      </c>
      <c r="M970" s="77"/>
    </row>
    <row r="971" spans="1:27" s="87" customFormat="1" ht="15.75" customHeight="1">
      <c r="A971" s="42" t="s">
        <v>1530</v>
      </c>
      <c r="B971" s="42" t="s">
        <v>1531</v>
      </c>
      <c r="C971" s="39">
        <v>43848</v>
      </c>
      <c r="D971" s="40">
        <v>44234</v>
      </c>
      <c r="E971" s="41">
        <f>D971-C971</f>
        <v>386</v>
      </c>
      <c r="F971" s="43" t="s">
        <v>1350</v>
      </c>
      <c r="G971" s="46"/>
      <c r="H971" s="46"/>
      <c r="I971" s="46"/>
      <c r="J971" s="77"/>
      <c r="K971" s="76" t="s">
        <v>1532</v>
      </c>
      <c r="L971" s="77"/>
      <c r="M971" s="77"/>
    </row>
    <row r="972" spans="1:27" s="87" customFormat="1">
      <c r="A972" s="37" t="s">
        <v>1230</v>
      </c>
      <c r="B972" s="42" t="s">
        <v>1231</v>
      </c>
      <c r="C972" s="39">
        <v>43578</v>
      </c>
      <c r="D972" s="39">
        <v>43967</v>
      </c>
      <c r="E972" s="47">
        <f>D972-C972</f>
        <v>389</v>
      </c>
      <c r="F972" s="43" t="s">
        <v>0</v>
      </c>
      <c r="G972" s="45" t="s">
        <v>1232</v>
      </c>
      <c r="H972" s="45"/>
      <c r="I972" s="45"/>
      <c r="J972" s="37"/>
      <c r="K972" s="53" t="s">
        <v>1233</v>
      </c>
      <c r="L972" s="37"/>
      <c r="M972" s="37"/>
    </row>
    <row r="973" spans="1:27" s="87" customFormat="1" ht="15.75" customHeight="1">
      <c r="A973" s="77" t="s">
        <v>2017</v>
      </c>
      <c r="B973" s="75" t="s">
        <v>2018</v>
      </c>
      <c r="C973" s="79">
        <v>44199</v>
      </c>
      <c r="D973" s="80">
        <v>44591</v>
      </c>
      <c r="E973" s="41">
        <f>D973-C973</f>
        <v>392</v>
      </c>
      <c r="F973" s="43" t="s">
        <v>0</v>
      </c>
      <c r="G973" s="81" t="s">
        <v>1</v>
      </c>
      <c r="H973" s="83" t="s">
        <v>11</v>
      </c>
      <c r="I973" s="46"/>
      <c r="J973" s="77"/>
      <c r="K973" s="77"/>
      <c r="L973" s="77"/>
      <c r="M973" s="77"/>
    </row>
    <row r="974" spans="1:27" s="87" customFormat="1" ht="15.75" customHeight="1">
      <c r="A974" s="37" t="s">
        <v>1226</v>
      </c>
      <c r="B974" s="42" t="s">
        <v>1227</v>
      </c>
      <c r="C974" s="39">
        <v>43565</v>
      </c>
      <c r="D974" s="39">
        <v>43960</v>
      </c>
      <c r="E974" s="47">
        <f>D974-C974</f>
        <v>395</v>
      </c>
      <c r="F974" s="43" t="s">
        <v>0</v>
      </c>
      <c r="G974" s="45"/>
      <c r="H974" s="45"/>
      <c r="I974" s="45"/>
      <c r="J974" s="37"/>
      <c r="K974" s="37"/>
      <c r="L974" s="37"/>
      <c r="M974" s="37"/>
    </row>
    <row r="975" spans="1:27" s="87" customFormat="1" ht="15.75" customHeight="1">
      <c r="A975" s="77" t="s">
        <v>2130</v>
      </c>
      <c r="B975" s="75" t="s">
        <v>2131</v>
      </c>
      <c r="C975" s="79">
        <v>44262</v>
      </c>
      <c r="D975" s="80">
        <v>44657</v>
      </c>
      <c r="E975" s="41">
        <f>D975-C975</f>
        <v>395</v>
      </c>
      <c r="F975" s="43" t="s">
        <v>0</v>
      </c>
      <c r="G975" s="81" t="s">
        <v>33</v>
      </c>
      <c r="H975" s="83" t="s">
        <v>2</v>
      </c>
      <c r="I975" s="81" t="s">
        <v>2132</v>
      </c>
      <c r="J975" s="77"/>
      <c r="K975" s="76" t="s">
        <v>2133</v>
      </c>
      <c r="L975" s="77"/>
      <c r="M975" s="77"/>
    </row>
    <row r="976" spans="1:27" s="87" customFormat="1" ht="15.75" customHeight="1">
      <c r="A976" s="37" t="s">
        <v>1626</v>
      </c>
      <c r="B976" s="42" t="s">
        <v>1627</v>
      </c>
      <c r="C976" s="39">
        <v>43926</v>
      </c>
      <c r="D976" s="40">
        <v>44323</v>
      </c>
      <c r="E976" s="41">
        <f>D976-C976</f>
        <v>397</v>
      </c>
      <c r="F976" s="48" t="s">
        <v>1628</v>
      </c>
      <c r="G976" s="46"/>
      <c r="H976" s="46"/>
      <c r="I976" s="45" t="s">
        <v>1450</v>
      </c>
      <c r="J976" s="77"/>
      <c r="K976" s="53" t="s">
        <v>1629</v>
      </c>
      <c r="L976" s="42" t="s">
        <v>1630</v>
      </c>
      <c r="M976" s="77"/>
    </row>
    <row r="977" spans="1:27" s="87" customFormat="1" ht="15.75" customHeight="1">
      <c r="A977" s="77" t="s">
        <v>2227</v>
      </c>
      <c r="B977" s="82" t="s">
        <v>2228</v>
      </c>
      <c r="C977" s="79">
        <v>44339</v>
      </c>
      <c r="D977" s="80">
        <v>44737</v>
      </c>
      <c r="E977" s="41">
        <f>D977-C977</f>
        <v>398</v>
      </c>
      <c r="F977" s="43" t="s">
        <v>0</v>
      </c>
      <c r="G977" s="81" t="s">
        <v>805</v>
      </c>
      <c r="H977" s="83" t="s">
        <v>11</v>
      </c>
      <c r="I977" s="46"/>
      <c r="J977" s="77"/>
      <c r="K977" s="76" t="s">
        <v>2229</v>
      </c>
      <c r="L977" s="77"/>
      <c r="M977" s="77"/>
    </row>
    <row r="978" spans="1:27" s="87" customFormat="1" ht="15.75" customHeight="1">
      <c r="A978" s="37" t="s">
        <v>589</v>
      </c>
      <c r="B978" s="42" t="s">
        <v>603</v>
      </c>
      <c r="C978" s="39">
        <v>43596</v>
      </c>
      <c r="D978" s="40">
        <v>43995</v>
      </c>
      <c r="E978" s="47">
        <f>D978-C978</f>
        <v>399</v>
      </c>
      <c r="F978" s="43" t="s">
        <v>820</v>
      </c>
      <c r="G978" s="45" t="s">
        <v>604</v>
      </c>
      <c r="H978" s="45"/>
      <c r="I978" s="45"/>
      <c r="J978" s="37"/>
      <c r="K978" s="37"/>
      <c r="L978" s="37"/>
      <c r="M978" s="37"/>
    </row>
    <row r="979" spans="1:27" s="87" customFormat="1" ht="15.75" customHeight="1">
      <c r="A979" s="65" t="s">
        <v>1084</v>
      </c>
      <c r="B979" s="42" t="s">
        <v>1495</v>
      </c>
      <c r="C979" s="39">
        <v>43778</v>
      </c>
      <c r="D979" s="39">
        <v>44177</v>
      </c>
      <c r="E979" s="47">
        <f>D979-C979</f>
        <v>399</v>
      </c>
      <c r="F979" s="43" t="s">
        <v>0</v>
      </c>
      <c r="G979" s="45" t="s">
        <v>336</v>
      </c>
      <c r="H979" s="46"/>
      <c r="I979" s="46"/>
      <c r="J979" s="37"/>
      <c r="K979" s="53" t="s">
        <v>1496</v>
      </c>
      <c r="L979" s="42" t="s">
        <v>1497</v>
      </c>
      <c r="M979" s="37"/>
    </row>
    <row r="980" spans="1:27" s="87" customFormat="1" ht="15.75" customHeight="1">
      <c r="A980" s="37" t="s">
        <v>2270</v>
      </c>
      <c r="B980" s="87" t="s">
        <v>2312</v>
      </c>
      <c r="C980" s="79">
        <v>44447</v>
      </c>
      <c r="D980" s="80">
        <v>44846</v>
      </c>
      <c r="E980" s="41">
        <f>D980-C980</f>
        <v>399</v>
      </c>
      <c r="F980" s="83" t="s">
        <v>144</v>
      </c>
      <c r="G980" s="81" t="s">
        <v>2313</v>
      </c>
      <c r="H980" s="83" t="s">
        <v>11</v>
      </c>
      <c r="I980" s="81" t="s">
        <v>1450</v>
      </c>
    </row>
    <row r="981" spans="1:27" s="87" customFormat="1" ht="15.75" customHeight="1">
      <c r="A981" s="42" t="s">
        <v>1117</v>
      </c>
      <c r="B981" s="42" t="s">
        <v>1118</v>
      </c>
      <c r="C981" s="39">
        <v>43523</v>
      </c>
      <c r="D981" s="39">
        <v>43925</v>
      </c>
      <c r="E981" s="47">
        <f>D981-C981</f>
        <v>402</v>
      </c>
      <c r="F981" s="43" t="s">
        <v>0</v>
      </c>
      <c r="G981" s="45" t="s">
        <v>1119</v>
      </c>
      <c r="H981" s="45"/>
      <c r="I981" s="45"/>
      <c r="J981" s="37"/>
      <c r="K981" s="53" t="s">
        <v>1120</v>
      </c>
      <c r="L981" s="37"/>
      <c r="M981" s="37"/>
    </row>
    <row r="982" spans="1:27" s="87" customFormat="1" ht="15.75" customHeight="1">
      <c r="A982" s="42" t="s">
        <v>1622</v>
      </c>
      <c r="B982" s="42" t="s">
        <v>1622</v>
      </c>
      <c r="C982" s="39">
        <v>43913</v>
      </c>
      <c r="D982" s="40">
        <v>44315</v>
      </c>
      <c r="E982" s="41">
        <f>D982-C982</f>
        <v>402</v>
      </c>
      <c r="F982" s="43" t="s">
        <v>0</v>
      </c>
      <c r="G982" s="46"/>
      <c r="H982" s="46"/>
      <c r="I982" s="46"/>
      <c r="J982" s="77"/>
      <c r="K982" s="53" t="s">
        <v>1623</v>
      </c>
      <c r="L982" s="77"/>
      <c r="M982" s="77"/>
    </row>
    <row r="983" spans="1:27" s="87" customFormat="1" ht="15.75" customHeight="1">
      <c r="A983" s="75" t="s">
        <v>2109</v>
      </c>
      <c r="B983" s="75" t="s">
        <v>2110</v>
      </c>
      <c r="C983" s="79">
        <v>44243</v>
      </c>
      <c r="D983" s="80">
        <v>44646</v>
      </c>
      <c r="E983" s="41">
        <f>D983-C983</f>
        <v>403</v>
      </c>
      <c r="F983" s="43" t="s">
        <v>0</v>
      </c>
      <c r="G983" s="46"/>
      <c r="H983" s="83" t="s">
        <v>2</v>
      </c>
      <c r="I983" s="46"/>
      <c r="J983" s="77"/>
      <c r="K983" s="76" t="s">
        <v>2111</v>
      </c>
      <c r="L983" s="77"/>
      <c r="M983" s="77"/>
    </row>
    <row r="984" spans="1:27" s="87" customFormat="1" ht="15.75" customHeight="1">
      <c r="A984" s="42" t="s">
        <v>556</v>
      </c>
      <c r="B984" s="42" t="s">
        <v>1097</v>
      </c>
      <c r="C984" s="39">
        <v>43513</v>
      </c>
      <c r="D984" s="39">
        <v>43917</v>
      </c>
      <c r="E984" s="47">
        <f>D984-C984</f>
        <v>404</v>
      </c>
      <c r="F984" s="43" t="s">
        <v>0</v>
      </c>
      <c r="G984" s="45"/>
      <c r="H984" s="45"/>
      <c r="I984" s="45"/>
      <c r="J984" s="42"/>
      <c r="K984" s="53" t="s">
        <v>1098</v>
      </c>
      <c r="L984" s="42"/>
      <c r="M984" s="42"/>
    </row>
    <row r="985" spans="1:27" s="87" customFormat="1" ht="15.75" customHeight="1">
      <c r="A985" s="77" t="s">
        <v>2235</v>
      </c>
      <c r="B985" s="82" t="s">
        <v>2236</v>
      </c>
      <c r="C985" s="79">
        <v>44339</v>
      </c>
      <c r="D985" s="80">
        <v>44747</v>
      </c>
      <c r="E985" s="41">
        <f>D985-C985</f>
        <v>408</v>
      </c>
      <c r="F985" s="43" t="s">
        <v>0</v>
      </c>
      <c r="G985" s="45" t="s">
        <v>33</v>
      </c>
      <c r="H985" s="83" t="s">
        <v>11</v>
      </c>
      <c r="I985" s="46"/>
      <c r="J985" s="77"/>
      <c r="K985" s="76" t="s">
        <v>2237</v>
      </c>
      <c r="L985" s="77"/>
      <c r="M985" s="77"/>
    </row>
    <row r="986" spans="1:27" s="87" customFormat="1" ht="15.75" customHeight="1">
      <c r="A986" s="42" t="s">
        <v>1153</v>
      </c>
      <c r="B986" s="42" t="s">
        <v>1154</v>
      </c>
      <c r="C986" s="39">
        <v>43527</v>
      </c>
      <c r="D986" s="40">
        <v>43937</v>
      </c>
      <c r="E986" s="41">
        <f>D986-C986</f>
        <v>410</v>
      </c>
      <c r="F986" s="43" t="s">
        <v>0</v>
      </c>
      <c r="G986" s="45" t="s">
        <v>942</v>
      </c>
      <c r="H986" s="45"/>
      <c r="I986" s="45"/>
      <c r="J986" s="37"/>
      <c r="K986" s="37"/>
      <c r="L986" s="37"/>
      <c r="M986" s="37"/>
    </row>
    <row r="987" spans="1:27" s="87" customFormat="1" ht="15.75" customHeight="1">
      <c r="A987" s="42" t="s">
        <v>1610</v>
      </c>
      <c r="B987" s="42" t="s">
        <v>1611</v>
      </c>
      <c r="C987" s="39">
        <v>43878</v>
      </c>
      <c r="D987" s="40">
        <v>44301</v>
      </c>
      <c r="E987" s="41">
        <f>D987-C987</f>
        <v>423</v>
      </c>
      <c r="F987" s="43" t="s">
        <v>0</v>
      </c>
      <c r="G987" s="45" t="s">
        <v>1612</v>
      </c>
      <c r="H987" s="46"/>
      <c r="I987" s="46"/>
      <c r="J987" s="77"/>
      <c r="K987" s="53" t="s">
        <v>1613</v>
      </c>
      <c r="L987" s="42" t="s">
        <v>1614</v>
      </c>
      <c r="M987" s="77"/>
    </row>
    <row r="988" spans="1:27" s="87" customFormat="1" ht="15.75" customHeight="1">
      <c r="A988" s="42" t="s">
        <v>1631</v>
      </c>
      <c r="B988" s="42" t="s">
        <v>1632</v>
      </c>
      <c r="C988" s="39">
        <v>43899</v>
      </c>
      <c r="D988" s="40">
        <v>44324</v>
      </c>
      <c r="E988" s="41">
        <f>D988-C988</f>
        <v>425</v>
      </c>
      <c r="F988" s="45" t="s">
        <v>0</v>
      </c>
      <c r="G988" s="45" t="s">
        <v>1</v>
      </c>
      <c r="H988" s="46"/>
      <c r="I988" s="46"/>
      <c r="J988" s="77"/>
      <c r="K988" s="53" t="s">
        <v>1633</v>
      </c>
      <c r="L988" s="42" t="s">
        <v>1634</v>
      </c>
      <c r="M988" s="77"/>
    </row>
    <row r="989" spans="1:27" s="77" customFormat="1" ht="15.75" customHeight="1">
      <c r="A989" s="42" t="s">
        <v>723</v>
      </c>
      <c r="B989" s="42" t="s">
        <v>1340</v>
      </c>
      <c r="C989" s="39">
        <v>43618</v>
      </c>
      <c r="D989" s="40">
        <v>44044</v>
      </c>
      <c r="E989" s="47">
        <f>D989-C989</f>
        <v>426</v>
      </c>
      <c r="F989" s="43" t="s">
        <v>0</v>
      </c>
      <c r="G989" s="45" t="s">
        <v>26</v>
      </c>
      <c r="H989" s="46"/>
      <c r="I989" s="46"/>
      <c r="J989" s="37"/>
      <c r="K989" s="53" t="s">
        <v>1341</v>
      </c>
      <c r="L989" s="42" t="s">
        <v>1342</v>
      </c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spans="1:27" s="87" customFormat="1" ht="15.75" customHeight="1">
      <c r="A990" s="37" t="s">
        <v>1137</v>
      </c>
      <c r="B990" s="52" t="s">
        <v>1485</v>
      </c>
      <c r="C990" s="39">
        <v>43737</v>
      </c>
      <c r="D990" s="39">
        <v>44166</v>
      </c>
      <c r="E990" s="47">
        <f>D990-C990</f>
        <v>429</v>
      </c>
      <c r="F990" s="43" t="s">
        <v>884</v>
      </c>
      <c r="G990" s="45" t="s">
        <v>1</v>
      </c>
      <c r="H990" s="46"/>
      <c r="I990" s="46"/>
      <c r="J990" s="37"/>
      <c r="K990" s="53" t="s">
        <v>1486</v>
      </c>
      <c r="L990" s="42" t="s">
        <v>1487</v>
      </c>
      <c r="M990" s="37"/>
    </row>
    <row r="991" spans="1:27" s="87" customFormat="1" ht="15.75" customHeight="1">
      <c r="A991" s="77" t="s">
        <v>1732</v>
      </c>
      <c r="B991" s="82" t="s">
        <v>2245</v>
      </c>
      <c r="C991" s="79">
        <v>44321</v>
      </c>
      <c r="D991" s="80">
        <v>44751</v>
      </c>
      <c r="E991" s="41">
        <f>D991-C991</f>
        <v>430</v>
      </c>
      <c r="F991" s="43" t="s">
        <v>0</v>
      </c>
      <c r="G991" s="45" t="s">
        <v>1</v>
      </c>
      <c r="H991" s="83" t="s">
        <v>2</v>
      </c>
      <c r="I991" s="46"/>
      <c r="J991" s="77"/>
      <c r="K991" s="76" t="s">
        <v>2246</v>
      </c>
      <c r="L991" s="77"/>
      <c r="M991" s="77"/>
    </row>
    <row r="992" spans="1:27" s="87" customFormat="1" ht="15.75" customHeight="1">
      <c r="A992" s="42" t="s">
        <v>1721</v>
      </c>
      <c r="B992" s="42" t="s">
        <v>1722</v>
      </c>
      <c r="C992" s="79">
        <v>43944</v>
      </c>
      <c r="D992" s="80">
        <v>44375</v>
      </c>
      <c r="E992" s="41">
        <f>D992-C992</f>
        <v>431</v>
      </c>
      <c r="F992" s="43" t="s">
        <v>0</v>
      </c>
      <c r="G992" s="81" t="s">
        <v>720</v>
      </c>
      <c r="H992" s="46"/>
      <c r="I992" s="46"/>
      <c r="J992" s="77"/>
      <c r="K992" s="76" t="s">
        <v>1723</v>
      </c>
      <c r="L992" s="77"/>
      <c r="M992" s="77"/>
    </row>
    <row r="993" spans="1:27" s="87" customFormat="1" ht="15.75" customHeight="1">
      <c r="A993" s="37" t="s">
        <v>1322</v>
      </c>
      <c r="B993" s="42" t="s">
        <v>1323</v>
      </c>
      <c r="C993" s="79">
        <v>44029</v>
      </c>
      <c r="D993" s="80">
        <v>44464</v>
      </c>
      <c r="E993" s="41">
        <f>D993-C993</f>
        <v>435</v>
      </c>
      <c r="F993" s="43" t="s">
        <v>0</v>
      </c>
      <c r="G993" s="46"/>
      <c r="H993" s="46"/>
      <c r="I993" s="81" t="s">
        <v>90</v>
      </c>
      <c r="J993" s="77"/>
      <c r="K993" s="76" t="s">
        <v>1324</v>
      </c>
      <c r="L993" s="42" t="s">
        <v>1835</v>
      </c>
      <c r="M993" s="77"/>
    </row>
    <row r="994" spans="1:27" s="87" customFormat="1" ht="15.75" customHeight="1">
      <c r="A994" s="38" t="s">
        <v>920</v>
      </c>
      <c r="B994" s="38" t="s">
        <v>920</v>
      </c>
      <c r="C994" s="39">
        <v>43362</v>
      </c>
      <c r="D994" s="39">
        <v>43802</v>
      </c>
      <c r="E994" s="47">
        <f>D994-C994</f>
        <v>440</v>
      </c>
      <c r="F994" s="43" t="s">
        <v>0</v>
      </c>
      <c r="G994" s="45"/>
      <c r="H994" s="45"/>
      <c r="I994" s="45"/>
      <c r="J994" s="42"/>
      <c r="K994" s="42"/>
      <c r="L994"/>
      <c r="M994"/>
    </row>
    <row r="995" spans="1:27" s="87" customFormat="1" ht="15.75" customHeight="1">
      <c r="A995" s="42" t="s">
        <v>506</v>
      </c>
      <c r="B995" s="42" t="s">
        <v>507</v>
      </c>
      <c r="C995" s="39">
        <v>43836</v>
      </c>
      <c r="D995" s="39">
        <v>44288</v>
      </c>
      <c r="E995" s="47">
        <f>D995-C995</f>
        <v>452</v>
      </c>
      <c r="F995" s="43" t="s">
        <v>0</v>
      </c>
      <c r="G995" s="45" t="s">
        <v>26</v>
      </c>
      <c r="H995" s="46"/>
      <c r="I995" s="46"/>
      <c r="J995" s="77"/>
      <c r="K995" s="53" t="s">
        <v>1588</v>
      </c>
      <c r="L995" s="38" t="s">
        <v>509</v>
      </c>
      <c r="M995" s="7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spans="1:27" s="87" customFormat="1" ht="15.75" customHeight="1">
      <c r="A996" s="37" t="s">
        <v>1390</v>
      </c>
      <c r="B996" s="42" t="s">
        <v>1391</v>
      </c>
      <c r="C996" s="39">
        <v>43638</v>
      </c>
      <c r="D996" s="39">
        <v>44093</v>
      </c>
      <c r="E996" s="41">
        <f>D996-C996</f>
        <v>455</v>
      </c>
      <c r="F996" s="43" t="s">
        <v>0</v>
      </c>
      <c r="G996" s="45" t="s">
        <v>1</v>
      </c>
      <c r="H996" s="46"/>
      <c r="I996" s="46"/>
      <c r="J996" s="37"/>
      <c r="K996" s="37"/>
      <c r="L996" s="37"/>
      <c r="M996" s="37"/>
    </row>
    <row r="997" spans="1:27" s="87" customFormat="1" ht="15.75" customHeight="1">
      <c r="A997" s="37" t="s">
        <v>1436</v>
      </c>
      <c r="B997" s="42" t="s">
        <v>1648</v>
      </c>
      <c r="C997" s="39">
        <v>43875</v>
      </c>
      <c r="D997" s="40">
        <v>44332</v>
      </c>
      <c r="E997" s="41">
        <f>D997-C997</f>
        <v>457</v>
      </c>
      <c r="F997" s="43" t="s">
        <v>0</v>
      </c>
      <c r="G997" s="45" t="s">
        <v>33</v>
      </c>
      <c r="H997" s="46"/>
      <c r="I997" s="46"/>
      <c r="J997" s="77"/>
      <c r="K997" s="53" t="s">
        <v>1649</v>
      </c>
      <c r="L997" s="77"/>
      <c r="M997" s="77"/>
    </row>
    <row r="998" spans="1:27" s="87" customFormat="1" ht="15.75" customHeight="1">
      <c r="A998" s="56" t="s">
        <v>2868</v>
      </c>
      <c r="B998" s="56" t="s">
        <v>985</v>
      </c>
      <c r="C998" s="61">
        <v>43388</v>
      </c>
      <c r="D998" s="61">
        <v>43848</v>
      </c>
      <c r="E998" s="71">
        <f>D998-C998</f>
        <v>460</v>
      </c>
      <c r="F998" s="62" t="s">
        <v>0</v>
      </c>
      <c r="G998" s="55" t="s">
        <v>1</v>
      </c>
      <c r="H998" s="55"/>
      <c r="I998" s="55"/>
      <c r="J998" s="56"/>
      <c r="K998" s="56"/>
      <c r="L998" s="56"/>
      <c r="M998" s="56"/>
    </row>
    <row r="999" spans="1:27" s="87" customFormat="1" ht="15.75" customHeight="1">
      <c r="A999" s="77" t="s">
        <v>2128</v>
      </c>
      <c r="B999" s="75" t="s">
        <v>2129</v>
      </c>
      <c r="C999" s="79">
        <v>44196</v>
      </c>
      <c r="D999" s="80">
        <v>44656</v>
      </c>
      <c r="E999" s="41">
        <f>D999-C999</f>
        <v>460</v>
      </c>
      <c r="F999" s="43" t="s">
        <v>0</v>
      </c>
      <c r="G999" s="46"/>
      <c r="H999" s="83" t="s">
        <v>11</v>
      </c>
      <c r="I999" s="46"/>
      <c r="J999" s="77"/>
      <c r="K999" s="77"/>
      <c r="L999" s="77"/>
      <c r="M999" s="77"/>
    </row>
    <row r="1000" spans="1:27" s="87" customFormat="1" ht="15.75" customHeight="1">
      <c r="A1000" s="37" t="s">
        <v>167</v>
      </c>
      <c r="B1000" s="42" t="s">
        <v>171</v>
      </c>
      <c r="C1000" s="39">
        <v>43825</v>
      </c>
      <c r="D1000" s="39">
        <v>44288</v>
      </c>
      <c r="E1000" s="47">
        <f>D1000-C1000</f>
        <v>463</v>
      </c>
      <c r="F1000" s="43" t="s">
        <v>0</v>
      </c>
      <c r="G1000" s="45" t="s">
        <v>1</v>
      </c>
      <c r="H1000" s="46"/>
      <c r="I1000" s="46"/>
      <c r="J1000" s="37"/>
      <c r="K1000" s="53" t="s">
        <v>169</v>
      </c>
      <c r="L1000" s="42" t="s">
        <v>1589</v>
      </c>
      <c r="M1000" s="37"/>
    </row>
    <row r="1001" spans="1:27" s="87" customFormat="1" ht="15.75" customHeight="1">
      <c r="A1001" s="37" t="s">
        <v>2335</v>
      </c>
      <c r="B1001" s="87" t="s">
        <v>2336</v>
      </c>
      <c r="C1001" s="79">
        <v>44400</v>
      </c>
      <c r="D1001" s="80">
        <v>44863</v>
      </c>
      <c r="E1001" s="41">
        <f>D1001-C1001</f>
        <v>463</v>
      </c>
      <c r="F1001" s="43" t="s">
        <v>0</v>
      </c>
      <c r="G1001" s="81"/>
      <c r="H1001" s="83" t="s">
        <v>2</v>
      </c>
      <c r="I1001" s="81"/>
      <c r="K1001" s="76" t="s">
        <v>2337</v>
      </c>
    </row>
    <row r="1002" spans="1:27" s="87" customFormat="1" ht="15.75" customHeight="1">
      <c r="A1002" s="42" t="s">
        <v>14</v>
      </c>
      <c r="B1002" s="38" t="s">
        <v>933</v>
      </c>
      <c r="C1002" s="39">
        <v>43345</v>
      </c>
      <c r="D1002" s="39">
        <v>43809</v>
      </c>
      <c r="E1002" s="47">
        <f>D1002-C1002</f>
        <v>464</v>
      </c>
      <c r="F1002" s="43" t="s">
        <v>0</v>
      </c>
      <c r="G1002" s="45" t="s">
        <v>934</v>
      </c>
      <c r="H1002" s="45"/>
      <c r="I1002" s="45"/>
      <c r="J1002" s="42"/>
      <c r="K1002" s="42"/>
      <c r="L1002" s="42"/>
      <c r="M1002" s="42"/>
    </row>
    <row r="1003" spans="1:27" s="87" customFormat="1" ht="15.75" customHeight="1">
      <c r="A1003" s="37" t="s">
        <v>1659</v>
      </c>
      <c r="B1003" s="42" t="s">
        <v>1660</v>
      </c>
      <c r="C1003" s="79">
        <v>43867</v>
      </c>
      <c r="D1003" s="80">
        <v>44338</v>
      </c>
      <c r="E1003" s="41">
        <f>D1003-C1003</f>
        <v>471</v>
      </c>
      <c r="F1003" s="43" t="s">
        <v>0</v>
      </c>
      <c r="G1003" s="81" t="s">
        <v>995</v>
      </c>
      <c r="H1003" s="46"/>
      <c r="I1003" s="46"/>
      <c r="J1003" s="77"/>
      <c r="K1003" s="53" t="s">
        <v>1661</v>
      </c>
      <c r="L1003" s="77"/>
      <c r="M1003" s="77"/>
    </row>
    <row r="1004" spans="1:27" s="87" customFormat="1" ht="15.75" customHeight="1">
      <c r="A1004" s="57" t="s">
        <v>788</v>
      </c>
      <c r="B1004" s="52" t="s">
        <v>1395</v>
      </c>
      <c r="C1004" s="39">
        <v>43626</v>
      </c>
      <c r="D1004" s="39">
        <v>44100</v>
      </c>
      <c r="E1004" s="47">
        <f>D1004-C1004</f>
        <v>474</v>
      </c>
      <c r="F1004" s="43" t="s">
        <v>54</v>
      </c>
      <c r="G1004" s="46"/>
      <c r="H1004" s="46"/>
      <c r="I1004" s="46"/>
      <c r="J1004" s="37"/>
      <c r="K1004" s="53" t="s">
        <v>1396</v>
      </c>
      <c r="L1004" s="37"/>
      <c r="M1004" s="37"/>
    </row>
    <row r="1005" spans="1:27" s="87" customFormat="1" ht="15.75" customHeight="1">
      <c r="A1005" s="37" t="s">
        <v>641</v>
      </c>
      <c r="B1005" s="42" t="s">
        <v>1021</v>
      </c>
      <c r="C1005" s="39">
        <v>43398</v>
      </c>
      <c r="D1005" s="39">
        <v>43878</v>
      </c>
      <c r="E1005" s="47">
        <f>D1005-C1005</f>
        <v>480</v>
      </c>
      <c r="F1005" s="43" t="s">
        <v>464</v>
      </c>
      <c r="G1005" s="45" t="s">
        <v>26</v>
      </c>
      <c r="H1005" s="45"/>
      <c r="I1005" s="45"/>
      <c r="J1005" s="42"/>
      <c r="K1005" s="53" t="s">
        <v>1022</v>
      </c>
      <c r="L1005" s="42"/>
      <c r="M1005" s="42"/>
    </row>
    <row r="1006" spans="1:27" s="87" customFormat="1" ht="15.75" customHeight="1">
      <c r="A1006" s="42" t="s">
        <v>2003</v>
      </c>
      <c r="B1006" s="42" t="s">
        <v>2004</v>
      </c>
      <c r="C1006" s="79">
        <v>44102</v>
      </c>
      <c r="D1006" s="80">
        <v>44587</v>
      </c>
      <c r="E1006" s="41">
        <f>D1006-C1006</f>
        <v>485</v>
      </c>
      <c r="F1006" s="43" t="s">
        <v>0</v>
      </c>
      <c r="G1006" s="81" t="s">
        <v>336</v>
      </c>
      <c r="H1006" s="83" t="s">
        <v>2</v>
      </c>
      <c r="I1006" s="46"/>
      <c r="J1006" s="77"/>
      <c r="K1006" s="90" t="s">
        <v>2005</v>
      </c>
      <c r="L1006" s="77"/>
      <c r="M1006" s="77"/>
    </row>
    <row r="1007" spans="1:27" s="87" customFormat="1" ht="15.75" customHeight="1">
      <c r="A1007" s="57" t="s">
        <v>991</v>
      </c>
      <c r="B1007" s="42" t="s">
        <v>1478</v>
      </c>
      <c r="C1007" s="39">
        <v>43662</v>
      </c>
      <c r="D1007" s="39">
        <v>44158</v>
      </c>
      <c r="E1007" s="47">
        <f>D1007-C1007</f>
        <v>496</v>
      </c>
      <c r="F1007" s="43" t="s">
        <v>54</v>
      </c>
      <c r="G1007" s="45" t="s">
        <v>26</v>
      </c>
      <c r="H1007" s="46"/>
      <c r="I1007" s="46"/>
      <c r="J1007" s="37"/>
      <c r="K1007" s="53" t="s">
        <v>1479</v>
      </c>
      <c r="L1007" s="37"/>
      <c r="M1007" s="37"/>
    </row>
    <row r="1008" spans="1:27" s="87" customFormat="1" ht="15.75" customHeight="1">
      <c r="A1008" s="84" t="s">
        <v>2289</v>
      </c>
      <c r="B1008" s="75" t="s">
        <v>335</v>
      </c>
      <c r="C1008" s="39">
        <v>44324</v>
      </c>
      <c r="D1008" s="80">
        <v>44828</v>
      </c>
      <c r="E1008" s="41">
        <f>D1008-C1008</f>
        <v>504</v>
      </c>
      <c r="F1008" s="46" t="s">
        <v>334</v>
      </c>
      <c r="G1008" s="81" t="s">
        <v>43</v>
      </c>
      <c r="H1008" s="83" t="s">
        <v>11</v>
      </c>
      <c r="I1008" s="81"/>
      <c r="K1008" s="76" t="s">
        <v>2290</v>
      </c>
    </row>
    <row r="1009" spans="1:27" s="77" customFormat="1" ht="15.75" customHeight="1">
      <c r="A1009" s="52" t="s">
        <v>681</v>
      </c>
      <c r="B1009" s="52" t="s">
        <v>1206</v>
      </c>
      <c r="C1009" s="39">
        <v>43453</v>
      </c>
      <c r="D1009" s="39">
        <v>43958</v>
      </c>
      <c r="E1009" s="47">
        <f>D1009-C1009</f>
        <v>505</v>
      </c>
      <c r="F1009" s="43" t="s">
        <v>0</v>
      </c>
      <c r="G1009" s="45" t="s">
        <v>720</v>
      </c>
      <c r="H1009" s="45"/>
      <c r="I1009" s="45"/>
      <c r="J1009" s="37"/>
      <c r="K1009" s="53" t="s">
        <v>1207</v>
      </c>
      <c r="L1009" s="37"/>
      <c r="M1009" s="37"/>
    </row>
    <row r="1010" spans="1:27" s="87" customFormat="1" ht="15.75" customHeight="1">
      <c r="A1010" s="37" t="s">
        <v>2840</v>
      </c>
      <c r="B1010" s="42" t="s">
        <v>1337</v>
      </c>
      <c r="C1010" s="39">
        <v>43534</v>
      </c>
      <c r="D1010" s="39">
        <v>44042</v>
      </c>
      <c r="E1010" s="47">
        <f>D1010-C1010</f>
        <v>508</v>
      </c>
      <c r="F1010" s="43" t="s">
        <v>0</v>
      </c>
      <c r="G1010" s="45" t="s">
        <v>925</v>
      </c>
      <c r="H1010" s="46"/>
      <c r="I1010" s="46"/>
      <c r="J1010" s="37"/>
      <c r="K1010" s="37"/>
      <c r="L1010" s="37"/>
      <c r="M1010" s="37"/>
    </row>
    <row r="1011" spans="1:27" s="87" customFormat="1" ht="15.75" customHeight="1">
      <c r="A1011" s="42" t="s">
        <v>269</v>
      </c>
      <c r="B1011" s="42" t="s">
        <v>270</v>
      </c>
      <c r="C1011" s="79">
        <v>43856</v>
      </c>
      <c r="D1011" s="80">
        <v>44373</v>
      </c>
      <c r="E1011" s="41">
        <f>D1011-C1011</f>
        <v>517</v>
      </c>
      <c r="F1011" s="83" t="s">
        <v>0</v>
      </c>
      <c r="G1011" s="81" t="s">
        <v>43</v>
      </c>
      <c r="H1011" s="46"/>
      <c r="I1011" s="46"/>
      <c r="J1011" s="77"/>
      <c r="K1011" s="53" t="s">
        <v>271</v>
      </c>
      <c r="L1011" s="77"/>
      <c r="M1011" s="77"/>
    </row>
    <row r="1012" spans="1:27" s="87" customFormat="1" ht="15.75" customHeight="1">
      <c r="A1012" s="42" t="s">
        <v>1784</v>
      </c>
      <c r="B1012" s="42" t="s">
        <v>1785</v>
      </c>
      <c r="C1012" s="79">
        <v>43919</v>
      </c>
      <c r="D1012" s="80">
        <v>44436</v>
      </c>
      <c r="E1012" s="41">
        <f>D1012-C1012</f>
        <v>517</v>
      </c>
      <c r="F1012" s="83" t="s">
        <v>0</v>
      </c>
      <c r="G1012" s="46"/>
      <c r="H1012" s="46"/>
      <c r="I1012" s="46"/>
      <c r="J1012" s="77"/>
      <c r="K1012" s="53" t="s">
        <v>1786</v>
      </c>
      <c r="L1012" s="77"/>
      <c r="M1012" s="7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</row>
    <row r="1013" spans="1:27" s="77" customFormat="1" ht="15.75" customHeight="1">
      <c r="A1013" s="42" t="s">
        <v>1358</v>
      </c>
      <c r="B1013" s="42" t="s">
        <v>1359</v>
      </c>
      <c r="C1013" s="39">
        <v>43544</v>
      </c>
      <c r="D1013" s="40">
        <v>44065</v>
      </c>
      <c r="E1013" s="47">
        <f>D1013-C1013</f>
        <v>521</v>
      </c>
      <c r="F1013" s="43" t="s">
        <v>524</v>
      </c>
      <c r="G1013" s="45" t="s">
        <v>1</v>
      </c>
      <c r="H1013" s="46"/>
      <c r="I1013" s="46"/>
      <c r="J1013" s="37"/>
      <c r="K1013" s="37"/>
      <c r="L1013" s="37"/>
      <c r="M1013" s="37"/>
    </row>
    <row r="1014" spans="1:27" s="87" customFormat="1" ht="15.75" customHeight="1">
      <c r="A1014" s="37" t="s">
        <v>1070</v>
      </c>
      <c r="B1014" s="42" t="s">
        <v>1071</v>
      </c>
      <c r="C1014" s="39">
        <v>43374</v>
      </c>
      <c r="D1014" s="39">
        <v>43904</v>
      </c>
      <c r="E1014" s="47">
        <f>D1014-C1014</f>
        <v>530</v>
      </c>
      <c r="F1014" s="45" t="s">
        <v>445</v>
      </c>
      <c r="G1014" s="45" t="s">
        <v>1</v>
      </c>
      <c r="H1014" s="45"/>
      <c r="I1014" s="63"/>
      <c r="J1014" s="42"/>
      <c r="K1014" s="53" t="s">
        <v>1072</v>
      </c>
      <c r="L1014"/>
      <c r="M1014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</row>
    <row r="1015" spans="1:27" s="87" customFormat="1" ht="15.75" customHeight="1">
      <c r="A1015" s="37" t="s">
        <v>1871</v>
      </c>
      <c r="B1015" s="42" t="s">
        <v>1872</v>
      </c>
      <c r="C1015" s="79">
        <v>43954</v>
      </c>
      <c r="D1015" s="80">
        <v>44490</v>
      </c>
      <c r="E1015" s="41">
        <f>D1015-C1015</f>
        <v>536</v>
      </c>
      <c r="F1015" s="83" t="s">
        <v>1224</v>
      </c>
      <c r="G1015" s="81" t="s">
        <v>1873</v>
      </c>
      <c r="H1015" s="46"/>
      <c r="I1015" s="46"/>
      <c r="J1015" s="77"/>
      <c r="K1015" s="53" t="s">
        <v>1874</v>
      </c>
      <c r="L1015" s="42" t="s">
        <v>1875</v>
      </c>
      <c r="M1015" s="77"/>
    </row>
    <row r="1016" spans="1:27" s="77" customFormat="1" ht="15.75" customHeight="1">
      <c r="A1016" s="37" t="s">
        <v>1294</v>
      </c>
      <c r="B1016" s="42" t="s">
        <v>1377</v>
      </c>
      <c r="C1016" s="39">
        <v>44156</v>
      </c>
      <c r="D1016" s="40">
        <v>44695</v>
      </c>
      <c r="E1016" s="41">
        <f>D1016-C1016</f>
        <v>539</v>
      </c>
      <c r="F1016" s="43" t="s">
        <v>0</v>
      </c>
      <c r="G1016" s="45" t="s">
        <v>1</v>
      </c>
      <c r="H1016" s="45" t="s">
        <v>2</v>
      </c>
      <c r="I1016" s="45" t="s">
        <v>21</v>
      </c>
      <c r="J1016" s="37"/>
      <c r="K1016" s="53" t="s">
        <v>1378</v>
      </c>
      <c r="L1016" s="37"/>
      <c r="M1016" s="37"/>
    </row>
    <row r="1017" spans="1:27" s="87" customFormat="1" ht="15.75" customHeight="1">
      <c r="A1017" s="42" t="s">
        <v>2867</v>
      </c>
      <c r="B1017" s="42" t="s">
        <v>1393</v>
      </c>
      <c r="C1017" s="39">
        <v>43548</v>
      </c>
      <c r="D1017" s="40">
        <v>44096</v>
      </c>
      <c r="E1017" s="47">
        <f>D1017-C1017</f>
        <v>548</v>
      </c>
      <c r="F1017" s="43" t="s">
        <v>0</v>
      </c>
      <c r="G1017" s="46"/>
      <c r="H1017" s="46"/>
      <c r="I1017" s="46"/>
      <c r="J1017" s="37"/>
      <c r="K1017" s="37"/>
      <c r="L1017" s="37"/>
      <c r="M1017" s="37"/>
    </row>
    <row r="1018" spans="1:27" s="87" customFormat="1" ht="15.75" customHeight="1">
      <c r="A1018" s="37" t="s">
        <v>568</v>
      </c>
      <c r="B1018" s="42" t="s">
        <v>1121</v>
      </c>
      <c r="C1018" s="39">
        <v>43375</v>
      </c>
      <c r="D1018" s="39">
        <v>43925</v>
      </c>
      <c r="E1018" s="47">
        <f>D1018-C1018</f>
        <v>550</v>
      </c>
      <c r="F1018" s="48" t="s">
        <v>422</v>
      </c>
      <c r="G1018" s="45"/>
      <c r="H1018" s="45"/>
      <c r="I1018" s="45"/>
      <c r="J1018" s="37"/>
      <c r="K1018" s="37"/>
      <c r="L1018" s="37"/>
      <c r="M1018" s="37"/>
    </row>
    <row r="1019" spans="1:27" s="87" customFormat="1" ht="15.75" customHeight="1">
      <c r="A1019" s="42" t="s">
        <v>1892</v>
      </c>
      <c r="B1019" s="42" t="s">
        <v>1893</v>
      </c>
      <c r="C1019" s="79">
        <v>43949</v>
      </c>
      <c r="D1019" s="80">
        <v>44499</v>
      </c>
      <c r="E1019" s="41">
        <f>D1019-C1019</f>
        <v>550</v>
      </c>
      <c r="F1019" s="48" t="s">
        <v>1137</v>
      </c>
      <c r="G1019" s="81" t="s">
        <v>225</v>
      </c>
      <c r="H1019" s="46"/>
      <c r="I1019" s="46"/>
      <c r="J1019" s="77"/>
      <c r="K1019" s="53" t="s">
        <v>1894</v>
      </c>
      <c r="L1019" s="42" t="s">
        <v>1895</v>
      </c>
      <c r="M1019" s="77"/>
    </row>
    <row r="1020" spans="1:27" s="77" customFormat="1" ht="15.75" customHeight="1">
      <c r="A1020" s="84" t="s">
        <v>2023</v>
      </c>
      <c r="B1020" s="75" t="s">
        <v>2023</v>
      </c>
      <c r="C1020" s="79">
        <v>44318</v>
      </c>
      <c r="D1020" s="80">
        <v>44869</v>
      </c>
      <c r="E1020" s="41">
        <f>D1020-C1020</f>
        <v>551</v>
      </c>
      <c r="F1020" s="43" t="s">
        <v>0</v>
      </c>
      <c r="G1020" s="81" t="s">
        <v>70</v>
      </c>
      <c r="H1020" s="83" t="s">
        <v>11</v>
      </c>
      <c r="I1020" s="81" t="s">
        <v>21</v>
      </c>
      <c r="J1020" s="87"/>
      <c r="K1020" s="87"/>
      <c r="L1020" s="87" t="s">
        <v>2345</v>
      </c>
      <c r="M1020" s="87"/>
    </row>
    <row r="1021" spans="1:27" s="87" customFormat="1" ht="15.75" customHeight="1">
      <c r="A1021" s="42" t="s">
        <v>1095</v>
      </c>
      <c r="B1021" s="42" t="s">
        <v>1095</v>
      </c>
      <c r="C1021" s="39">
        <v>43346</v>
      </c>
      <c r="D1021" s="39">
        <v>43916</v>
      </c>
      <c r="E1021" s="47">
        <f>D1021-C1021</f>
        <v>570</v>
      </c>
      <c r="F1021" s="43" t="s">
        <v>0</v>
      </c>
      <c r="G1021" s="45" t="s">
        <v>33</v>
      </c>
      <c r="H1021" s="45"/>
      <c r="I1021"/>
      <c r="J1021" s="42"/>
      <c r="K1021" s="53" t="s">
        <v>1096</v>
      </c>
      <c r="L1021" s="42"/>
      <c r="M1021" s="42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</row>
    <row r="1022" spans="1:27" s="87" customFormat="1" ht="15.75" customHeight="1">
      <c r="A1022" s="37" t="s">
        <v>1414</v>
      </c>
      <c r="B1022" s="42" t="s">
        <v>1415</v>
      </c>
      <c r="C1022" s="39">
        <v>43546</v>
      </c>
      <c r="D1022" s="39">
        <v>44116</v>
      </c>
      <c r="E1022" s="47">
        <f>D1022-C1022</f>
        <v>570</v>
      </c>
      <c r="F1022" s="43" t="s">
        <v>795</v>
      </c>
      <c r="G1022" s="46"/>
      <c r="H1022" s="46"/>
      <c r="I1022" s="46"/>
      <c r="J1022" s="37"/>
      <c r="K1022" s="53" t="s">
        <v>1416</v>
      </c>
      <c r="L1022" s="37"/>
      <c r="M1022" s="37"/>
    </row>
    <row r="1023" spans="1:27" s="77" customFormat="1" ht="15.75" customHeight="1">
      <c r="A1023" s="75" t="s">
        <v>2279</v>
      </c>
      <c r="B1023" s="75" t="s">
        <v>2280</v>
      </c>
      <c r="C1023" s="79">
        <v>44243</v>
      </c>
      <c r="D1023" s="80">
        <v>44814</v>
      </c>
      <c r="E1023" s="41">
        <f>D1023-C1023</f>
        <v>571</v>
      </c>
      <c r="F1023" s="43" t="s">
        <v>0</v>
      </c>
      <c r="G1023" s="81" t="s">
        <v>1</v>
      </c>
      <c r="H1023" s="83" t="s">
        <v>2</v>
      </c>
      <c r="I1023" s="81" t="s">
        <v>1595</v>
      </c>
      <c r="J1023" s="87"/>
      <c r="K1023" s="76" t="s">
        <v>2281</v>
      </c>
      <c r="L1023" s="87"/>
      <c r="M1023" s="87"/>
    </row>
    <row r="1024" spans="1:27" s="87" customFormat="1" ht="15.75" customHeight="1">
      <c r="A1024" s="37" t="s">
        <v>1570</v>
      </c>
      <c r="B1024" s="42" t="s">
        <v>1864</v>
      </c>
      <c r="C1024" s="79">
        <v>43914</v>
      </c>
      <c r="D1024" s="80">
        <v>44486</v>
      </c>
      <c r="E1024" s="41">
        <f>D1024-C1024</f>
        <v>572</v>
      </c>
      <c r="F1024" s="83" t="s">
        <v>0</v>
      </c>
      <c r="G1024" s="81" t="s">
        <v>940</v>
      </c>
      <c r="H1024" s="46"/>
      <c r="I1024" s="46"/>
      <c r="J1024" s="77"/>
      <c r="K1024" s="53" t="s">
        <v>1865</v>
      </c>
      <c r="L1024" s="42" t="s">
        <v>1866</v>
      </c>
      <c r="M1024" s="77"/>
    </row>
    <row r="1025" spans="1:27" s="87" customFormat="1" ht="15.75" customHeight="1">
      <c r="A1025" s="42" t="s">
        <v>2857</v>
      </c>
      <c r="B1025" s="42" t="s">
        <v>2203</v>
      </c>
      <c r="C1025" s="79">
        <v>44141</v>
      </c>
      <c r="D1025" s="80">
        <v>44716</v>
      </c>
      <c r="E1025" s="41">
        <f>D1025-C1025</f>
        <v>575</v>
      </c>
      <c r="F1025" s="43" t="s">
        <v>0</v>
      </c>
      <c r="G1025" s="81" t="s">
        <v>805</v>
      </c>
      <c r="H1025" s="83" t="s">
        <v>2</v>
      </c>
      <c r="I1025" s="46"/>
      <c r="J1025" s="77"/>
      <c r="K1025" s="76" t="s">
        <v>2204</v>
      </c>
      <c r="L1025" s="77"/>
      <c r="M1025" s="77"/>
    </row>
    <row r="1026" spans="1:27" s="87" customFormat="1" ht="15.75" customHeight="1">
      <c r="A1026" s="65" t="s">
        <v>2096</v>
      </c>
      <c r="B1026" s="65" t="s">
        <v>2096</v>
      </c>
      <c r="C1026" s="79">
        <v>44063</v>
      </c>
      <c r="D1026" s="80">
        <v>44639</v>
      </c>
      <c r="E1026" s="41">
        <f>D1026-C1026</f>
        <v>576</v>
      </c>
      <c r="F1026" s="46" t="s">
        <v>1570</v>
      </c>
      <c r="G1026" s="81" t="s">
        <v>33</v>
      </c>
      <c r="H1026" s="83" t="s">
        <v>2</v>
      </c>
      <c r="I1026" s="81" t="s">
        <v>1993</v>
      </c>
      <c r="J1026" s="77"/>
      <c r="K1026" s="76" t="s">
        <v>2097</v>
      </c>
      <c r="L1026" s="77"/>
      <c r="M1026" s="77"/>
    </row>
    <row r="1027" spans="1:27" s="87" customFormat="1" ht="15.75" customHeight="1">
      <c r="A1027" s="65" t="s">
        <v>1733</v>
      </c>
      <c r="B1027" s="87" t="s">
        <v>1733</v>
      </c>
      <c r="C1027" s="79">
        <v>43804</v>
      </c>
      <c r="D1027" s="79">
        <v>44381</v>
      </c>
      <c r="E1027" s="41">
        <f>D1027-C1027</f>
        <v>577</v>
      </c>
      <c r="F1027" s="83" t="s">
        <v>0</v>
      </c>
      <c r="G1027" s="46"/>
      <c r="H1027" s="46"/>
      <c r="I1027" s="81" t="s">
        <v>3</v>
      </c>
      <c r="K1027" s="53" t="s">
        <v>1734</v>
      </c>
      <c r="L1027" s="87" t="s">
        <v>1735</v>
      </c>
    </row>
    <row r="1028" spans="1:27" s="87" customFormat="1" ht="15.75" customHeight="1">
      <c r="A1028" s="37" t="s">
        <v>1212</v>
      </c>
      <c r="B1028" s="42" t="s">
        <v>1476</v>
      </c>
      <c r="C1028" s="39">
        <v>43569</v>
      </c>
      <c r="D1028" s="40">
        <v>44156</v>
      </c>
      <c r="E1028" s="41">
        <f>D1028-C1028</f>
        <v>587</v>
      </c>
      <c r="F1028" s="43" t="s">
        <v>0</v>
      </c>
      <c r="G1028" s="45" t="s">
        <v>70</v>
      </c>
      <c r="H1028" s="46"/>
      <c r="I1028" s="46"/>
      <c r="J1028" s="37"/>
      <c r="K1028" s="53" t="s">
        <v>1477</v>
      </c>
      <c r="L1028" s="37"/>
      <c r="M1028" s="37"/>
    </row>
    <row r="1029" spans="1:27" s="87" customFormat="1" ht="15.75" customHeight="1">
      <c r="A1029" s="37" t="s">
        <v>1169</v>
      </c>
      <c r="B1029" s="42" t="s">
        <v>1170</v>
      </c>
      <c r="C1029" s="39">
        <v>43345</v>
      </c>
      <c r="D1029" s="40">
        <v>43943</v>
      </c>
      <c r="E1029" s="47">
        <f>D1029-C1029</f>
        <v>598</v>
      </c>
      <c r="F1029" s="43" t="s">
        <v>0</v>
      </c>
      <c r="G1029" s="45"/>
      <c r="H1029" s="45"/>
      <c r="I1029" s="45"/>
      <c r="J1029" s="37"/>
      <c r="K1029" s="37"/>
      <c r="L1029" s="37"/>
      <c r="M1029" s="37"/>
    </row>
    <row r="1030" spans="1:27" s="77" customFormat="1" ht="15.75" customHeight="1">
      <c r="A1030" s="37" t="s">
        <v>1501</v>
      </c>
      <c r="B1030" s="42" t="s">
        <v>1502</v>
      </c>
      <c r="C1030" s="39">
        <v>43582</v>
      </c>
      <c r="D1030" s="39">
        <v>44180</v>
      </c>
      <c r="E1030" s="47">
        <f>D1030-C1030</f>
        <v>598</v>
      </c>
      <c r="F1030" s="43" t="s">
        <v>0</v>
      </c>
      <c r="G1030" s="46"/>
      <c r="H1030" s="46"/>
      <c r="I1030" s="46"/>
      <c r="J1030" s="37"/>
      <c r="K1030" s="37"/>
      <c r="L1030" s="37"/>
      <c r="M1030" s="37"/>
    </row>
    <row r="1031" spans="1:27" s="87" customFormat="1" ht="15" customHeight="1">
      <c r="A1031" s="42" t="s">
        <v>1817</v>
      </c>
      <c r="B1031" s="42" t="s">
        <v>1935</v>
      </c>
      <c r="C1031" s="79">
        <v>43898</v>
      </c>
      <c r="D1031" s="80">
        <v>44535</v>
      </c>
      <c r="E1031" s="41">
        <f>D1031-C1031</f>
        <v>637</v>
      </c>
      <c r="F1031" s="45" t="s">
        <v>0</v>
      </c>
      <c r="G1031" s="46"/>
      <c r="H1031" s="46"/>
      <c r="I1031" s="46"/>
      <c r="J1031" s="77"/>
      <c r="K1031" s="53" t="s">
        <v>1936</v>
      </c>
      <c r="L1031" s="42" t="s">
        <v>1937</v>
      </c>
      <c r="M1031" s="77"/>
    </row>
    <row r="1032" spans="1:27" s="77" customFormat="1" ht="15.75" customHeight="1">
      <c r="A1032" s="37" t="s">
        <v>2864</v>
      </c>
      <c r="B1032" s="42" t="s">
        <v>1859</v>
      </c>
      <c r="C1032" s="79">
        <v>43844</v>
      </c>
      <c r="D1032" s="80">
        <v>44485</v>
      </c>
      <c r="E1032" s="41">
        <f>D1032-C1032</f>
        <v>641</v>
      </c>
      <c r="F1032" s="83" t="s">
        <v>0</v>
      </c>
      <c r="G1032" s="81" t="s">
        <v>43</v>
      </c>
      <c r="H1032" s="46"/>
      <c r="I1032" s="46"/>
      <c r="K1032" s="53" t="s">
        <v>1860</v>
      </c>
    </row>
    <row r="1033" spans="1:27" s="87" customFormat="1" ht="15.75" customHeight="1">
      <c r="A1033" s="42" t="s">
        <v>1289</v>
      </c>
      <c r="B1033" s="42" t="s">
        <v>1290</v>
      </c>
      <c r="C1033" s="39">
        <v>43362</v>
      </c>
      <c r="D1033" s="39">
        <v>44007</v>
      </c>
      <c r="E1033" s="47">
        <f>D1033-C1033</f>
        <v>645</v>
      </c>
      <c r="F1033" s="43" t="s">
        <v>0</v>
      </c>
      <c r="G1033" s="46"/>
      <c r="H1033" s="46"/>
      <c r="I1033" s="46"/>
      <c r="J1033" s="37"/>
      <c r="K1033" s="53" t="s">
        <v>1291</v>
      </c>
      <c r="L1033" s="37"/>
      <c r="M1033" s="37"/>
    </row>
    <row r="1034" spans="1:27" s="87" customFormat="1" ht="15.75" customHeight="1">
      <c r="A1034" s="75" t="s">
        <v>2239</v>
      </c>
      <c r="B1034" s="75" t="s">
        <v>2338</v>
      </c>
      <c r="C1034" s="79">
        <v>44199</v>
      </c>
      <c r="D1034" s="80">
        <v>44863</v>
      </c>
      <c r="E1034" s="41">
        <f>D1034-C1034</f>
        <v>664</v>
      </c>
      <c r="F1034" s="43" t="s">
        <v>0</v>
      </c>
      <c r="G1034" s="81" t="s">
        <v>1357</v>
      </c>
      <c r="H1034" s="83" t="s">
        <v>11</v>
      </c>
      <c r="I1034" s="81"/>
      <c r="K1034" s="76" t="s">
        <v>2339</v>
      </c>
    </row>
    <row r="1035" spans="1:27" s="87" customFormat="1" ht="15.75" customHeight="1">
      <c r="A1035" s="77" t="s">
        <v>314</v>
      </c>
      <c r="B1035" s="75" t="s">
        <v>315</v>
      </c>
      <c r="C1035" s="79">
        <v>44199</v>
      </c>
      <c r="D1035" s="80">
        <v>44870</v>
      </c>
      <c r="E1035" s="41">
        <f>D1035-C1035</f>
        <v>671</v>
      </c>
      <c r="F1035" s="43" t="s">
        <v>0</v>
      </c>
      <c r="G1035" s="81" t="s">
        <v>316</v>
      </c>
      <c r="H1035" s="83" t="s">
        <v>11</v>
      </c>
      <c r="I1035" s="81" t="s">
        <v>85</v>
      </c>
      <c r="K1035" s="76" t="s">
        <v>317</v>
      </c>
    </row>
    <row r="1036" spans="1:27" s="77" customFormat="1" ht="15.75" customHeight="1">
      <c r="A1036" s="37" t="s">
        <v>565</v>
      </c>
      <c r="B1036" s="86" t="s">
        <v>627</v>
      </c>
      <c r="C1036" s="79">
        <v>43738</v>
      </c>
      <c r="D1036" s="79">
        <v>44419</v>
      </c>
      <c r="E1036" s="41">
        <f>D1036-C1036</f>
        <v>681</v>
      </c>
      <c r="F1036" s="83" t="s">
        <v>0</v>
      </c>
      <c r="G1036" s="81" t="s">
        <v>1</v>
      </c>
      <c r="H1036" s="46"/>
      <c r="I1036" s="46"/>
      <c r="J1036" s="87"/>
      <c r="K1036" s="53" t="s">
        <v>1777</v>
      </c>
      <c r="L1036" s="87"/>
      <c r="M1036" s="87"/>
    </row>
    <row r="1037" spans="1:27" s="87" customFormat="1" ht="15.75" customHeight="1">
      <c r="A1037" s="37" t="s">
        <v>1645</v>
      </c>
      <c r="B1037" s="42" t="s">
        <v>1646</v>
      </c>
      <c r="C1037" s="39">
        <v>43628</v>
      </c>
      <c r="D1037" s="39">
        <v>44331</v>
      </c>
      <c r="E1037" s="41">
        <f>D1037-C1037</f>
        <v>703</v>
      </c>
      <c r="F1037" s="43" t="s">
        <v>54</v>
      </c>
      <c r="G1037" s="46"/>
      <c r="H1037" s="46"/>
      <c r="I1037" s="46"/>
      <c r="J1037" s="37"/>
      <c r="K1037" s="37"/>
      <c r="L1037" s="42" t="s">
        <v>1647</v>
      </c>
      <c r="M1037" s="37"/>
    </row>
    <row r="1038" spans="1:27" s="87" customFormat="1" ht="15.75" customHeight="1">
      <c r="A1038" s="37" t="s">
        <v>2147</v>
      </c>
      <c r="B1038" s="42" t="s">
        <v>2148</v>
      </c>
      <c r="C1038" s="79">
        <v>43959</v>
      </c>
      <c r="D1038" s="80">
        <v>44667</v>
      </c>
      <c r="E1038" s="41">
        <f>D1038-C1038</f>
        <v>708</v>
      </c>
      <c r="F1038" s="83" t="s">
        <v>595</v>
      </c>
      <c r="G1038" s="81" t="s">
        <v>43</v>
      </c>
      <c r="H1038" s="83" t="s">
        <v>11</v>
      </c>
      <c r="I1038" s="81" t="s">
        <v>2139</v>
      </c>
      <c r="J1038" s="77"/>
      <c r="K1038" s="53" t="s">
        <v>2149</v>
      </c>
      <c r="L1038" s="42" t="s">
        <v>2150</v>
      </c>
      <c r="M1038" s="77"/>
    </row>
    <row r="1039" spans="1:27" s="87" customFormat="1" ht="15.75" customHeight="1">
      <c r="A1039" s="86" t="s">
        <v>853</v>
      </c>
      <c r="B1039" s="86" t="s">
        <v>1792</v>
      </c>
      <c r="C1039" s="79">
        <v>43715</v>
      </c>
      <c r="D1039" s="79">
        <v>44439</v>
      </c>
      <c r="E1039" s="41">
        <f>D1039-C1039</f>
        <v>724</v>
      </c>
      <c r="F1039" s="83" t="s">
        <v>1327</v>
      </c>
      <c r="G1039" s="81" t="s">
        <v>1</v>
      </c>
      <c r="H1039" s="46"/>
      <c r="I1039" s="46"/>
      <c r="K1039" s="53" t="s">
        <v>1793</v>
      </c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</row>
    <row r="1040" spans="1:27" s="87" customFormat="1" ht="15.75" customHeight="1">
      <c r="A1040" s="37" t="s">
        <v>1691</v>
      </c>
      <c r="B1040" s="86" t="s">
        <v>1692</v>
      </c>
      <c r="C1040" s="79">
        <v>43626</v>
      </c>
      <c r="D1040" s="80">
        <v>44360</v>
      </c>
      <c r="E1040" s="41">
        <f>D1040-C1040</f>
        <v>734</v>
      </c>
      <c r="F1040" s="83" t="s">
        <v>54</v>
      </c>
      <c r="G1040" s="81" t="s">
        <v>43</v>
      </c>
      <c r="H1040" s="46"/>
      <c r="I1040" s="81" t="s">
        <v>817</v>
      </c>
      <c r="K1040" s="88" t="s">
        <v>1693</v>
      </c>
    </row>
    <row r="1041" spans="1:27" s="87" customFormat="1" ht="15.75" customHeight="1">
      <c r="A1041" s="37" t="s">
        <v>1134</v>
      </c>
      <c r="B1041" s="87" t="s">
        <v>1772</v>
      </c>
      <c r="C1041" s="79">
        <v>43661</v>
      </c>
      <c r="D1041" s="79">
        <v>44409</v>
      </c>
      <c r="E1041" s="41">
        <f>D1041-C1041</f>
        <v>748</v>
      </c>
      <c r="F1041" s="83" t="s">
        <v>54</v>
      </c>
      <c r="G1041" s="81" t="s">
        <v>33</v>
      </c>
      <c r="H1041" s="46"/>
      <c r="I1041" s="46"/>
      <c r="K1041" s="53" t="s">
        <v>1773</v>
      </c>
    </row>
    <row r="1042" spans="1:27" s="87" customFormat="1" ht="15.75" customHeight="1">
      <c r="A1042" s="42" t="s">
        <v>1224</v>
      </c>
      <c r="B1042" s="42" t="s">
        <v>1761</v>
      </c>
      <c r="C1042" s="79">
        <v>43613</v>
      </c>
      <c r="D1042" s="80">
        <v>44404</v>
      </c>
      <c r="E1042" s="41">
        <f>D1042-C1042</f>
        <v>791</v>
      </c>
      <c r="F1042" s="83" t="s">
        <v>0</v>
      </c>
      <c r="G1042" s="81" t="s">
        <v>1</v>
      </c>
      <c r="H1042" s="46"/>
      <c r="I1042" s="46"/>
      <c r="K1042" s="53" t="s">
        <v>1762</v>
      </c>
      <c r="L1042" s="87" t="s">
        <v>1763</v>
      </c>
    </row>
    <row r="1043" spans="1:27" s="87" customFormat="1" ht="15.75" customHeight="1">
      <c r="A1043" s="37" t="s">
        <v>2106</v>
      </c>
      <c r="B1043" s="87" t="s">
        <v>2138</v>
      </c>
      <c r="C1043" s="79">
        <v>43847</v>
      </c>
      <c r="D1043" s="39">
        <v>44660</v>
      </c>
      <c r="E1043" s="41">
        <f>D1043-C1043</f>
        <v>813</v>
      </c>
      <c r="F1043" s="83" t="s">
        <v>0</v>
      </c>
      <c r="G1043" s="45" t="s">
        <v>43</v>
      </c>
      <c r="H1043" s="83" t="s">
        <v>11</v>
      </c>
      <c r="I1043" s="81" t="s">
        <v>2139</v>
      </c>
      <c r="J1043" s="77"/>
      <c r="K1043" s="53" t="s">
        <v>2140</v>
      </c>
      <c r="L1043" s="77"/>
      <c r="M1043" s="77"/>
    </row>
    <row r="1044" spans="1:27" s="87" customFormat="1" ht="15.75" customHeight="1">
      <c r="A1044" s="37" t="s">
        <v>1284</v>
      </c>
      <c r="B1044" s="42" t="s">
        <v>1756</v>
      </c>
      <c r="C1044" s="39">
        <v>43906</v>
      </c>
      <c r="D1044" s="80">
        <v>44735</v>
      </c>
      <c r="E1044" s="41">
        <f>D1044-C1044</f>
        <v>829</v>
      </c>
      <c r="F1044" s="43" t="s">
        <v>0</v>
      </c>
      <c r="G1044" s="81" t="s">
        <v>106</v>
      </c>
      <c r="H1044" s="83" t="s">
        <v>11</v>
      </c>
      <c r="I1044" s="46"/>
      <c r="J1044" s="77"/>
      <c r="K1044" s="53" t="s">
        <v>2220</v>
      </c>
      <c r="L1044" s="42" t="s">
        <v>2221</v>
      </c>
      <c r="M1044" s="77"/>
    </row>
    <row r="1045" spans="1:27" s="87" customFormat="1" ht="15.75" customHeight="1">
      <c r="A1045" s="57" t="s">
        <v>2177</v>
      </c>
      <c r="B1045" s="86" t="s">
        <v>2178</v>
      </c>
      <c r="C1045" s="79">
        <v>43757</v>
      </c>
      <c r="D1045" s="80">
        <v>44695</v>
      </c>
      <c r="E1045" s="41">
        <f>D1045-C1045</f>
        <v>938</v>
      </c>
      <c r="F1045" s="83" t="s">
        <v>0</v>
      </c>
      <c r="G1045" s="81" t="s">
        <v>33</v>
      </c>
      <c r="H1045" s="81" t="s">
        <v>2</v>
      </c>
      <c r="I1045" s="46"/>
      <c r="K1045" s="76" t="s">
        <v>2179</v>
      </c>
    </row>
    <row r="1046" spans="1:27" s="87" customFormat="1" ht="15.75" customHeight="1">
      <c r="A1046" s="37" t="s">
        <v>2330</v>
      </c>
      <c r="B1046" s="42" t="s">
        <v>1965</v>
      </c>
      <c r="C1046" s="79">
        <v>43912</v>
      </c>
      <c r="D1046" s="80">
        <v>44857</v>
      </c>
      <c r="E1046" s="41">
        <f>D1046-C1046</f>
        <v>945</v>
      </c>
      <c r="F1046" s="83" t="s">
        <v>0</v>
      </c>
      <c r="G1046" s="81" t="s">
        <v>26</v>
      </c>
      <c r="H1046" s="83" t="s">
        <v>11</v>
      </c>
      <c r="I1046" s="81" t="s">
        <v>2139</v>
      </c>
      <c r="K1046" s="53" t="s">
        <v>2331</v>
      </c>
      <c r="L1046" s="37" t="s">
        <v>2330</v>
      </c>
    </row>
    <row r="1047" spans="1:27" s="87" customFormat="1" ht="15.75" customHeight="1">
      <c r="A1047" s="37" t="s">
        <v>285</v>
      </c>
      <c r="B1047" s="42" t="s">
        <v>286</v>
      </c>
      <c r="C1047" s="39">
        <v>43906</v>
      </c>
      <c r="D1047" s="80">
        <v>44861</v>
      </c>
      <c r="E1047" s="41">
        <f>D1047-C1047</f>
        <v>955</v>
      </c>
      <c r="F1047" s="43" t="s">
        <v>0</v>
      </c>
      <c r="G1047" s="81"/>
      <c r="H1047" s="83" t="s">
        <v>2</v>
      </c>
      <c r="I1047" s="81"/>
      <c r="K1047" s="76" t="s">
        <v>287</v>
      </c>
    </row>
    <row r="1048" spans="1:27" s="87" customFormat="1" ht="15.75" customHeight="1">
      <c r="A1048" s="37" t="s">
        <v>1796</v>
      </c>
      <c r="B1048" s="42" t="s">
        <v>1951</v>
      </c>
      <c r="C1048" s="79">
        <v>43581</v>
      </c>
      <c r="D1048" s="79">
        <v>44555</v>
      </c>
      <c r="E1048" s="41">
        <f>D1048-C1048</f>
        <v>974</v>
      </c>
      <c r="F1048" s="83" t="s">
        <v>0</v>
      </c>
      <c r="G1048" s="81" t="s">
        <v>805</v>
      </c>
      <c r="H1048" s="46"/>
      <c r="I1048" s="46"/>
    </row>
    <row r="1049" spans="1:27" s="87" customFormat="1" ht="15.75" customHeight="1">
      <c r="A1049" s="37" t="s">
        <v>2168</v>
      </c>
      <c r="B1049" s="42" t="s">
        <v>2169</v>
      </c>
      <c r="C1049" s="79">
        <v>43620</v>
      </c>
      <c r="D1049" s="79">
        <v>44674</v>
      </c>
      <c r="E1049" s="41">
        <f>D1049-C1049</f>
        <v>1054</v>
      </c>
      <c r="F1049" s="83" t="s">
        <v>0</v>
      </c>
      <c r="H1049" s="81" t="s">
        <v>2</v>
      </c>
      <c r="I1049" s="81" t="s">
        <v>2170</v>
      </c>
      <c r="L1049" s="87" t="s">
        <v>2171</v>
      </c>
    </row>
    <row r="1050" spans="1:27" s="87" customFormat="1" ht="15.75" customHeight="1">
      <c r="A1050" s="87" t="s">
        <v>777</v>
      </c>
      <c r="B1050" s="87" t="s">
        <v>777</v>
      </c>
      <c r="C1050" s="79">
        <v>43386</v>
      </c>
      <c r="D1050" s="79">
        <v>44576</v>
      </c>
      <c r="E1050" s="41">
        <f>D1050-C1050</f>
        <v>1190</v>
      </c>
      <c r="F1050" s="83" t="s">
        <v>0</v>
      </c>
      <c r="G1050" s="81" t="s">
        <v>26</v>
      </c>
      <c r="H1050" s="81" t="s">
        <v>2</v>
      </c>
      <c r="I1050" s="46"/>
      <c r="K1050" s="53" t="s">
        <v>1994</v>
      </c>
      <c r="L1050" s="77"/>
      <c r="M1050" s="7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</row>
    <row r="1051" spans="1:27" s="87" customFormat="1" ht="15.75" customHeight="1">
      <c r="A1051" s="42" t="s">
        <v>1037</v>
      </c>
      <c r="B1051" s="42" t="s">
        <v>2284</v>
      </c>
      <c r="C1051" s="79">
        <v>43620</v>
      </c>
      <c r="D1051" s="79">
        <v>44824</v>
      </c>
      <c r="E1051" s="41">
        <f>D1051-C1051</f>
        <v>1204</v>
      </c>
      <c r="F1051" s="45" t="s">
        <v>723</v>
      </c>
      <c r="G1051" s="81" t="s">
        <v>153</v>
      </c>
      <c r="H1051" s="81" t="s">
        <v>2</v>
      </c>
      <c r="I1051" s="81"/>
      <c r="K1051" s="53" t="s">
        <v>2285</v>
      </c>
      <c r="L1051" s="87" t="s">
        <v>2286</v>
      </c>
    </row>
  </sheetData>
  <sortState xmlns:xlrd2="http://schemas.microsoft.com/office/spreadsheetml/2017/richdata2" ref="A1:M1051">
    <sortCondition ref="E1:E1051"/>
  </sortState>
  <hyperlinks>
    <hyperlink ref="K341" r:id="rId1" xr:uid="{3459593E-29E8-4705-970E-96463062E3AF}"/>
    <hyperlink ref="K767" r:id="rId2" xr:uid="{0B938E54-6423-4BE7-AA87-93823C6CA176}"/>
    <hyperlink ref="K500" r:id="rId3" xr:uid="{AA1F677F-7CD3-48F1-A0E7-E6193A412B16}"/>
    <hyperlink ref="K539" r:id="rId4" xr:uid="{69767181-6917-42AC-8E99-6B018F67AE81}"/>
    <hyperlink ref="K530" r:id="rId5" xr:uid="{5DD50537-2123-4419-BDFD-50C48F5009B1}"/>
    <hyperlink ref="K591" r:id="rId6" xr:uid="{6D6305C8-8849-4DC7-8EA3-F11BE934C05E}"/>
    <hyperlink ref="K654" r:id="rId7" xr:uid="{2E6F7AE9-1E29-4BE9-9C88-41C766DFE29F}"/>
    <hyperlink ref="K634" r:id="rId8" xr:uid="{8C70BCAC-EEA2-4FF0-965C-036CE54A727F}"/>
    <hyperlink ref="K764" r:id="rId9" xr:uid="{3959BD09-6A18-4BC5-AEDD-C16D90F6090B}"/>
    <hyperlink ref="K709" r:id="rId10" xr:uid="{BB5EE5A9-651D-4D9D-AC09-50262130F440}"/>
    <hyperlink ref="K874" r:id="rId11" xr:uid="{3AD82A5A-BEE1-4780-9D3F-2DA1C882F3DA}"/>
    <hyperlink ref="K943" r:id="rId12" xr:uid="{7214255A-29A6-484B-BC34-0AA1EEF5B72B}"/>
    <hyperlink ref="K954" r:id="rId13" xr:uid="{3968263B-7B1C-4324-921C-7EFD1C922B7B}"/>
    <hyperlink ref="K211" r:id="rId14" xr:uid="{52CACB11-A1AA-425F-84D1-8991F014EEA0}"/>
    <hyperlink ref="K897" r:id="rId15" xr:uid="{6DEF854F-8852-49FA-9387-EC50E72A3986}"/>
    <hyperlink ref="K723" r:id="rId16" xr:uid="{0076E957-A528-44BB-9CCD-FCBC92D1C5A2}"/>
    <hyperlink ref="K1005" r:id="rId17" xr:uid="{84037D45-BB0F-4A02-BE67-A1D129C58D0F}"/>
    <hyperlink ref="K172" r:id="rId18" xr:uid="{40947EC7-8292-46B5-ACAF-249F3C6A7ED4}"/>
    <hyperlink ref="K444" r:id="rId19" xr:uid="{EED7FFFC-094C-4952-B3A8-B1B14AF3854E}"/>
    <hyperlink ref="K389" r:id="rId20" xr:uid="{C57374C1-03F6-410A-9052-7768BE9CD6CF}"/>
    <hyperlink ref="K1014" r:id="rId21" xr:uid="{C5835973-4C1B-45D7-9FC3-0E8F7D9FDA30}"/>
    <hyperlink ref="K460" r:id="rId22" xr:uid="{9DDC18C4-30D1-48B0-A12A-AE3652DFA9E2}"/>
    <hyperlink ref="K600" r:id="rId23" xr:uid="{FE5E0693-AF95-43D9-82E9-B2BA5619CE1F}"/>
    <hyperlink ref="K452" r:id="rId24" xr:uid="{5E4E5486-1B9A-40CC-88F9-C6FCAB3F3ED8}"/>
    <hyperlink ref="K826" r:id="rId25" xr:uid="{30707F75-2D5F-4E3F-968E-7946D60223DB}"/>
    <hyperlink ref="K453" r:id="rId26" xr:uid="{266BEAAD-3C53-40C8-954B-FA354C36F184}"/>
    <hyperlink ref="K700" r:id="rId27" xr:uid="{9D51179A-D95A-4CA0-9AB4-02C5488D4E3F}"/>
    <hyperlink ref="K537" r:id="rId28" xr:uid="{7819576F-D605-4CAB-AA34-95718D388876}"/>
    <hyperlink ref="K212" r:id="rId29" xr:uid="{93879016-7291-451E-BF69-B9EC992A470C}"/>
    <hyperlink ref="K1021" r:id="rId30" xr:uid="{4CD18FF8-2944-4D1C-8930-756F86854757}"/>
    <hyperlink ref="K353" r:id="rId31" xr:uid="{1EBC26C4-91DA-4D39-A70B-5F4D502D5251}"/>
    <hyperlink ref="K984" r:id="rId32" xr:uid="{06AE508A-B607-409B-B825-F40EEF5BDBD5}"/>
    <hyperlink ref="K807" r:id="rId33" xr:uid="{E0F3325B-A807-4372-90A6-64C0FE10ECD8}"/>
    <hyperlink ref="K544" r:id="rId34" xr:uid="{4B8B2D4C-508C-4F46-B813-181C3B756601}"/>
    <hyperlink ref="K859" r:id="rId35" xr:uid="{055E686B-BF4B-42C2-BF8F-B440B77F546C}"/>
    <hyperlink ref="K981" r:id="rId36" xr:uid="{E9DEEFA0-1ECA-44F0-9B04-F283C198F5AA}"/>
    <hyperlink ref="K76" r:id="rId37" xr:uid="{E319EDAB-7898-45DC-8274-558B86BA0452}"/>
    <hyperlink ref="K186" r:id="rId38" xr:uid="{CB085B77-A51A-4A6D-80BC-682E2BDB5835}"/>
    <hyperlink ref="K375" r:id="rId39" xr:uid="{774C6F56-04AB-4A59-A4F4-CF93E1B45BB6}"/>
    <hyperlink ref="K587" r:id="rId40" xr:uid="{B5E5C4DC-D0D4-489B-83DC-F257AFBB5900}"/>
    <hyperlink ref="K228" r:id="rId41" xr:uid="{F07B6BE1-000C-457F-8738-B97825270F36}"/>
    <hyperlink ref="K898" r:id="rId42" xr:uid="{F696E4C0-BF4E-4B02-8347-3EBC71DAB913}"/>
    <hyperlink ref="K606" r:id="rId43" xr:uid="{CBFFC75C-B073-474B-9C12-A8939F71DBDB}"/>
    <hyperlink ref="K920" r:id="rId44" xr:uid="{3BF9E9DA-031D-40D5-B385-5F04087A1E04}"/>
    <hyperlink ref="K595" r:id="rId45" xr:uid="{F14E487C-7D40-4BBB-9D87-7148D8CE88D5}"/>
    <hyperlink ref="K445" r:id="rId46" xr:uid="{FD6BA857-C33E-4AB1-B19C-BF4DB7A2118A}"/>
    <hyperlink ref="K626" r:id="rId47" xr:uid="{041DD657-468F-4D27-84F2-630B26DEE27E}"/>
    <hyperlink ref="K237" r:id="rId48" xr:uid="{63C0DEF3-13AC-4261-84BC-637651D7072E}"/>
    <hyperlink ref="K429" r:id="rId49" xr:uid="{3BABF481-CF0C-4BCE-9EA3-C1AFF925D03F}"/>
    <hyperlink ref="K926" r:id="rId50" xr:uid="{A221B3B9-42AC-49F0-AF89-09BC280C680B}"/>
    <hyperlink ref="K545" r:id="rId51" xr:uid="{AA115800-183B-4488-8224-11064C838BEB}"/>
    <hyperlink ref="K485" r:id="rId52" xr:uid="{9253B848-CDF7-4B4E-A5EF-A8BDCD92115E}"/>
    <hyperlink ref="K538" r:id="rId53" xr:uid="{8A8BE712-3698-4D9E-A23B-A32518F36472}"/>
    <hyperlink ref="K908" r:id="rId54" xr:uid="{BD27D0B5-FF94-4185-823C-D13968CD5612}"/>
    <hyperlink ref="K947" r:id="rId55" xr:uid="{8425F190-21F5-48FB-B834-1BEA088DBB0A}"/>
    <hyperlink ref="K932" r:id="rId56" xr:uid="{EF6D5F5C-53DA-4637-AD54-9CC3B007F01B}"/>
    <hyperlink ref="K910" r:id="rId57" xr:uid="{03ADE908-E081-4AA5-9915-0351CD3829C1}"/>
    <hyperlink ref="K711" r:id="rId58" xr:uid="{1CEAB98F-A713-4AF2-BD3B-111D6999EA44}"/>
    <hyperlink ref="K966" r:id="rId59" xr:uid="{7463ABC9-5FEA-4C19-9A4E-49465341B4A4}"/>
    <hyperlink ref="K1009" r:id="rId60" xr:uid="{F9F29EB9-D42A-403A-9638-EC9E3062D0DB}"/>
    <hyperlink ref="K583" r:id="rId61" xr:uid="{B9B57F6D-51FE-4F85-BE3D-19A13CDB66F4}"/>
    <hyperlink ref="K557" r:id="rId62" xr:uid="{37AF9CBC-69A3-4018-8EE4-628C1011EB9B}"/>
    <hyperlink ref="K458" r:id="rId63" xr:uid="{636ECC7B-11FE-4C40-819D-B378061FB037}"/>
    <hyperlink ref="K381" r:id="rId64" xr:uid="{0AE92E4E-3E3A-43E3-987A-7DE068C63DFF}"/>
    <hyperlink ref="K805" r:id="rId65" xr:uid="{4920A4AE-45C4-4D10-B5DE-FC10296A8A25}"/>
    <hyperlink ref="K670" r:id="rId66" xr:uid="{10F74A23-8814-46D6-B799-56FC9D84AA84}"/>
    <hyperlink ref="K418" r:id="rId67" xr:uid="{954CAD01-C394-4010-B757-B10878EB2570}"/>
    <hyperlink ref="K972" r:id="rId68" xr:uid="{CB9CBFCE-27DC-4B57-AE22-A203B92A98E0}"/>
    <hyperlink ref="K326" r:id="rId69" xr:uid="{9A8A961A-D6D6-432D-8D9C-1A65F3A2FA2D}"/>
    <hyperlink ref="K619" r:id="rId70" xr:uid="{2CF98F70-AEE8-41B1-9F95-F15E566BE8F7}"/>
    <hyperlink ref="K546" r:id="rId71" xr:uid="{C7096037-7CA8-4328-A354-4E5C0DB49613}"/>
    <hyperlink ref="K454" r:id="rId72" xr:uid="{90A063CE-4757-4522-9D6E-C36B7BF35906}"/>
    <hyperlink ref="K950" r:id="rId73" xr:uid="{037F5D4B-6270-463E-860F-F8EF5429283D}"/>
    <hyperlink ref="K963" r:id="rId74" xr:uid="{67F6F853-449E-4894-B3B5-A3AE9EC382E9}"/>
    <hyperlink ref="K547" r:id="rId75" xr:uid="{C21F4368-6616-486B-BFDB-2B2D709412EB}"/>
    <hyperlink ref="K878" r:id="rId76" xr:uid="{DCBD6C40-A3BA-4AAB-B1F2-9FB901740460}"/>
    <hyperlink ref="K731" r:id="rId77" xr:uid="{49135ADE-F569-4C59-9168-2E5319638027}"/>
    <hyperlink ref="K852" r:id="rId78" xr:uid="{AF5BC616-0D19-4B70-B405-C54957C24F0A}"/>
    <hyperlink ref="K524" r:id="rId79" xr:uid="{F4F40CB6-8926-489A-8AF9-9E82F8032E46}"/>
    <hyperlink ref="K756" r:id="rId80" xr:uid="{608DE33E-5734-4DFC-8F81-DB192FACFC6C}"/>
    <hyperlink ref="K914" r:id="rId81" xr:uid="{78E3C870-EE0A-48A2-82D8-1551ABAA6904}"/>
    <hyperlink ref="K728" r:id="rId82" xr:uid="{AABB8324-A113-4B8C-9F08-901758123036}"/>
    <hyperlink ref="K560" r:id="rId83" xr:uid="{44CB69CA-4C3E-48A5-A86D-B33E0280495C}"/>
    <hyperlink ref="K884" r:id="rId84" xr:uid="{A857A46F-143D-4453-B804-A9E1EBDBB7F3}"/>
    <hyperlink ref="K601" r:id="rId85" xr:uid="{9E0CC2F4-0813-4FDC-83E5-D1A26B3F26D4}"/>
    <hyperlink ref="K815" r:id="rId86" xr:uid="{13C42E7B-18C2-4AB6-8D3B-352DC77F59AE}"/>
    <hyperlink ref="K1033" r:id="rId87" xr:uid="{F9465EA2-C060-4697-99BD-EAE833411E19}"/>
    <hyperlink ref="K687" r:id="rId88" xr:uid="{E2C86383-8E10-48E1-B17C-EC38CC409A45}"/>
    <hyperlink ref="K548" r:id="rId89" xr:uid="{0A670686-7423-4BCE-AD46-1D5C808CE9E1}"/>
    <hyperlink ref="K450" r:id="rId90" xr:uid="{114DD787-8CCE-48E3-BEBC-00D1BB63E54A}"/>
    <hyperlink ref="K930" r:id="rId91" xr:uid="{A2ED28D7-D568-42F7-8968-C8537B940D04}"/>
    <hyperlink ref="K349" r:id="rId92" xr:uid="{BCAEE3FC-541A-4898-A452-9DF7276D7C50}"/>
    <hyperlink ref="K602" r:id="rId93" xr:uid="{91E2C4B4-BD02-42C2-B21C-6B3EB3C7785F}"/>
    <hyperlink ref="K823" r:id="rId94" xr:uid="{AA10E9AA-31CD-4C56-8EA5-003C380AFD8F}"/>
    <hyperlink ref="K889" r:id="rId95" xr:uid="{B12DAD95-FAC7-44C7-88BD-8D1344C1BDA7}"/>
    <hyperlink ref="K759" r:id="rId96" xr:uid="{53271615-8B25-4A2A-81D5-BE27218B05A7}"/>
    <hyperlink ref="K935" r:id="rId97" xr:uid="{CAE5D53F-A429-47CF-8080-06270A536A6C}"/>
    <hyperlink ref="K784" r:id="rId98" xr:uid="{9CD1A9C4-AA7A-4823-9543-444AA4E5D49D}"/>
    <hyperlink ref="K402" r:id="rId99" xr:uid="{BA3893DC-E356-47C8-AE7B-9F4930CFCF85}"/>
    <hyperlink ref="K462" r:id="rId100" xr:uid="{D5C7032D-17A8-4613-A875-EDC8F9B41B56}"/>
    <hyperlink ref="K961" r:id="rId101" xr:uid="{46146D49-2667-45CC-86C0-2FF6E2402C08}"/>
    <hyperlink ref="K923" r:id="rId102" xr:uid="{D1549C82-6D65-4157-9BCC-BF5E79A1E806}"/>
    <hyperlink ref="K989" r:id="rId103" xr:uid="{F51B6274-BBEA-49C6-A390-C8BEF25DDEFC}"/>
    <hyperlink ref="K676" r:id="rId104" xr:uid="{315AFC49-8CDE-4C5D-B85C-F048A0055C4D}"/>
    <hyperlink ref="K541" r:id="rId105" xr:uid="{DD2A4BB9-BF7D-4F97-9D1C-9F8219E8DB41}"/>
    <hyperlink ref="K838" r:id="rId106" xr:uid="{21FE8CC6-CE94-4A65-9724-8439BE356B5E}"/>
    <hyperlink ref="K856" r:id="rId107" xr:uid="{18D74000-4803-413D-87E5-C89BD0740223}"/>
    <hyperlink ref="K958" r:id="rId108" xr:uid="{DBD4F0D9-DCDC-468F-AB2F-DA1AA54F0B5A}"/>
    <hyperlink ref="K782" r:id="rId109" xr:uid="{29DBDD8A-14F1-45E9-ABFB-6A6751823EB4}"/>
    <hyperlink ref="K1004" r:id="rId110" xr:uid="{DC9C378F-B522-437F-95BA-E3EED79AD5BA}"/>
    <hyperlink ref="K627" r:id="rId111" xr:uid="{1C3CBB6F-8A49-4754-AE7F-F4AD73F05A68}"/>
    <hyperlink ref="K1022" r:id="rId112" xr:uid="{8F584369-D378-42F2-8971-416CF238ACDF}"/>
    <hyperlink ref="K842" r:id="rId113" xr:uid="{20BF4BB3-D1F1-4FC0-AD53-1ABA87AD79BB}"/>
    <hyperlink ref="K870" r:id="rId114" xr:uid="{01089B6E-7EC6-419E-997A-172E6EAAF006}"/>
    <hyperlink ref="K704" r:id="rId115" xr:uid="{8377519C-E84E-4A9D-AACC-99FBED1340D8}"/>
    <hyperlink ref="K861" r:id="rId116" xr:uid="{D36B808B-7230-4DB3-9E08-FF1B5EAB940F}"/>
    <hyperlink ref="K505" r:id="rId117" xr:uid="{1F424792-A8EF-4020-A6F2-DB21AA2B4BEA}"/>
    <hyperlink ref="K915" r:id="rId118" xr:uid="{BC9C9228-66FE-4962-8755-6AC565FC8436}"/>
    <hyperlink ref="K909" r:id="rId119" xr:uid="{1011FEDC-88B4-4E6B-B4F3-0BA395E68AA7}"/>
    <hyperlink ref="K1028" r:id="rId120" xr:uid="{8E7BF233-1F34-4283-891E-C1DAFEC8E1E2}"/>
    <hyperlink ref="K1007" r:id="rId121" xr:uid="{D8B8E145-64D0-429C-A39D-C5DC123B416E}"/>
    <hyperlink ref="K990" r:id="rId122" xr:uid="{FB5CB42E-DBB6-4C96-ADCB-D35024C4D526}"/>
    <hyperlink ref="K891" r:id="rId123" xr:uid="{717DFC68-0461-4258-8B43-32CA256DA92A}"/>
    <hyperlink ref="K979" r:id="rId124" xr:uid="{3C282025-4C2B-438B-AB22-2BDB51E09116}"/>
    <hyperlink ref="K661" r:id="rId125" xr:uid="{9E9AF43B-9B43-4637-B349-0527D140FB85}"/>
    <hyperlink ref="K952" r:id="rId126" xr:uid="{6FDDBBF4-3E11-4E4E-ADFB-BC216A539DDF}"/>
    <hyperlink ref="K558" r:id="rId127" xr:uid="{2447F439-6391-485C-A8AE-A180E4D78CDE}"/>
    <hyperlink ref="K681" r:id="rId128" xr:uid="{AD865351-A327-4142-8340-00F513EC9677}"/>
    <hyperlink ref="K907" r:id="rId129" xr:uid="{E4E165B8-B0E8-4598-BAE5-422EDF98AA70}"/>
    <hyperlink ref="K438" r:id="rId130" xr:uid="{723EFC17-F16C-45B6-AEB4-E976A0F14DB2}"/>
    <hyperlink ref="K971" r:id="rId131" xr:uid="{62700702-3D0F-4BDE-99A1-4A5D05EB3AB5}"/>
    <hyperlink ref="K486" r:id="rId132" xr:uid="{3DC5D875-418A-4551-9946-3303009BCE2D}"/>
    <hyperlink ref="K800" r:id="rId133" xr:uid="{36285100-ADBC-4B01-8C61-EBA394A0304A}"/>
    <hyperlink ref="K355" r:id="rId134" xr:uid="{1422CA7E-2302-43DA-8184-F8A65E746B46}"/>
    <hyperlink ref="K213" r:id="rId135" xr:uid="{F9F1041C-A38B-48D9-8D77-B1FE86F3299D}"/>
    <hyperlink ref="K969" r:id="rId136" xr:uid="{832220DA-753C-4E1A-9909-CF12BD058719}"/>
    <hyperlink ref="K652" r:id="rId137" xr:uid="{2A0E88BD-79F1-4F21-A2AF-C107DDF6EC6B}"/>
    <hyperlink ref="K941" r:id="rId138" xr:uid="{FAFA50A7-2E2D-4226-A2AE-A628D886A361}"/>
    <hyperlink ref="K662" r:id="rId139" xr:uid="{EDC46B82-4CAE-45BC-8272-81CCCA5D837A}"/>
    <hyperlink ref="K344" r:id="rId140" xr:uid="{32B55190-E7E2-4476-A243-B8910803CA17}"/>
    <hyperlink ref="K691" r:id="rId141" xr:uid="{77267658-EE15-46DE-B610-C57C096AB802}"/>
    <hyperlink ref="K995" r:id="rId142" xr:uid="{513B548F-78A6-494D-9ACB-901874A54943}"/>
    <hyperlink ref="K1000" r:id="rId143" xr:uid="{E247D4ED-6AE7-4C6F-B94B-39297D241BC4}"/>
    <hyperlink ref="K277" r:id="rId144" xr:uid="{B784D9F4-622F-4AA8-8E45-708C0AF60AA3}"/>
    <hyperlink ref="K614" r:id="rId145" xr:uid="{CCD63E29-4E25-4D12-A258-D1C6E37F9FD8}"/>
    <hyperlink ref="K550" r:id="rId146" xr:uid="{77CA2C86-941B-44ED-9D2D-146722CEF4A7}"/>
    <hyperlink ref="K622" r:id="rId147" xr:uid="{35053D2C-D499-4C88-8304-D91D8BBC0782}"/>
    <hyperlink ref="K987" r:id="rId148" xr:uid="{3368F6C3-7F7D-49FF-B833-01B1465A24C8}"/>
    <hyperlink ref="K481" r:id="rId149" xr:uid="{AA89C21E-7320-4763-BC27-4FFA2C26CE3A}"/>
    <hyperlink ref="K982" r:id="rId150" xr:uid="{7ED243F0-F7D3-4B92-9278-BED2FA47697C}"/>
    <hyperlink ref="K976" r:id="rId151" xr:uid="{978D92BF-2C5B-44CC-90DB-FEA156F663FF}"/>
    <hyperlink ref="K988" r:id="rId152" xr:uid="{5EE2C0C2-3DD9-4EFA-BBAC-D5264E899530}"/>
    <hyperlink ref="K911" r:id="rId153" xr:uid="{7DB8605E-B865-4E17-9A60-2356D75A76AE}"/>
    <hyperlink ref="K997" r:id="rId154" xr:uid="{A72C5533-B9FC-4473-96DC-C9E54F78C9E5}"/>
    <hyperlink ref="K1003" r:id="rId155" xr:uid="{130DF903-5C24-4E69-99AF-30DEA9533F59}"/>
    <hyperlink ref="K487" r:id="rId156" xr:uid="{810DF7D5-9CD5-46D1-A685-44A0AA9F8E29}"/>
    <hyperlink ref="K781" r:id="rId157" xr:uid="{013B9D16-2123-4F16-8F22-45C8651D1514}"/>
    <hyperlink ref="K922" r:id="rId158" xr:uid="{9E29B832-E93F-456D-BE1E-DFD761CAD809}"/>
    <hyperlink ref="K1040" r:id="rId159" xr:uid="{AF3E1B4A-71BD-4EB6-9B3E-9AE95B362DDB}"/>
    <hyperlink ref="K498" r:id="rId160" xr:uid="{3036B5F5-DD1E-4911-B897-EC4CBEAE782E}"/>
    <hyperlink ref="K597" r:id="rId161" xr:uid="{35D3EACD-EC06-4CD3-9169-893BDB3FA93A}"/>
    <hyperlink ref="K754" r:id="rId162" xr:uid="{CCAC6208-2F36-4E17-A870-28FEC85DDB68}"/>
    <hyperlink ref="K927" r:id="rId163" xr:uid="{A2968D60-EDDA-4D88-BEEB-49F8E98391A9}"/>
    <hyperlink ref="K1011" r:id="rId164" xr:uid="{41A02C9F-7869-4524-BA11-E44A407639DB}"/>
    <hyperlink ref="K992" r:id="rId165" xr:uid="{EA8355DB-461F-4C1E-A360-A86F04E579F1}"/>
    <hyperlink ref="K1027" r:id="rId166" xr:uid="{ED4AE2D1-350F-473A-89D1-041BEAD823DB}"/>
    <hyperlink ref="K692" r:id="rId167" xr:uid="{83C827D1-8F13-4917-A432-895DA40DA32D}"/>
    <hyperlink ref="K820" r:id="rId168" xr:uid="{C97B5E4A-C2E1-4645-BD68-700D1F01BD52}"/>
    <hyperlink ref="K748" r:id="rId169" xr:uid="{E8BE6C56-E7AE-45AE-ABF0-09831E46505B}"/>
    <hyperlink ref="K835" r:id="rId170" xr:uid="{1C63CB5F-0831-4504-92B8-0189C9D8E4F4}"/>
    <hyperlink ref="K1042" r:id="rId171" xr:uid="{F0C31E2C-05C3-4FFD-8407-54810BCEA921}"/>
    <hyperlink ref="K960" r:id="rId172" xr:uid="{EFF74A9E-2DA3-40BA-AE52-21E439ADB878}"/>
    <hyperlink ref="K625" r:id="rId173" xr:uid="{1997682A-8E42-4724-9F61-3A6E7635275F}"/>
    <hyperlink ref="K1041" r:id="rId174" xr:uid="{51694E5C-21E7-461E-84E8-A858A91B922B}"/>
    <hyperlink ref="K819" r:id="rId175" xr:uid="{434C8723-B9F0-4547-AB17-6B3333C6018C}"/>
    <hyperlink ref="K1036" r:id="rId176" xr:uid="{C60B08F9-8883-4077-8E8E-78B087EB7E88}"/>
    <hyperlink ref="K250" r:id="rId177" xr:uid="{9508879D-7AEE-4452-AA91-5C811C00711F}"/>
    <hyperlink ref="K594" r:id="rId178" xr:uid="{4D4508AF-FEC0-493D-923C-37355A76E049}"/>
    <hyperlink ref="K369" r:id="rId179" xr:uid="{3B1EFE70-447D-4FDD-A85B-E2F3D0C9B3D2}"/>
    <hyperlink ref="K1012" r:id="rId180" xr:uid="{AFC95587-D2F7-4EBB-AE4F-B4A202C6091B}"/>
    <hyperlink ref="K1039" r:id="rId181" xr:uid="{9F7A7340-BBD9-4DAB-8D8D-3F1389E4DCC3}"/>
    <hyperlink ref="K370" r:id="rId182" xr:uid="{74D14581-DFF6-4C3D-9FB4-48CCB14C4219}"/>
    <hyperlink ref="K953" r:id="rId183" xr:uid="{721043C2-C404-4E9B-A93A-313C87F01BDF}"/>
    <hyperlink ref="K720" r:id="rId184" xr:uid="{C15A4E2D-2633-4E4A-89F4-71375A849416}"/>
    <hyperlink ref="K615" r:id="rId185" xr:uid="{CB0CC20C-BDF6-4814-BD12-AF7D0A682F99}"/>
    <hyperlink ref="K938" r:id="rId186" xr:uid="{E50BDB33-22DA-4325-8D50-2E63C4558CA3}"/>
    <hyperlink ref="K738" r:id="rId187" xr:uid="{41D28C08-A7DB-428A-AE31-10447877D579}"/>
    <hyperlink ref="K933" r:id="rId188" xr:uid="{73B0B5C5-B1F7-4D81-9E52-02A196905575}"/>
    <hyperlink ref="K390" r:id="rId189" xr:uid="{15C2DD18-60BF-4AA7-9500-2ABFC7C7D9CA}"/>
    <hyperlink ref="K993" r:id="rId190" xr:uid="{602BEB14-D113-406D-823C-B6CC32C94A47}"/>
    <hyperlink ref="K570" r:id="rId191" xr:uid="{79B74438-89BF-429B-9D60-7CAFF8EED582}"/>
    <hyperlink ref="K440" r:id="rId192" xr:uid="{46B6C351-09E0-4F24-8AC8-B366E86BC0FF}"/>
    <hyperlink ref="K638" r:id="rId193" xr:uid="{C219CCE1-B8FE-4D42-8A0E-3A6C479A935D}"/>
    <hyperlink ref="K448" r:id="rId194" xr:uid="{036DC263-91EE-41EC-B7A9-F940C07DA19E}"/>
    <hyperlink ref="K639" r:id="rId195" xr:uid="{903EC5C0-AFB2-44A4-BB31-0DC06FDA6DA7}"/>
    <hyperlink ref="K1032" r:id="rId196" xr:uid="{EC1D2E14-9373-4FA4-A0F8-01B5E317861E}"/>
    <hyperlink ref="K1024" r:id="rId197" xr:uid="{8782CD16-3E87-4F87-8C0D-A0BD48C1D7BD}"/>
    <hyperlink ref="K760" r:id="rId198" xr:uid="{5EAC7569-F4D9-4501-BA3E-7F45ED2759B1}"/>
    <hyperlink ref="K1015" r:id="rId199" xr:uid="{E0DC1C3A-7CCA-41BF-93FE-40BB2B952F59}"/>
    <hyperlink ref="K321" r:id="rId200" xr:uid="{30307F52-CF76-4104-8044-97BF3CEEAFBF}"/>
    <hyperlink ref="K575" r:id="rId201" xr:uid="{13742F06-89BC-48B6-A93F-99293CD5020E}"/>
    <hyperlink ref="K1019" r:id="rId202" xr:uid="{46850B18-9E05-42DB-9163-E2875304C47E}"/>
    <hyperlink ref="K411" r:id="rId203" xr:uid="{1BC58E00-9743-4908-8067-0EB75F804F07}"/>
    <hyperlink ref="K928" r:id="rId204" xr:uid="{A61D8F3A-6997-4B2A-957B-D23585C8F752}"/>
    <hyperlink ref="K640" r:id="rId205" xr:uid="{39B117B0-C077-45A7-97F3-56EA6523DDC7}"/>
    <hyperlink ref="K721" r:id="rId206" xr:uid="{D7D85AB7-C3C2-435A-AD81-D806C27F1AF6}"/>
    <hyperlink ref="K633" r:id="rId207" xr:uid="{7FE23958-18BE-453A-8D2D-D62BA17BDD1C}"/>
    <hyperlink ref="K931" r:id="rId208" xr:uid="{EA061BA3-D594-4363-B0D5-7E2279DA5007}"/>
    <hyperlink ref="K888" r:id="rId209" xr:uid="{EBC58916-5DE7-460A-A057-7284224FD5FC}"/>
    <hyperlink ref="K779" r:id="rId210" xr:uid="{AC73E4CB-D653-4481-A96D-20D37ADB6474}"/>
    <hyperlink ref="K477" r:id="rId211" xr:uid="{89C50E38-AB08-474C-8F44-1E8452086DD3}"/>
    <hyperlink ref="K1031" r:id="rId212" xr:uid="{72B22AD2-1FA9-4B9B-9BC2-EEE5FF6F717C}"/>
    <hyperlink ref="K806" r:id="rId213" xr:uid="{3C9A0205-6E8E-4700-B765-7F9A3F8C4DAB}"/>
    <hyperlink ref="K377" r:id="rId214" xr:uid="{8F0850C7-0753-42CA-9994-DE6287C4096B}"/>
    <hyperlink ref="K853" r:id="rId215" xr:uid="{068D67C8-4D5B-4EC2-9F28-6E153B98BF17}"/>
    <hyperlink ref="K824" r:id="rId216" xr:uid="{DD0B5217-B543-4D86-B65C-BC708CC8C4D9}"/>
    <hyperlink ref="K955" r:id="rId217" xr:uid="{8B214D8C-E52B-4D84-9819-7E4300574A9F}"/>
    <hyperlink ref="K895" r:id="rId218" xr:uid="{5FD003E8-E0BE-45F5-A2E4-1F11D77BD84D}"/>
    <hyperlink ref="K571" r:id="rId219" xr:uid="{A19AB46C-A57F-48F7-AD19-EF0349AD6B05}"/>
    <hyperlink ref="K322" r:id="rId220" xr:uid="{FC9D2DDC-599C-48A0-AA46-0E15F363A5F6}"/>
    <hyperlink ref="K942" r:id="rId221" xr:uid="{87F855A8-D861-4960-91CF-AF3BB6FE883C}"/>
    <hyperlink ref="K967" r:id="rId222" xr:uid="{B569E899-E91D-49EF-9951-E1598CFCAE1B}"/>
    <hyperlink ref="K795" r:id="rId223" xr:uid="{33B76415-9961-4841-8A82-EED0271A091C}"/>
    <hyperlink ref="K132" r:id="rId224" xr:uid="{C61EDF57-419A-45E8-8237-60847C9AF5FB}"/>
    <hyperlink ref="K584" r:id="rId225" xr:uid="{DC255D18-7EBC-45BA-8B33-3642F57520D4}"/>
    <hyperlink ref="K1050" r:id="rId226" xr:uid="{A4D0B01A-8F0B-4058-BB13-2C1EED6CE709}"/>
    <hyperlink ref="K698" r:id="rId227" xr:uid="{D1CC9454-B8C0-4B8D-9021-5F339CDD8559}"/>
    <hyperlink ref="K1006" r:id="rId228" xr:uid="{2FA691C5-04C8-44E7-928B-DBA51B3D50C1}"/>
    <hyperlink ref="K686" r:id="rId229" xr:uid="{892E9065-A806-4E4C-B159-0BE7EB69EB8B}"/>
    <hyperlink ref="K757" r:id="rId230" xr:uid="{873CB2AD-0606-408D-A61E-AB94202D7DF3}"/>
    <hyperlink ref="K233" r:id="rId231" xr:uid="{820DB92D-EBBA-402F-9360-0B3BB8613E03}"/>
    <hyperlink ref="K471" r:id="rId232" xr:uid="{7E4398FD-AF8C-4097-91E3-010158A599B5}"/>
    <hyperlink ref="K672" r:id="rId233" xr:uid="{AE0A1C9F-3009-404B-ABF7-5EA2888C6741}"/>
    <hyperlink ref="K335" r:id="rId234" xr:uid="{9404A7C2-E609-423E-A63A-CA27D204C6AB}"/>
    <hyperlink ref="K509" r:id="rId235" xr:uid="{24D4AEA7-4DDE-4ABE-89A6-0762B93EAD01}"/>
    <hyperlink ref="K890" r:id="rId236" xr:uid="{D6F8F5DB-B2B3-4197-B916-48E83378ED6A}"/>
    <hyperlink ref="K733" r:id="rId237" xr:uid="{D2C4900A-ECB4-41EA-83CC-89C016BCD3E0}"/>
    <hyperlink ref="K844" r:id="rId238" xr:uid="{A744C304-44E5-4A26-B5A6-947B196839C7}"/>
    <hyperlink ref="K1026" r:id="rId239" xr:uid="{4EEF32CB-6224-47A7-9163-EF905BCFDDD9}"/>
    <hyperlink ref="K696" r:id="rId240" xr:uid="{B30A833F-FCA4-4162-8EF8-2544419F1877}"/>
    <hyperlink ref="K847" r:id="rId241" xr:uid="{B2203F37-003C-4443-8A65-CD4A11CA5ACB}"/>
    <hyperlink ref="K854" r:id="rId242" xr:uid="{B42A26E8-55B6-4108-B6CD-22F4E8E1AFB1}"/>
    <hyperlink ref="K814" r:id="rId243" xr:uid="{EBD17CAC-6304-4F8E-BC01-CEDE81E79FBD}"/>
    <hyperlink ref="K585" r:id="rId244" xr:uid="{09F028D4-67E9-402F-8672-6F83FE0D64D5}"/>
    <hyperlink ref="K983" r:id="rId245" xr:uid="{8CC74F21-FC4B-46E7-98F5-7E4EBD1D4CF5}"/>
    <hyperlink ref="K701" r:id="rId246" xr:uid="{A11136E4-67C1-43E3-88E2-BF192DD0285D}"/>
    <hyperlink ref="K385" r:id="rId247" xr:uid="{930AA852-E067-4188-969D-CC4F2F6175E3}"/>
    <hyperlink ref="K603" r:id="rId248" xr:uid="{859C8CC8-9402-4DD4-9095-6C02A3128961}"/>
    <hyperlink ref="K718" r:id="rId249" xr:uid="{E2E00037-60E2-40AC-9B8C-7C8985993B66}"/>
    <hyperlink ref="K786" r:id="rId250" xr:uid="{3AD5A539-7000-47FB-8631-79E883617FB8}"/>
    <hyperlink ref="K630" r:id="rId251" xr:uid="{306EF331-7939-429B-9BB2-A9907C23C6EC}"/>
    <hyperlink ref="K975" r:id="rId252" xr:uid="{7ED16930-59E4-4377-9001-63DD7F2113B1}"/>
    <hyperlink ref="K433" r:id="rId253" xr:uid="{F63E737C-43F3-4D36-8AAA-95EF5F3C0725}"/>
    <hyperlink ref="K1043" r:id="rId254" xr:uid="{A3CE2506-A578-4696-AD47-AC0517512586}"/>
    <hyperlink ref="K822" r:id="rId255" xr:uid="{51FB4E3B-B406-4373-A2A2-81251754B381}"/>
    <hyperlink ref="K1038" r:id="rId256" xr:uid="{83A0B7D5-17D9-4C99-A23A-9B15F79BBABC}"/>
    <hyperlink ref="K743" r:id="rId257" xr:uid="{C46C1203-E91A-4366-854E-F45C1EE41CFF}"/>
    <hyperlink ref="K678" r:id="rId258" xr:uid="{9059E39C-F251-42D9-9B9C-E536143753CE}"/>
    <hyperlink ref="K956" r:id="rId259" xr:uid="{946CE7FA-2CA9-48F9-A7B5-CC737FD50DD4}"/>
    <hyperlink ref="K702" r:id="rId260" xr:uid="{D1FA613F-CA2E-41A1-BDCC-3B5E0E926409}"/>
    <hyperlink ref="K1045" r:id="rId261" xr:uid="{319F7572-39D4-4B2C-84D4-62E128BF7609}"/>
    <hyperlink ref="K1016" r:id="rId262" xr:uid="{67F3D399-07C1-445F-A067-798A3BF527D7}"/>
    <hyperlink ref="K708" r:id="rId263" xr:uid="{246610C9-5176-4B25-BB4D-7B63E2897BB9}"/>
    <hyperlink ref="K848" r:id="rId264" xr:uid="{3B6368F3-5374-42FF-ABE8-41780F78A078}"/>
    <hyperlink ref="K959" r:id="rId265" xr:uid="{FEF7D11B-0D74-4CC2-9C00-C3E8214A618B}"/>
    <hyperlink ref="K962" r:id="rId266" xr:uid="{4420C42E-D17F-4992-AD5B-049DE1A08BCC}"/>
    <hyperlink ref="K1025" r:id="rId267" xr:uid="{D00C00E1-DD3E-4231-90C5-5559361C28FE}"/>
    <hyperlink ref="K396" r:id="rId268" xr:uid="{7C4CF461-1B71-4223-9659-362EE2378185}"/>
    <hyperlink ref="K339" r:id="rId269" xr:uid="{25617A73-834B-4824-9293-59545420149C}"/>
    <hyperlink ref="K726" r:id="rId270" xr:uid="{C72A2874-1CC5-44A0-B0F1-5189D71718BF}"/>
    <hyperlink ref="K522" r:id="rId271" xr:uid="{BC70C3C4-8782-4982-87DC-3EA813EC2522}"/>
    <hyperlink ref="K716" r:id="rId272" xr:uid="{A14EFAC6-1FB7-44E7-A4FF-B9BE7E56A2A6}"/>
    <hyperlink ref="K1044" r:id="rId273" xr:uid="{708EA5B7-055A-4112-8D39-9856E99A50D5}"/>
    <hyperlink ref="K970" r:id="rId274" xr:uid="{C3DA6975-BBA5-40C9-8642-4FC731BEA006}"/>
    <hyperlink ref="K918" r:id="rId275" xr:uid="{B0DB3A68-642B-4334-8927-0DD75BCE3264}"/>
    <hyperlink ref="K977" r:id="rId276" xr:uid="{7E5EE22F-62CE-4ECE-941E-F79E34D3829F}"/>
    <hyperlink ref="K346" r:id="rId277" xr:uid="{F732A1A2-BA35-4F17-A650-F1AF559B0A9B}"/>
    <hyperlink ref="K787" r:id="rId278" xr:uid="{BED8B159-0E4A-49CD-98A8-029EC3CC5EBF}"/>
    <hyperlink ref="K985" r:id="rId279" xr:uid="{70724461-6F66-4DAB-9E4F-868A1823D8B1}"/>
    <hyperlink ref="K991" r:id="rId280" xr:uid="{50087D65-5517-49B2-9445-86E95651306C}"/>
    <hyperlink ref="K611" r:id="rId281" xr:uid="{4286C7BA-6405-460D-9C77-C65825DA06DF}"/>
    <hyperlink ref="K868" r:id="rId282" xr:uid="{37114559-E0B7-4238-BE92-9D81A67FB81F}"/>
    <hyperlink ref="K216" r:id="rId283" xr:uid="{C5FB204C-4981-47FD-AAE4-98B9AD20A54B}"/>
    <hyperlink ref="K665" r:id="rId284" xr:uid="{F42DAECE-A672-4D99-8787-BB84E4E7DBFD}"/>
    <hyperlink ref="K97" r:id="rId285" xr:uid="{7470164F-AE0D-4726-B8FA-F18A5B2B4CAA}"/>
    <hyperlink ref="K797" r:id="rId286" xr:uid="{CD675508-E745-438E-9C0E-A1D92BF8821B}"/>
    <hyperlink ref="K694" r:id="rId287" xr:uid="{DEE44012-A684-4729-B5F5-8ABB37A2F30F}"/>
    <hyperlink ref="K937" r:id="rId288" xr:uid="{3BEF3AD3-F1FD-431A-8C20-1C99E61C0592}"/>
    <hyperlink ref="K734" r:id="rId289" xr:uid="{A137687C-0DBE-4185-8D88-59ED1E97CE7E}"/>
    <hyperlink ref="K1023" r:id="rId290" xr:uid="{7FD614A7-9B63-4570-A4DF-54E5B291ECB7}"/>
    <hyperlink ref="K1051" r:id="rId291" xr:uid="{14C04B2D-4E66-4229-89F0-12863B3B4333}"/>
    <hyperlink ref="K415" r:id="rId292" xr:uid="{643B4043-5C51-47A9-AA1E-39BEA3527EDA}"/>
    <hyperlink ref="K1008" r:id="rId293" xr:uid="{738C5820-BDA4-40F3-8429-E86E08677E57}"/>
    <hyperlink ref="K793" r:id="rId294" xr:uid="{21D90BB3-BEA6-44EC-B922-FF5011A117A2}"/>
    <hyperlink ref="K917" r:id="rId295" xr:uid="{BBA80735-2279-4A53-8201-E6DADD07D92C}"/>
    <hyperlink ref="K647" r:id="rId296" xr:uid="{1C840A79-95BA-4276-B993-B81A2A959F2A}"/>
    <hyperlink ref="K576" r:id="rId297" xr:uid="{92C02229-9D9D-46EC-9962-7CCFE345EF06}"/>
    <hyperlink ref="K939" r:id="rId298" xr:uid="{D07E6853-7A1C-4459-AF67-471072E3B6AF}"/>
    <hyperlink ref="K876" r:id="rId299" xr:uid="{9C75C2F9-8561-47FC-8EE1-D72D21DCE57E}"/>
    <hyperlink ref="K1046" r:id="rId300" xr:uid="{08B07C0B-DB1E-4449-B537-A2744D7610F8}"/>
    <hyperlink ref="K551" r:id="rId301" xr:uid="{376A7353-470D-4D5A-B4E4-77F4472BCFD6}"/>
    <hyperlink ref="K156" r:id="rId302" xr:uid="{42889535-681B-45EC-96CD-E7C10947D43A}"/>
    <hyperlink ref="K1047" r:id="rId303" xr:uid="{69A714C9-FB72-42E0-ABDB-CD3CA5039868}"/>
    <hyperlink ref="K1001" r:id="rId304" xr:uid="{E96738E9-E4C5-45BC-92C2-07F9426F27A7}"/>
    <hyperlink ref="K1034" r:id="rId305" xr:uid="{CBD80B19-0358-4A73-92AA-FF83B18B3D81}"/>
    <hyperlink ref="K855" r:id="rId306" xr:uid="{748207EC-55F6-4E9A-9064-07A30BAF20E0}"/>
    <hyperlink ref="K936" r:id="rId307" xr:uid="{72D13B5F-8CB4-47E4-991A-E2DA310E1DB0}"/>
    <hyperlink ref="K1035" r:id="rId308" xr:uid="{34F0A92D-7BF1-41E1-9E10-547C94A4FE4F}"/>
    <hyperlink ref="K275" r:id="rId309" xr:uid="{22FBA00E-7414-434C-AA0F-23DF219443E6}"/>
    <hyperlink ref="K862" r:id="rId310" xr:uid="{F9F719E7-805A-44A2-ABBC-48E9B426410A}"/>
    <hyperlink ref="K925" r:id="rId311" xr:uid="{C26C84A2-2C2D-4445-967A-A18443DB6EE9}"/>
    <hyperlink ref="K964" r:id="rId312" xr:uid="{AE7C7F94-53C0-4899-A01E-54FF4B404D88}"/>
    <hyperlink ref="K314" r:id="rId313" xr:uid="{4C977861-87BD-4F68-91DF-E1E1B305DF4E}"/>
    <hyperlink ref="K427" r:id="rId314" xr:uid="{C51DB344-1201-491D-8075-B77DDBF5C440}"/>
    <hyperlink ref="K877" r:id="rId315" xr:uid="{BAD34497-B951-435D-86BD-357F9F068EFF}"/>
    <hyperlink ref="K298" r:id="rId316" xr:uid="{D03E98DF-11CB-4FA1-A2C1-910A9015CBF2}"/>
    <hyperlink ref="K269" r:id="rId317" xr:uid="{4955F6BC-7C76-48D0-A917-BF2445856994}"/>
    <hyperlink ref="K811" r:id="rId318" xr:uid="{5B0D7212-95C0-4F22-94EC-96DA5D90AD55}"/>
    <hyperlink ref="K350" r:id="rId319" xr:uid="{4C724474-0103-46D4-91C4-7699997B585A}"/>
  </hyperlinks>
  <pageMargins left="0.7" right="0.7" top="0.75" bottom="0.75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workbookViewId="0"/>
  </sheetViews>
  <sheetFormatPr defaultColWidth="14.42578125" defaultRowHeight="15"/>
  <cols>
    <col min="1" max="1" width="13" customWidth="1"/>
    <col min="2" max="26" width="11.42578125" customWidth="1"/>
  </cols>
  <sheetData>
    <row r="1" spans="1:26">
      <c r="A1" s="5"/>
      <c r="B1" s="5"/>
      <c r="C1" s="5"/>
      <c r="D1" s="5" t="s">
        <v>2869</v>
      </c>
      <c r="E1" s="5" t="s">
        <v>2870</v>
      </c>
      <c r="F1" s="5" t="s">
        <v>2871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>
      <c r="A2" s="11" t="s">
        <v>1146</v>
      </c>
      <c r="B2" s="11" t="s">
        <v>2872</v>
      </c>
      <c r="C2" s="14">
        <v>43923</v>
      </c>
      <c r="D2" s="115">
        <v>0.49236111111111103</v>
      </c>
      <c r="E2" s="115">
        <v>0.60902777777777795</v>
      </c>
      <c r="F2" s="115">
        <f>E2-D2</f>
        <v>0.11666666666666692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>
      <c r="A3" s="11" t="s">
        <v>2873</v>
      </c>
      <c r="B3" s="11" t="s">
        <v>2874</v>
      </c>
      <c r="C3" s="14">
        <v>43923</v>
      </c>
      <c r="D3" s="115">
        <v>1.94444444444444E-2</v>
      </c>
      <c r="E3" s="115">
        <v>0.29027777777777802</v>
      </c>
      <c r="F3" s="115">
        <f>E3-D3</f>
        <v>0.27083333333333365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>
      <c r="A4" s="11" t="s">
        <v>1796</v>
      </c>
      <c r="B4" s="11" t="s">
        <v>2872</v>
      </c>
      <c r="C4" s="14">
        <v>43922</v>
      </c>
      <c r="D4" s="115">
        <v>0.83888888888888902</v>
      </c>
      <c r="E4" s="115">
        <v>0.86180555555555605</v>
      </c>
      <c r="F4" s="115">
        <f>E4-D4</f>
        <v>2.2916666666667029E-2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>
      <c r="A5" s="5" t="s">
        <v>2875</v>
      </c>
      <c r="B5" s="11" t="s">
        <v>2876</v>
      </c>
      <c r="C5" s="14">
        <v>43922</v>
      </c>
      <c r="D5" s="115">
        <v>0.85972222222222205</v>
      </c>
      <c r="E5" s="115">
        <v>0.92500000000000004</v>
      </c>
      <c r="F5" s="115">
        <f>E5-D5</f>
        <v>6.527777777777799E-2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>
      <c r="A6" s="11" t="s">
        <v>1134</v>
      </c>
      <c r="B6" s="11" t="s">
        <v>2872</v>
      </c>
      <c r="C6" s="14">
        <v>43922</v>
      </c>
      <c r="D6" s="115">
        <v>0.71458333333333302</v>
      </c>
      <c r="E6" s="115">
        <v>0.75694444444444398</v>
      </c>
      <c r="F6" s="115">
        <f>E6-D6</f>
        <v>4.2361111111110961E-2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>
      <c r="A7" s="11" t="s">
        <v>1122</v>
      </c>
      <c r="B7" s="11" t="s">
        <v>2872</v>
      </c>
      <c r="C7" s="14">
        <v>43922</v>
      </c>
      <c r="D7" s="115">
        <v>0.56041666666666701</v>
      </c>
      <c r="E7" s="115">
        <v>0.66736111111111096</v>
      </c>
      <c r="F7" s="115">
        <f>E7-D7</f>
        <v>0.10694444444444395</v>
      </c>
    </row>
    <row r="8" spans="1:26">
      <c r="A8" s="5" t="s">
        <v>2877</v>
      </c>
      <c r="B8" s="11" t="s">
        <v>2872</v>
      </c>
      <c r="C8" s="14">
        <v>43922</v>
      </c>
      <c r="D8" s="115">
        <v>0.49236111111111103</v>
      </c>
      <c r="E8" s="115">
        <v>0.64375000000000004</v>
      </c>
      <c r="F8" s="115">
        <f>E8-D8</f>
        <v>0.15138888888888902</v>
      </c>
    </row>
    <row r="9" spans="1:26">
      <c r="A9" s="5" t="s">
        <v>2878</v>
      </c>
      <c r="B9" s="11" t="s">
        <v>2876</v>
      </c>
      <c r="C9" s="14">
        <v>43921</v>
      </c>
      <c r="D9" s="115">
        <v>0.86944444444444402</v>
      </c>
      <c r="E9" s="115">
        <v>0.89722222222222203</v>
      </c>
      <c r="F9" s="115">
        <f>E9-D9</f>
        <v>2.7777777777778012E-2</v>
      </c>
    </row>
    <row r="10" spans="1:26">
      <c r="A10" s="11" t="s">
        <v>1196</v>
      </c>
      <c r="B10" s="11" t="s">
        <v>2872</v>
      </c>
      <c r="C10" s="14">
        <v>43921</v>
      </c>
      <c r="D10" s="115">
        <v>0.76736111111111105</v>
      </c>
      <c r="E10" s="115">
        <v>0.83194444444444404</v>
      </c>
      <c r="F10" s="115">
        <f>E10-D10</f>
        <v>6.4583333333332993E-2</v>
      </c>
    </row>
    <row r="11" spans="1:26">
      <c r="A11" s="5" t="s">
        <v>25</v>
      </c>
      <c r="B11" s="11" t="s">
        <v>2872</v>
      </c>
      <c r="C11" s="14">
        <v>43921</v>
      </c>
      <c r="D11" s="115">
        <v>0.67222222222222205</v>
      </c>
      <c r="E11" s="115">
        <v>0.72083333333333299</v>
      </c>
      <c r="F11" s="115">
        <f>E11-D11</f>
        <v>4.8611111111110938E-2</v>
      </c>
    </row>
    <row r="12" spans="1:26">
      <c r="A12" s="5" t="s">
        <v>77</v>
      </c>
      <c r="B12" s="11" t="s">
        <v>2872</v>
      </c>
      <c r="C12" s="14">
        <v>43921</v>
      </c>
      <c r="D12" s="115">
        <v>0.57569444444444395</v>
      </c>
      <c r="E12" s="115">
        <v>0.67291666666666705</v>
      </c>
      <c r="F12" s="115">
        <f>E12-D12</f>
        <v>9.7222222222223098E-2</v>
      </c>
    </row>
    <row r="13" spans="1:26">
      <c r="A13" s="11" t="s">
        <v>2879</v>
      </c>
      <c r="B13" s="11" t="s">
        <v>2872</v>
      </c>
      <c r="C13" s="14">
        <v>43921</v>
      </c>
      <c r="D13" s="115">
        <v>0.48611111111111099</v>
      </c>
      <c r="E13" s="115">
        <v>0.57013888888888897</v>
      </c>
      <c r="F13" s="115">
        <f>E13-D13</f>
        <v>8.4027777777777979E-2</v>
      </c>
    </row>
    <row r="14" spans="1:26">
      <c r="A14" s="5" t="s">
        <v>0</v>
      </c>
      <c r="B14" s="5" t="s">
        <v>2880</v>
      </c>
      <c r="C14" s="14">
        <v>43921</v>
      </c>
      <c r="D14" s="115">
        <v>2.7777777777777801E-3</v>
      </c>
      <c r="E14" s="115">
        <v>0.241666666666667</v>
      </c>
      <c r="F14" s="115">
        <f>E14-D14</f>
        <v>0.23888888888888923</v>
      </c>
    </row>
    <row r="15" spans="1:26">
      <c r="A15" s="11" t="s">
        <v>926</v>
      </c>
      <c r="B15" s="11" t="s">
        <v>2872</v>
      </c>
      <c r="C15" s="14">
        <v>43920</v>
      </c>
      <c r="D15" s="115">
        <v>0.84583333333333299</v>
      </c>
      <c r="E15" s="115">
        <v>0.86805555555555503</v>
      </c>
      <c r="F15" s="115">
        <f>E15-D15</f>
        <v>2.2222222222222032E-2</v>
      </c>
    </row>
    <row r="16" spans="1:26">
      <c r="A16" s="5" t="s">
        <v>2881</v>
      </c>
      <c r="B16" s="11" t="s">
        <v>2872</v>
      </c>
      <c r="C16" s="14">
        <v>43920</v>
      </c>
      <c r="D16" s="115">
        <v>0.63263888888888897</v>
      </c>
      <c r="E16" s="115">
        <v>0.71111111111111103</v>
      </c>
      <c r="F16" s="115">
        <f>E16-D16</f>
        <v>7.8472222222222054E-2</v>
      </c>
    </row>
    <row r="17" spans="1:6">
      <c r="A17" s="5" t="s">
        <v>1327</v>
      </c>
      <c r="B17" s="11" t="s">
        <v>2872</v>
      </c>
      <c r="C17" s="14">
        <v>43920</v>
      </c>
      <c r="D17" s="115">
        <v>0.55972222222222201</v>
      </c>
      <c r="E17" s="115">
        <v>0.68263888888888902</v>
      </c>
      <c r="F17" s="115">
        <f>E17-D17</f>
        <v>0.12291666666666701</v>
      </c>
    </row>
    <row r="18" spans="1:6">
      <c r="A18" s="5" t="s">
        <v>810</v>
      </c>
      <c r="B18" s="11" t="s">
        <v>2882</v>
      </c>
      <c r="C18" s="14">
        <v>43920</v>
      </c>
      <c r="D18" s="115">
        <v>0.46180555555555602</v>
      </c>
      <c r="E18" s="115">
        <v>0.59791666666666698</v>
      </c>
      <c r="F18" s="115">
        <f>E18-D18</f>
        <v>0.13611111111111096</v>
      </c>
    </row>
    <row r="19" spans="1:6">
      <c r="A19" s="5" t="s">
        <v>2883</v>
      </c>
      <c r="B19" s="11" t="s">
        <v>2872</v>
      </c>
      <c r="C19" s="14">
        <v>43920</v>
      </c>
      <c r="D19" s="115">
        <v>3.8888888888888903E-2</v>
      </c>
      <c r="E19" s="115">
        <v>0.25486111111111098</v>
      </c>
      <c r="F19" s="115">
        <f>E19-D19</f>
        <v>0.21597222222222207</v>
      </c>
    </row>
    <row r="20" spans="1:6">
      <c r="A20" s="11" t="s">
        <v>1027</v>
      </c>
      <c r="B20" s="11" t="s">
        <v>2872</v>
      </c>
      <c r="C20" s="14">
        <v>43919</v>
      </c>
      <c r="D20" s="115">
        <v>0.98333333333333295</v>
      </c>
      <c r="E20" s="115">
        <v>4.1666666666666699E-2</v>
      </c>
      <c r="F20" s="115">
        <f>E20-D20+24</f>
        <v>23.058333333333334</v>
      </c>
    </row>
    <row r="21" spans="1:6" ht="15.75" customHeight="1">
      <c r="A21" s="5" t="s">
        <v>2884</v>
      </c>
      <c r="B21" s="11" t="s">
        <v>2872</v>
      </c>
      <c r="C21" s="14">
        <v>43919</v>
      </c>
      <c r="D21" s="115">
        <v>0.92152777777777795</v>
      </c>
      <c r="E21" s="115">
        <v>0.95069444444444395</v>
      </c>
      <c r="F21" s="115">
        <f>E21-D21</f>
        <v>2.9166666666666008E-2</v>
      </c>
    </row>
    <row r="22" spans="1:6" ht="15.75" customHeight="1">
      <c r="A22" s="5" t="s">
        <v>970</v>
      </c>
      <c r="B22" s="11" t="s">
        <v>2872</v>
      </c>
      <c r="C22" s="14">
        <v>43919</v>
      </c>
      <c r="D22" s="115">
        <v>0.86736111111111103</v>
      </c>
      <c r="E22" s="115">
        <v>0.89583333333333304</v>
      </c>
      <c r="F22" s="115">
        <f>E22-D22</f>
        <v>2.847222222222201E-2</v>
      </c>
    </row>
    <row r="23" spans="1:6" ht="15.75" customHeight="1">
      <c r="A23" s="5" t="s">
        <v>2885</v>
      </c>
      <c r="B23" s="11" t="s">
        <v>2872</v>
      </c>
      <c r="C23" s="14">
        <v>43919</v>
      </c>
      <c r="D23" s="115">
        <v>0.8</v>
      </c>
      <c r="E23" s="115">
        <v>0.83055555555555605</v>
      </c>
      <c r="F23" s="115">
        <f>E23-D23</f>
        <v>3.0555555555556002E-2</v>
      </c>
    </row>
    <row r="24" spans="1:6" ht="15.75" customHeight="1">
      <c r="A24" s="5" t="s">
        <v>1275</v>
      </c>
      <c r="B24" s="11" t="s">
        <v>2886</v>
      </c>
      <c r="C24" s="14">
        <v>43919</v>
      </c>
      <c r="D24" s="115">
        <v>0.77500000000000002</v>
      </c>
      <c r="E24" s="115">
        <v>0.81111111111111101</v>
      </c>
      <c r="F24" s="115">
        <f>E24-D24</f>
        <v>3.6111111111110983E-2</v>
      </c>
    </row>
    <row r="25" spans="1:6" ht="15.75" customHeight="1">
      <c r="A25" s="5" t="s">
        <v>2887</v>
      </c>
      <c r="B25" s="11" t="s">
        <v>2886</v>
      </c>
      <c r="C25" s="14">
        <v>43919</v>
      </c>
      <c r="D25" s="115">
        <v>0.71250000000000002</v>
      </c>
      <c r="E25" s="115">
        <v>0.74791666666666701</v>
      </c>
      <c r="F25" s="115">
        <f>E25-D25</f>
        <v>3.5416666666666985E-2</v>
      </c>
    </row>
    <row r="26" spans="1:6" ht="15.75" customHeight="1">
      <c r="A26" s="11" t="s">
        <v>943</v>
      </c>
      <c r="B26" s="11" t="s">
        <v>2886</v>
      </c>
      <c r="C26" s="14">
        <v>43919</v>
      </c>
      <c r="D26" s="115">
        <v>0.67500000000000004</v>
      </c>
      <c r="E26" s="115">
        <v>0.72708333333333297</v>
      </c>
      <c r="F26" s="115">
        <f>E26-D26</f>
        <v>5.2083333333332926E-2</v>
      </c>
    </row>
    <row r="27" spans="1:6" ht="15.75" customHeight="1">
      <c r="A27" s="11" t="s">
        <v>2888</v>
      </c>
      <c r="B27" s="11" t="s">
        <v>2886</v>
      </c>
      <c r="C27" s="14">
        <v>43919</v>
      </c>
      <c r="D27" s="115">
        <v>0.64722222222222203</v>
      </c>
      <c r="E27" s="115">
        <v>0.72083333333333299</v>
      </c>
      <c r="F27" s="115">
        <f>E27-D27</f>
        <v>7.3611111111110961E-2</v>
      </c>
    </row>
    <row r="28" spans="1:6" ht="15.75" customHeight="1">
      <c r="A28" s="5" t="s">
        <v>1174</v>
      </c>
      <c r="B28" s="11" t="s">
        <v>2886</v>
      </c>
      <c r="C28" s="14">
        <v>43919</v>
      </c>
      <c r="D28" s="115">
        <v>0.60347222222222197</v>
      </c>
      <c r="E28" s="115">
        <v>0.68125000000000002</v>
      </c>
      <c r="F28" s="115">
        <f>E28-D28</f>
        <v>7.7777777777778057E-2</v>
      </c>
    </row>
    <row r="29" spans="1:6" ht="15.75" customHeight="1">
      <c r="A29" s="11" t="s">
        <v>641</v>
      </c>
      <c r="B29" s="11" t="s">
        <v>2886</v>
      </c>
      <c r="C29" s="14">
        <v>43919</v>
      </c>
      <c r="D29" s="115">
        <v>0.55972222222222201</v>
      </c>
      <c r="E29" s="115">
        <v>0.66249999999999998</v>
      </c>
      <c r="F29" s="115">
        <f>E29-D29</f>
        <v>0.10277777777777797</v>
      </c>
    </row>
    <row r="30" spans="1:6" ht="15.75" customHeight="1">
      <c r="A30" s="5" t="s">
        <v>2889</v>
      </c>
      <c r="B30" s="11" t="s">
        <v>2886</v>
      </c>
      <c r="C30" s="14">
        <v>43919</v>
      </c>
      <c r="D30" s="115">
        <v>0.51805555555555605</v>
      </c>
      <c r="E30" s="115">
        <v>0.60763888888888895</v>
      </c>
      <c r="F30" s="115">
        <f>E30-D30</f>
        <v>8.9583333333332904E-2</v>
      </c>
    </row>
    <row r="31" spans="1:6" ht="15.75" customHeight="1">
      <c r="A31" s="11" t="s">
        <v>2890</v>
      </c>
      <c r="B31" s="11" t="s">
        <v>2886</v>
      </c>
      <c r="C31" s="14">
        <v>43919</v>
      </c>
      <c r="D31" s="115">
        <v>0.469444444444444</v>
      </c>
      <c r="E31" s="115">
        <v>0.54930555555555605</v>
      </c>
      <c r="F31" s="115">
        <f>E31-D31</f>
        <v>7.9861111111112049E-2</v>
      </c>
    </row>
    <row r="32" spans="1:6" ht="15.75" customHeight="1">
      <c r="A32" s="11" t="s">
        <v>285</v>
      </c>
      <c r="B32" s="11" t="s">
        <v>2886</v>
      </c>
      <c r="C32" s="14">
        <v>43919</v>
      </c>
      <c r="D32" s="115">
        <v>0.454166666666667</v>
      </c>
      <c r="E32" s="115">
        <v>0.53263888888888899</v>
      </c>
      <c r="F32" s="115">
        <f>E32-D32</f>
        <v>7.8472222222221999E-2</v>
      </c>
    </row>
    <row r="33" spans="1:6" ht="15.75" customHeight="1">
      <c r="A33" s="5" t="s">
        <v>1124</v>
      </c>
      <c r="B33" s="11" t="s">
        <v>2886</v>
      </c>
      <c r="C33" s="14">
        <v>43919</v>
      </c>
      <c r="D33" s="115">
        <v>0.422916666666667</v>
      </c>
      <c r="E33" s="115">
        <v>0.48819444444444399</v>
      </c>
      <c r="F33" s="115">
        <f>E33-D33</f>
        <v>6.5277777777776991E-2</v>
      </c>
    </row>
    <row r="34" spans="1:6" ht="15.75" customHeight="1">
      <c r="A34" s="5" t="s">
        <v>1135</v>
      </c>
      <c r="B34" s="11" t="s">
        <v>2886</v>
      </c>
      <c r="C34" s="14">
        <v>43919</v>
      </c>
      <c r="D34" s="115">
        <v>7.0138888888888903E-2</v>
      </c>
      <c r="E34" s="115">
        <v>0.29027777777777802</v>
      </c>
      <c r="F34" s="115">
        <f>E34-D34</f>
        <v>0.22013888888888911</v>
      </c>
    </row>
    <row r="35" spans="1:6" ht="15.75" customHeight="1">
      <c r="A35" s="11" t="s">
        <v>2891</v>
      </c>
      <c r="B35" s="11" t="s">
        <v>2886</v>
      </c>
      <c r="C35" s="14">
        <v>43919</v>
      </c>
      <c r="D35" s="115">
        <v>1.6666666666666701E-2</v>
      </c>
      <c r="E35" s="115">
        <v>0.170833333333333</v>
      </c>
      <c r="F35" s="115">
        <f>E35-D35</f>
        <v>0.15416666666666631</v>
      </c>
    </row>
    <row r="36" spans="1:6" ht="15.75" customHeight="1">
      <c r="A36" s="5" t="s">
        <v>1059</v>
      </c>
      <c r="B36" s="11" t="s">
        <v>2886</v>
      </c>
      <c r="C36" s="14">
        <v>43918</v>
      </c>
      <c r="D36" s="115">
        <v>0.97152777777777799</v>
      </c>
      <c r="E36" s="115">
        <v>0</v>
      </c>
      <c r="F36" s="115">
        <f>E36-D36+24</f>
        <v>23.028472222222224</v>
      </c>
    </row>
    <row r="37" spans="1:6" ht="15.75" customHeight="1">
      <c r="A37" s="5" t="s">
        <v>2892</v>
      </c>
      <c r="B37" s="11" t="s">
        <v>2886</v>
      </c>
      <c r="C37" s="14">
        <v>43918</v>
      </c>
      <c r="D37" s="115">
        <v>0.97013888888888899</v>
      </c>
      <c r="E37" s="115">
        <v>0.99722222222222201</v>
      </c>
      <c r="F37" s="115">
        <f>E37-D37</f>
        <v>2.7083333333333015E-2</v>
      </c>
    </row>
    <row r="38" spans="1:6" ht="15.75" customHeight="1">
      <c r="A38" s="11" t="s">
        <v>1101</v>
      </c>
      <c r="B38" s="11" t="s">
        <v>2886</v>
      </c>
      <c r="C38" s="14">
        <v>43918</v>
      </c>
      <c r="D38" s="115">
        <v>0.95625000000000004</v>
      </c>
      <c r="E38" s="115">
        <v>0.97430555555555598</v>
      </c>
      <c r="F38" s="115">
        <f>E38-D38</f>
        <v>1.8055555555555935E-2</v>
      </c>
    </row>
    <row r="39" spans="1:6" ht="15.75" customHeight="1">
      <c r="A39" s="5"/>
      <c r="B39" s="5"/>
      <c r="C39" s="5"/>
      <c r="D39" s="5"/>
      <c r="E39" s="5"/>
      <c r="F39" s="115">
        <f>E39-D39</f>
        <v>0</v>
      </c>
    </row>
    <row r="40" spans="1:6" ht="15.75" customHeight="1">
      <c r="A40" s="5"/>
      <c r="B40" s="5"/>
      <c r="C40" s="5"/>
      <c r="D40" s="5"/>
      <c r="E40" s="5"/>
      <c r="F40" s="115">
        <f>E40-D40</f>
        <v>0</v>
      </c>
    </row>
    <row r="41" spans="1:6" ht="15.75" customHeight="1">
      <c r="A41" s="5"/>
      <c r="B41" s="5"/>
      <c r="C41" s="5"/>
      <c r="D41" s="5"/>
      <c r="E41" s="5"/>
      <c r="F41" s="115">
        <f>E41-D41</f>
        <v>0</v>
      </c>
    </row>
    <row r="42" spans="1:6" ht="15.75" customHeight="1">
      <c r="A42" s="5"/>
      <c r="B42" s="5"/>
      <c r="C42" s="5"/>
      <c r="D42" s="5"/>
      <c r="E42" s="5"/>
      <c r="F42" s="115">
        <f>E42-D42</f>
        <v>0</v>
      </c>
    </row>
    <row r="43" spans="1:6" ht="15.75" customHeight="1">
      <c r="A43" s="5"/>
      <c r="B43" s="5"/>
      <c r="C43" s="5"/>
      <c r="D43" s="5"/>
      <c r="E43" s="5"/>
      <c r="F43" s="115">
        <f>E43-D43</f>
        <v>0</v>
      </c>
    </row>
    <row r="44" spans="1:6" ht="15.75" customHeight="1">
      <c r="A44" s="5"/>
      <c r="B44" s="5"/>
      <c r="C44" s="5"/>
      <c r="D44" s="5"/>
      <c r="E44" s="5"/>
      <c r="F44" s="115">
        <f>E44-D44</f>
        <v>0</v>
      </c>
    </row>
    <row r="45" spans="1:6" ht="15.75" customHeight="1">
      <c r="A45" s="5"/>
      <c r="B45" s="5"/>
      <c r="C45" s="5"/>
      <c r="D45" s="5"/>
      <c r="E45" s="5"/>
      <c r="F45" s="115">
        <f>E45-D45</f>
        <v>0</v>
      </c>
    </row>
    <row r="46" spans="1:6" ht="15.75" customHeight="1">
      <c r="A46" s="5"/>
      <c r="B46" s="5"/>
      <c r="C46" s="5"/>
      <c r="D46" s="5"/>
      <c r="E46" s="5"/>
      <c r="F46" s="115">
        <f>E46-D46</f>
        <v>0</v>
      </c>
    </row>
    <row r="47" spans="1:6" ht="15.75" customHeight="1">
      <c r="A47" s="5"/>
      <c r="B47" s="5"/>
      <c r="C47" s="5"/>
      <c r="D47" s="5"/>
      <c r="E47" s="5"/>
      <c r="F47" s="115">
        <f>E47-D47</f>
        <v>0</v>
      </c>
    </row>
    <row r="48" spans="1:6" ht="15.75" customHeight="1">
      <c r="A48" s="5"/>
      <c r="B48" s="5"/>
      <c r="C48" s="5"/>
      <c r="D48" s="5"/>
      <c r="E48" s="5"/>
      <c r="F48" s="115">
        <f>E48-D48</f>
        <v>0</v>
      </c>
    </row>
    <row r="49" spans="1:6" ht="15.75" customHeight="1">
      <c r="A49" s="5"/>
      <c r="B49" s="5"/>
      <c r="C49" s="5"/>
      <c r="D49" s="5"/>
      <c r="E49" s="5"/>
      <c r="F49" s="115">
        <f>E49-D49</f>
        <v>0</v>
      </c>
    </row>
    <row r="50" spans="1:6" ht="15.75" customHeight="1">
      <c r="A50" s="5"/>
      <c r="B50" s="5"/>
      <c r="C50" s="5"/>
      <c r="D50" s="5"/>
      <c r="E50" s="5"/>
      <c r="F50" s="115">
        <f>E50-D50</f>
        <v>0</v>
      </c>
    </row>
    <row r="51" spans="1:6" ht="15.75" customHeight="1">
      <c r="A51" s="5"/>
      <c r="B51" s="5"/>
      <c r="C51" s="5"/>
      <c r="D51" s="5"/>
      <c r="E51" s="5"/>
      <c r="F51" s="115">
        <f>E51-D51</f>
        <v>0</v>
      </c>
    </row>
    <row r="52" spans="1:6" ht="15.75" customHeight="1">
      <c r="A52" s="5"/>
      <c r="B52" s="5"/>
      <c r="C52" s="5"/>
      <c r="D52" s="5"/>
      <c r="E52" s="5"/>
      <c r="F52" s="115">
        <f>E52-D52</f>
        <v>0</v>
      </c>
    </row>
    <row r="53" spans="1:6" ht="15.75" customHeight="1">
      <c r="A53" s="5"/>
      <c r="B53" s="5"/>
      <c r="C53" s="5"/>
      <c r="D53" s="5"/>
      <c r="E53" s="5"/>
      <c r="F53" s="115">
        <f>E53-D53</f>
        <v>0</v>
      </c>
    </row>
    <row r="54" spans="1:6" ht="15.75" customHeight="1">
      <c r="A54" s="5"/>
      <c r="B54" s="5"/>
      <c r="C54" s="5"/>
      <c r="D54" s="5"/>
      <c r="E54" s="5"/>
      <c r="F54" s="5"/>
    </row>
    <row r="55" spans="1:6" ht="15.75" customHeight="1">
      <c r="A55" s="5"/>
      <c r="B55" s="5"/>
      <c r="C55" s="5"/>
      <c r="D55" s="5"/>
      <c r="E55" s="5"/>
      <c r="F55" s="5"/>
    </row>
    <row r="56" spans="1:6" ht="15.75" customHeight="1">
      <c r="A56" s="5"/>
      <c r="B56" s="5"/>
      <c r="C56" s="5"/>
      <c r="D56" s="5"/>
      <c r="E56" s="5"/>
      <c r="F56" s="5"/>
    </row>
    <row r="57" spans="1:6" ht="15.75" customHeight="1">
      <c r="A57" s="5"/>
      <c r="B57" s="5"/>
      <c r="C57" s="5"/>
      <c r="D57" s="5"/>
      <c r="E57" s="5"/>
      <c r="F57" s="5"/>
    </row>
    <row r="58" spans="1:6" ht="15.75" customHeight="1">
      <c r="A58" s="5"/>
      <c r="B58" s="5"/>
      <c r="C58" s="5"/>
      <c r="D58" s="5"/>
      <c r="E58" s="5"/>
      <c r="F58" s="5"/>
    </row>
    <row r="59" spans="1:6" ht="15.75" customHeight="1">
      <c r="A59" s="5"/>
      <c r="B59" s="5"/>
      <c r="C59" s="5"/>
      <c r="D59" s="5"/>
      <c r="E59" s="5"/>
      <c r="F59" s="5"/>
    </row>
    <row r="60" spans="1:6" ht="15.75" customHeight="1">
      <c r="A60" s="5"/>
      <c r="B60" s="5"/>
      <c r="C60" s="5"/>
      <c r="D60" s="5"/>
      <c r="E60" s="5"/>
      <c r="F60" s="5"/>
    </row>
    <row r="61" spans="1:6" ht="15.75" customHeight="1">
      <c r="A61" s="5"/>
      <c r="B61" s="5"/>
      <c r="C61" s="5"/>
      <c r="D61" s="5"/>
      <c r="E61" s="5"/>
      <c r="F61" s="5"/>
    </row>
    <row r="62" spans="1:6" ht="15.75" customHeight="1">
      <c r="A62" s="5"/>
      <c r="B62" s="5"/>
      <c r="C62" s="5"/>
      <c r="D62" s="5"/>
      <c r="E62" s="5"/>
      <c r="F62" s="5"/>
    </row>
    <row r="63" spans="1:6" ht="15.75" customHeight="1">
      <c r="A63" s="5"/>
      <c r="B63" s="5"/>
      <c r="C63" s="5"/>
      <c r="D63" s="5"/>
      <c r="E63" s="5"/>
      <c r="F63" s="5"/>
    </row>
    <row r="64" spans="1:6" ht="15.75" customHeight="1">
      <c r="A64" s="5"/>
      <c r="B64" s="5"/>
      <c r="C64" s="5"/>
      <c r="D64" s="5"/>
      <c r="E64" s="5"/>
      <c r="F64" s="5"/>
    </row>
    <row r="65" spans="1:6" ht="15.75" customHeight="1">
      <c r="A65" s="5"/>
      <c r="B65" s="5"/>
      <c r="C65" s="5"/>
      <c r="D65" s="5"/>
      <c r="E65" s="5"/>
      <c r="F65" s="5"/>
    </row>
    <row r="66" spans="1:6" ht="15.75" customHeight="1">
      <c r="A66" s="5"/>
      <c r="B66" s="5"/>
      <c r="C66" s="5"/>
      <c r="D66" s="5"/>
      <c r="E66" s="5"/>
      <c r="F66" s="5"/>
    </row>
    <row r="67" spans="1:6" ht="15.75" customHeight="1">
      <c r="A67" s="5"/>
      <c r="B67" s="5"/>
      <c r="C67" s="5"/>
      <c r="D67" s="5"/>
      <c r="E67" s="5"/>
      <c r="F67" s="5"/>
    </row>
    <row r="68" spans="1:6" ht="15.75" customHeight="1">
      <c r="A68" s="5"/>
      <c r="B68" s="5"/>
      <c r="C68" s="5"/>
      <c r="D68" s="5"/>
      <c r="E68" s="5"/>
      <c r="F68" s="5"/>
    </row>
    <row r="69" spans="1:6" ht="15.75" customHeight="1">
      <c r="A69" s="5"/>
      <c r="B69" s="5"/>
      <c r="C69" s="5"/>
      <c r="D69" s="5"/>
      <c r="E69" s="5"/>
      <c r="F69" s="5"/>
    </row>
    <row r="70" spans="1:6" ht="15.75" customHeight="1">
      <c r="A70" s="5"/>
      <c r="B70" s="5"/>
      <c r="C70" s="5"/>
      <c r="D70" s="5"/>
      <c r="E70" s="5"/>
      <c r="F70" s="5"/>
    </row>
    <row r="71" spans="1:6" ht="15.75" customHeight="1">
      <c r="A71" s="5"/>
      <c r="B71" s="5"/>
      <c r="C71" s="5"/>
      <c r="D71" s="5"/>
      <c r="E71" s="5"/>
      <c r="F71" s="5"/>
    </row>
    <row r="72" spans="1:6" ht="15.75" customHeight="1">
      <c r="A72" s="5"/>
      <c r="B72" s="5"/>
      <c r="C72" s="5"/>
      <c r="D72" s="5"/>
      <c r="E72" s="5"/>
      <c r="F72" s="5"/>
    </row>
    <row r="73" spans="1:6" ht="15.75" customHeight="1">
      <c r="A73" s="5"/>
      <c r="B73" s="5"/>
      <c r="C73" s="5"/>
      <c r="D73" s="5"/>
      <c r="E73" s="5"/>
      <c r="F73" s="5"/>
    </row>
    <row r="74" spans="1:6" ht="15.75" customHeight="1">
      <c r="A74" s="5"/>
      <c r="B74" s="5"/>
      <c r="C74" s="5"/>
      <c r="D74" s="5"/>
      <c r="E74" s="5"/>
      <c r="F74" s="5"/>
    </row>
    <row r="75" spans="1:6" ht="15.75" customHeight="1">
      <c r="A75" s="5"/>
      <c r="B75" s="5"/>
      <c r="C75" s="5"/>
      <c r="D75" s="5"/>
      <c r="E75" s="5"/>
      <c r="F75" s="5"/>
    </row>
    <row r="76" spans="1:6" ht="15.75" customHeight="1">
      <c r="A76" s="5"/>
      <c r="B76" s="5"/>
      <c r="C76" s="5"/>
      <c r="D76" s="5"/>
      <c r="E76" s="5"/>
      <c r="F76" s="5"/>
    </row>
    <row r="77" spans="1:6" ht="15.75" customHeight="1">
      <c r="A77" s="5"/>
      <c r="B77" s="5"/>
      <c r="C77" s="5"/>
      <c r="D77" s="5"/>
      <c r="E77" s="5"/>
      <c r="F77" s="5"/>
    </row>
    <row r="78" spans="1:6" ht="15.75" customHeight="1">
      <c r="A78" s="5"/>
      <c r="B78" s="5"/>
      <c r="C78" s="5"/>
      <c r="D78" s="5"/>
      <c r="E78" s="5"/>
      <c r="F78" s="5"/>
    </row>
    <row r="79" spans="1:6" ht="15.75" customHeight="1">
      <c r="A79" s="5"/>
      <c r="B79" s="5"/>
      <c r="C79" s="5"/>
      <c r="D79" s="5"/>
      <c r="E79" s="5"/>
      <c r="F79" s="5"/>
    </row>
    <row r="80" spans="1:6" ht="15.75" customHeight="1">
      <c r="A80" s="5"/>
      <c r="B80" s="5"/>
      <c r="C80" s="5"/>
      <c r="D80" s="5"/>
      <c r="E80" s="5"/>
      <c r="F80" s="5"/>
    </row>
    <row r="81" spans="1:6" ht="15.75" customHeight="1">
      <c r="A81" s="5"/>
      <c r="B81" s="5"/>
      <c r="C81" s="5"/>
      <c r="D81" s="5"/>
      <c r="E81" s="5"/>
      <c r="F81" s="5"/>
    </row>
    <row r="82" spans="1:6" ht="15.75" customHeight="1">
      <c r="A82" s="5"/>
      <c r="B82" s="5"/>
      <c r="C82" s="5"/>
      <c r="D82" s="5"/>
      <c r="E82" s="5"/>
      <c r="F82" s="5"/>
    </row>
    <row r="83" spans="1:6" ht="15.75" customHeight="1">
      <c r="A83" s="5"/>
      <c r="B83" s="5"/>
      <c r="C83" s="5"/>
      <c r="D83" s="5"/>
      <c r="E83" s="5"/>
      <c r="F83" s="5"/>
    </row>
    <row r="84" spans="1:6" ht="15.75" customHeight="1">
      <c r="A84" s="5"/>
      <c r="B84" s="5"/>
      <c r="C84" s="5"/>
      <c r="D84" s="5"/>
      <c r="E84" s="5"/>
      <c r="F84" s="5"/>
    </row>
    <row r="85" spans="1:6" ht="15.75" customHeight="1">
      <c r="A85" s="5"/>
      <c r="B85" s="5"/>
      <c r="C85" s="5"/>
      <c r="D85" s="5"/>
      <c r="E85" s="5"/>
      <c r="F85" s="5"/>
    </row>
    <row r="86" spans="1:6" ht="15.75" customHeight="1">
      <c r="A86" s="5"/>
      <c r="B86" s="5"/>
      <c r="C86" s="5"/>
      <c r="D86" s="5"/>
      <c r="E86" s="5"/>
      <c r="F86" s="5"/>
    </row>
    <row r="87" spans="1:6" ht="15.75" customHeight="1">
      <c r="A87" s="5"/>
      <c r="B87" s="5"/>
      <c r="C87" s="5"/>
      <c r="D87" s="5"/>
      <c r="E87" s="5"/>
      <c r="F87" s="5"/>
    </row>
    <row r="88" spans="1:6" ht="15.75" customHeight="1">
      <c r="A88" s="5"/>
      <c r="B88" s="5"/>
      <c r="C88" s="5"/>
      <c r="D88" s="5"/>
      <c r="E88" s="5"/>
      <c r="F88" s="5"/>
    </row>
    <row r="89" spans="1:6" ht="15.75" customHeight="1">
      <c r="A89" s="5"/>
      <c r="B89" s="5"/>
      <c r="C89" s="5"/>
      <c r="D89" s="5"/>
      <c r="E89" s="5"/>
      <c r="F89" s="5"/>
    </row>
    <row r="90" spans="1:6" ht="15.75" customHeight="1">
      <c r="A90" s="5"/>
      <c r="B90" s="5"/>
      <c r="C90" s="5"/>
      <c r="D90" s="5"/>
      <c r="E90" s="5"/>
      <c r="F90" s="5"/>
    </row>
    <row r="91" spans="1:6" ht="15.75" customHeight="1">
      <c r="A91" s="5"/>
      <c r="B91" s="5"/>
      <c r="C91" s="5"/>
      <c r="D91" s="5"/>
      <c r="E91" s="5"/>
      <c r="F91" s="5"/>
    </row>
    <row r="92" spans="1:6" ht="15.75" customHeight="1">
      <c r="A92" s="5"/>
      <c r="B92" s="5"/>
      <c r="C92" s="5"/>
      <c r="D92" s="5"/>
      <c r="E92" s="5"/>
      <c r="F92" s="5"/>
    </row>
    <row r="93" spans="1:6" ht="15.75" customHeight="1">
      <c r="A93" s="5"/>
      <c r="B93" s="5"/>
      <c r="C93" s="5"/>
      <c r="D93" s="5"/>
      <c r="E93" s="5"/>
      <c r="F93" s="5"/>
    </row>
    <row r="94" spans="1:6" ht="15.75" customHeight="1">
      <c r="A94" s="5"/>
      <c r="B94" s="5"/>
      <c r="C94" s="5"/>
      <c r="D94" s="5"/>
      <c r="E94" s="5"/>
      <c r="F94" s="5"/>
    </row>
    <row r="95" spans="1:6" ht="15.75" customHeight="1">
      <c r="A95" s="5"/>
      <c r="B95" s="5"/>
      <c r="C95" s="5"/>
      <c r="D95" s="5"/>
      <c r="E95" s="5"/>
      <c r="F95" s="5"/>
    </row>
    <row r="96" spans="1:6" ht="15.75" customHeight="1">
      <c r="A96" s="5"/>
      <c r="B96" s="5"/>
      <c r="C96" s="5"/>
      <c r="D96" s="5"/>
      <c r="E96" s="5"/>
      <c r="F96" s="5"/>
    </row>
    <row r="97" spans="1:6" ht="15.75" customHeight="1">
      <c r="A97" s="5"/>
      <c r="B97" s="5"/>
      <c r="C97" s="5"/>
      <c r="D97" s="5"/>
      <c r="E97" s="5"/>
      <c r="F97" s="5"/>
    </row>
    <row r="98" spans="1:6" ht="15.75" customHeight="1">
      <c r="A98" s="5"/>
      <c r="B98" s="5"/>
      <c r="C98" s="5"/>
      <c r="D98" s="5"/>
      <c r="E98" s="5"/>
      <c r="F98" s="5"/>
    </row>
    <row r="99" spans="1:6" ht="15.75" customHeight="1">
      <c r="A99" s="5"/>
      <c r="B99" s="5"/>
      <c r="C99" s="5"/>
      <c r="D99" s="5"/>
      <c r="E99" s="5"/>
      <c r="F99" s="5"/>
    </row>
    <row r="100" spans="1:6" ht="15.75" customHeight="1">
      <c r="A100" s="5"/>
      <c r="B100" s="5"/>
      <c r="C100" s="5"/>
      <c r="D100" s="5"/>
      <c r="E100" s="5"/>
      <c r="F100" s="5"/>
    </row>
    <row r="101" spans="1:6" ht="15.75" customHeight="1">
      <c r="A101" s="5"/>
      <c r="B101" s="5"/>
      <c r="C101" s="5"/>
      <c r="D101" s="5"/>
      <c r="E101" s="5"/>
      <c r="F101" s="5"/>
    </row>
    <row r="102" spans="1:6" ht="15.75" customHeight="1">
      <c r="A102" s="5"/>
      <c r="B102" s="5"/>
      <c r="C102" s="5"/>
      <c r="D102" s="5"/>
      <c r="E102" s="5"/>
      <c r="F102" s="5"/>
    </row>
    <row r="103" spans="1:6" ht="15.75" customHeight="1">
      <c r="A103" s="5"/>
      <c r="B103" s="5"/>
      <c r="C103" s="5"/>
      <c r="D103" s="5"/>
      <c r="E103" s="5"/>
      <c r="F103" s="5"/>
    </row>
    <row r="104" spans="1:6" ht="15.75" customHeight="1">
      <c r="A104" s="5"/>
      <c r="B104" s="5"/>
      <c r="C104" s="5"/>
      <c r="D104" s="5"/>
      <c r="E104" s="5"/>
      <c r="F104" s="5"/>
    </row>
    <row r="105" spans="1:6" ht="15.75" customHeight="1">
      <c r="A105" s="5"/>
      <c r="B105" s="5"/>
      <c r="C105" s="5"/>
      <c r="D105" s="5"/>
      <c r="E105" s="5"/>
      <c r="F105" s="5"/>
    </row>
    <row r="106" spans="1:6" ht="15.75" customHeight="1">
      <c r="A106" s="5"/>
      <c r="B106" s="5"/>
      <c r="C106" s="5"/>
      <c r="D106" s="5"/>
      <c r="E106" s="5"/>
      <c r="F106" s="5"/>
    </row>
    <row r="107" spans="1:6" ht="15.75" customHeight="1">
      <c r="A107" s="5"/>
      <c r="B107" s="5"/>
      <c r="C107" s="5"/>
      <c r="D107" s="5"/>
      <c r="E107" s="5"/>
      <c r="F107" s="5"/>
    </row>
    <row r="108" spans="1:6" ht="15.75" customHeight="1">
      <c r="A108" s="5"/>
      <c r="B108" s="5"/>
      <c r="C108" s="5"/>
      <c r="D108" s="5"/>
      <c r="E108" s="5"/>
      <c r="F108" s="5"/>
    </row>
    <row r="109" spans="1:6" ht="15.75" customHeight="1">
      <c r="A109" s="5"/>
      <c r="B109" s="5"/>
      <c r="C109" s="5"/>
      <c r="D109" s="5"/>
      <c r="E109" s="5"/>
      <c r="F109" s="5"/>
    </row>
    <row r="110" spans="1:6" ht="15.75" customHeight="1">
      <c r="A110" s="5"/>
      <c r="B110" s="5"/>
      <c r="C110" s="5"/>
      <c r="D110" s="5"/>
      <c r="E110" s="5"/>
      <c r="F110" s="5"/>
    </row>
    <row r="111" spans="1:6" ht="15.75" customHeight="1">
      <c r="A111" s="5"/>
      <c r="B111" s="5"/>
      <c r="C111" s="5"/>
      <c r="D111" s="5"/>
      <c r="E111" s="5"/>
      <c r="F111" s="5"/>
    </row>
    <row r="112" spans="1:6" ht="15.75" customHeight="1">
      <c r="A112" s="5"/>
      <c r="B112" s="5"/>
      <c r="C112" s="5"/>
      <c r="D112" s="5"/>
      <c r="E112" s="5"/>
      <c r="F112" s="5"/>
    </row>
    <row r="113" spans="1:6" ht="15.75" customHeight="1">
      <c r="A113" s="5"/>
      <c r="B113" s="5"/>
      <c r="C113" s="5"/>
      <c r="D113" s="5"/>
      <c r="E113" s="5"/>
      <c r="F113" s="5"/>
    </row>
    <row r="114" spans="1:6" ht="15.75" customHeight="1">
      <c r="A114" s="5"/>
      <c r="B114" s="5"/>
      <c r="C114" s="5"/>
      <c r="D114" s="5"/>
      <c r="E114" s="5"/>
      <c r="F114" s="5"/>
    </row>
    <row r="115" spans="1:6" ht="15.75" customHeight="1">
      <c r="A115" s="5"/>
      <c r="B115" s="5"/>
      <c r="C115" s="5"/>
      <c r="D115" s="5"/>
      <c r="E115" s="5"/>
      <c r="F115" s="5"/>
    </row>
    <row r="116" spans="1:6" ht="15.75" customHeight="1">
      <c r="A116" s="5"/>
      <c r="B116" s="5"/>
      <c r="C116" s="5"/>
      <c r="D116" s="5"/>
      <c r="E116" s="5"/>
      <c r="F116" s="5"/>
    </row>
    <row r="117" spans="1:6" ht="15.75" customHeight="1">
      <c r="A117" s="5"/>
      <c r="B117" s="5"/>
      <c r="C117" s="5"/>
      <c r="D117" s="5"/>
      <c r="E117" s="5"/>
      <c r="F117" s="5"/>
    </row>
    <row r="118" spans="1:6" ht="15.75" customHeight="1">
      <c r="A118" s="5"/>
      <c r="B118" s="5"/>
      <c r="C118" s="5"/>
      <c r="D118" s="5"/>
      <c r="E118" s="5"/>
      <c r="F118" s="5"/>
    </row>
    <row r="119" spans="1:6" ht="15.75" customHeight="1">
      <c r="A119" s="5"/>
      <c r="B119" s="5"/>
      <c r="C119" s="5"/>
      <c r="D119" s="5"/>
      <c r="E119" s="5"/>
      <c r="F119" s="5"/>
    </row>
    <row r="120" spans="1:6" ht="15.75" customHeight="1">
      <c r="A120" s="5"/>
      <c r="B120" s="5"/>
      <c r="C120" s="5"/>
      <c r="D120" s="5"/>
      <c r="E120" s="5"/>
      <c r="F120" s="5"/>
    </row>
    <row r="121" spans="1:6" ht="15.75" customHeight="1">
      <c r="A121" s="5"/>
      <c r="B121" s="5"/>
      <c r="C121" s="5"/>
      <c r="D121" s="5"/>
      <c r="E121" s="5"/>
      <c r="F121" s="5"/>
    </row>
    <row r="122" spans="1:6" ht="15.75" customHeight="1">
      <c r="A122" s="5"/>
      <c r="B122" s="5"/>
      <c r="C122" s="5"/>
      <c r="D122" s="5"/>
      <c r="E122" s="5"/>
      <c r="F122" s="5"/>
    </row>
    <row r="123" spans="1:6" ht="15.75" customHeight="1">
      <c r="A123" s="5"/>
      <c r="B123" s="5"/>
      <c r="C123" s="5"/>
      <c r="D123" s="5"/>
      <c r="E123" s="5"/>
      <c r="F123" s="5"/>
    </row>
    <row r="124" spans="1:6" ht="15.75" customHeight="1">
      <c r="A124" s="5"/>
      <c r="B124" s="5"/>
      <c r="C124" s="5"/>
      <c r="D124" s="5"/>
      <c r="E124" s="5"/>
      <c r="F124" s="5"/>
    </row>
    <row r="125" spans="1:6" ht="15.75" customHeight="1">
      <c r="A125" s="5"/>
      <c r="B125" s="5"/>
      <c r="C125" s="5"/>
      <c r="D125" s="5"/>
      <c r="E125" s="5"/>
      <c r="F125" s="5"/>
    </row>
    <row r="126" spans="1:6" ht="15.75" customHeight="1">
      <c r="A126" s="5"/>
      <c r="B126" s="5"/>
      <c r="C126" s="5"/>
      <c r="D126" s="5"/>
      <c r="E126" s="5"/>
      <c r="F126" s="5"/>
    </row>
    <row r="127" spans="1:6" ht="15.75" customHeight="1">
      <c r="A127" s="5"/>
      <c r="B127" s="5"/>
      <c r="C127" s="5"/>
      <c r="D127" s="5"/>
      <c r="E127" s="5"/>
      <c r="F127" s="5"/>
    </row>
    <row r="128" spans="1:6" ht="15.75" customHeight="1">
      <c r="A128" s="5"/>
      <c r="B128" s="5"/>
      <c r="C128" s="5"/>
      <c r="D128" s="5"/>
      <c r="E128" s="5"/>
      <c r="F128" s="5"/>
    </row>
    <row r="129" spans="1:6" ht="15.75" customHeight="1">
      <c r="A129" s="5"/>
      <c r="B129" s="5"/>
      <c r="C129" s="5"/>
      <c r="D129" s="5"/>
      <c r="E129" s="5"/>
      <c r="F129" s="5"/>
    </row>
    <row r="130" spans="1:6" ht="15.75" customHeight="1">
      <c r="A130" s="5"/>
      <c r="B130" s="5"/>
      <c r="C130" s="5"/>
      <c r="D130" s="5"/>
      <c r="E130" s="5"/>
      <c r="F130" s="5"/>
    </row>
    <row r="131" spans="1:6" ht="15.75" customHeight="1">
      <c r="A131" s="5"/>
      <c r="B131" s="5"/>
      <c r="C131" s="5"/>
      <c r="D131" s="5"/>
      <c r="E131" s="5"/>
      <c r="F131" s="5"/>
    </row>
    <row r="132" spans="1:6" ht="15.75" customHeight="1">
      <c r="A132" s="5"/>
      <c r="B132" s="5"/>
      <c r="C132" s="5"/>
      <c r="D132" s="5"/>
      <c r="E132" s="5"/>
      <c r="F132" s="5"/>
    </row>
    <row r="133" spans="1:6" ht="15.75" customHeight="1">
      <c r="A133" s="5"/>
      <c r="B133" s="5"/>
      <c r="C133" s="5"/>
      <c r="D133" s="5"/>
      <c r="E133" s="5"/>
      <c r="F133" s="5"/>
    </row>
    <row r="134" spans="1:6" ht="15.75" customHeight="1">
      <c r="A134" s="5"/>
      <c r="B134" s="5"/>
      <c r="C134" s="5"/>
      <c r="D134" s="5"/>
      <c r="E134" s="5"/>
      <c r="F134" s="5"/>
    </row>
    <row r="135" spans="1:6" ht="15.75" customHeight="1">
      <c r="A135" s="5"/>
      <c r="B135" s="5"/>
      <c r="C135" s="5"/>
      <c r="D135" s="5"/>
      <c r="E135" s="5"/>
      <c r="F135" s="5"/>
    </row>
    <row r="136" spans="1:6" ht="15.75" customHeight="1">
      <c r="A136" s="5"/>
      <c r="B136" s="5"/>
      <c r="C136" s="5"/>
      <c r="D136" s="5"/>
      <c r="E136" s="5"/>
      <c r="F136" s="5"/>
    </row>
    <row r="137" spans="1:6" ht="15.75" customHeight="1">
      <c r="A137" s="5"/>
      <c r="B137" s="5"/>
      <c r="C137" s="5"/>
      <c r="D137" s="5"/>
      <c r="E137" s="5"/>
      <c r="F137" s="5"/>
    </row>
    <row r="138" spans="1:6" ht="15.75" customHeight="1">
      <c r="A138" s="5"/>
      <c r="B138" s="5"/>
      <c r="C138" s="5"/>
      <c r="D138" s="5"/>
      <c r="E138" s="5"/>
      <c r="F138" s="5"/>
    </row>
    <row r="139" spans="1:6" ht="15.75" customHeight="1">
      <c r="A139" s="5"/>
      <c r="B139" s="5"/>
      <c r="C139" s="5"/>
      <c r="D139" s="5"/>
      <c r="E139" s="5"/>
      <c r="F139" s="5"/>
    </row>
    <row r="140" spans="1:6" ht="15.75" customHeight="1">
      <c r="A140" s="5"/>
      <c r="B140" s="5"/>
      <c r="C140" s="5"/>
      <c r="D140" s="5"/>
      <c r="E140" s="5"/>
      <c r="F140" s="5"/>
    </row>
    <row r="141" spans="1:6" ht="15.75" customHeight="1">
      <c r="A141" s="5"/>
      <c r="B141" s="5"/>
      <c r="C141" s="5"/>
      <c r="D141" s="5"/>
      <c r="E141" s="5"/>
      <c r="F141" s="5"/>
    </row>
    <row r="142" spans="1:6" ht="15.75" customHeight="1">
      <c r="A142" s="5"/>
      <c r="B142" s="5"/>
      <c r="C142" s="5"/>
      <c r="D142" s="5"/>
      <c r="E142" s="5"/>
      <c r="F142" s="5"/>
    </row>
    <row r="143" spans="1:6" ht="15.75" customHeight="1">
      <c r="A143" s="5"/>
      <c r="B143" s="5"/>
      <c r="C143" s="5"/>
      <c r="D143" s="5"/>
      <c r="E143" s="5"/>
      <c r="F143" s="5"/>
    </row>
    <row r="144" spans="1:6" ht="15.75" customHeight="1">
      <c r="A144" s="5"/>
      <c r="B144" s="5"/>
      <c r="C144" s="5"/>
      <c r="D144" s="5"/>
      <c r="E144" s="5"/>
      <c r="F144" s="5"/>
    </row>
    <row r="145" spans="1:6" ht="15.75" customHeight="1">
      <c r="A145" s="5"/>
      <c r="B145" s="5"/>
      <c r="C145" s="5"/>
      <c r="D145" s="5"/>
      <c r="E145" s="5"/>
      <c r="F145" s="5"/>
    </row>
    <row r="146" spans="1:6" ht="15.75" customHeight="1">
      <c r="A146" s="5"/>
      <c r="B146" s="5"/>
      <c r="C146" s="5"/>
      <c r="D146" s="5"/>
      <c r="E146" s="5"/>
      <c r="F146" s="5"/>
    </row>
    <row r="147" spans="1:6" ht="15.75" customHeight="1">
      <c r="A147" s="5"/>
      <c r="B147" s="5"/>
      <c r="C147" s="5"/>
      <c r="D147" s="5"/>
      <c r="E147" s="5"/>
      <c r="F147" s="5"/>
    </row>
    <row r="148" spans="1:6" ht="15.75" customHeight="1">
      <c r="A148" s="5"/>
      <c r="B148" s="5"/>
      <c r="C148" s="5"/>
      <c r="D148" s="5"/>
      <c r="E148" s="5"/>
      <c r="F148" s="5"/>
    </row>
    <row r="149" spans="1:6" ht="15.75" customHeight="1">
      <c r="A149" s="5"/>
      <c r="B149" s="5"/>
      <c r="C149" s="5"/>
      <c r="D149" s="5"/>
      <c r="E149" s="5"/>
      <c r="F149" s="5"/>
    </row>
    <row r="150" spans="1:6" ht="15.75" customHeight="1">
      <c r="A150" s="5"/>
      <c r="B150" s="5"/>
      <c r="C150" s="5"/>
      <c r="D150" s="5"/>
      <c r="E150" s="5"/>
      <c r="F150" s="5"/>
    </row>
    <row r="151" spans="1:6" ht="15.75" customHeight="1">
      <c r="A151" s="5"/>
      <c r="B151" s="5"/>
      <c r="C151" s="5"/>
      <c r="D151" s="5"/>
      <c r="E151" s="5"/>
      <c r="F151" s="5"/>
    </row>
    <row r="152" spans="1:6" ht="15.75" customHeight="1">
      <c r="A152" s="5"/>
      <c r="B152" s="5"/>
      <c r="C152" s="5"/>
      <c r="D152" s="5"/>
      <c r="E152" s="5"/>
      <c r="F152" s="5"/>
    </row>
    <row r="153" spans="1:6" ht="15.75" customHeight="1">
      <c r="A153" s="5"/>
      <c r="B153" s="5"/>
      <c r="C153" s="5"/>
      <c r="D153" s="5"/>
      <c r="E153" s="5"/>
      <c r="F153" s="5"/>
    </row>
    <row r="154" spans="1:6" ht="15.75" customHeight="1">
      <c r="A154" s="5"/>
      <c r="B154" s="5"/>
      <c r="C154" s="5"/>
      <c r="D154" s="5"/>
      <c r="E154" s="5"/>
      <c r="F154" s="5"/>
    </row>
    <row r="155" spans="1:6" ht="15.75" customHeight="1">
      <c r="A155" s="5"/>
      <c r="B155" s="5"/>
      <c r="C155" s="5"/>
      <c r="D155" s="5"/>
      <c r="E155" s="5"/>
      <c r="F155" s="5"/>
    </row>
    <row r="156" spans="1:6" ht="15.75" customHeight="1">
      <c r="A156" s="5"/>
      <c r="B156" s="5"/>
      <c r="C156" s="5"/>
      <c r="D156" s="5"/>
      <c r="E156" s="5"/>
      <c r="F156" s="5"/>
    </row>
    <row r="157" spans="1:6" ht="15.75" customHeight="1">
      <c r="A157" s="5"/>
      <c r="B157" s="5"/>
      <c r="C157" s="5"/>
      <c r="D157" s="5"/>
      <c r="E157" s="5"/>
      <c r="F157" s="5"/>
    </row>
    <row r="158" spans="1:6" ht="15.75" customHeight="1">
      <c r="A158" s="5"/>
      <c r="B158" s="5"/>
      <c r="C158" s="5"/>
      <c r="D158" s="5"/>
      <c r="E158" s="5"/>
      <c r="F158" s="5"/>
    </row>
    <row r="159" spans="1:6" ht="15.75" customHeight="1">
      <c r="A159" s="5"/>
      <c r="B159" s="5"/>
      <c r="C159" s="5"/>
      <c r="D159" s="5"/>
      <c r="E159" s="5"/>
      <c r="F159" s="5"/>
    </row>
    <row r="160" spans="1:6" ht="15.75" customHeight="1">
      <c r="A160" s="5"/>
      <c r="B160" s="5"/>
      <c r="C160" s="5"/>
      <c r="D160" s="5"/>
      <c r="E160" s="5"/>
      <c r="F160" s="5"/>
    </row>
    <row r="161" spans="1:6" ht="15.75" customHeight="1">
      <c r="A161" s="5"/>
      <c r="B161" s="5"/>
      <c r="C161" s="5"/>
      <c r="D161" s="5"/>
      <c r="E161" s="5"/>
      <c r="F161" s="5"/>
    </row>
    <row r="162" spans="1:6" ht="15.75" customHeight="1">
      <c r="A162" s="5"/>
      <c r="B162" s="5"/>
      <c r="C162" s="5"/>
      <c r="D162" s="5"/>
      <c r="E162" s="5"/>
      <c r="F162" s="5"/>
    </row>
    <row r="163" spans="1:6" ht="15.75" customHeight="1">
      <c r="A163" s="5"/>
      <c r="B163" s="5"/>
      <c r="C163" s="5"/>
      <c r="D163" s="5"/>
      <c r="E163" s="5"/>
      <c r="F163" s="5"/>
    </row>
    <row r="164" spans="1:6" ht="15.75" customHeight="1">
      <c r="A164" s="5"/>
      <c r="B164" s="5"/>
      <c r="C164" s="5"/>
      <c r="D164" s="5"/>
      <c r="E164" s="5"/>
      <c r="F164" s="5"/>
    </row>
    <row r="165" spans="1:6" ht="15.75" customHeight="1">
      <c r="A165" s="5"/>
      <c r="B165" s="5"/>
      <c r="C165" s="5"/>
      <c r="D165" s="5"/>
      <c r="E165" s="5"/>
      <c r="F165" s="5"/>
    </row>
    <row r="166" spans="1:6" ht="15.75" customHeight="1">
      <c r="A166" s="5"/>
      <c r="B166" s="5"/>
      <c r="C166" s="5"/>
      <c r="D166" s="5"/>
      <c r="E166" s="5"/>
      <c r="F166" s="5"/>
    </row>
    <row r="167" spans="1:6" ht="15.75" customHeight="1">
      <c r="A167" s="5"/>
      <c r="B167" s="5"/>
      <c r="C167" s="5"/>
      <c r="D167" s="5"/>
      <c r="E167" s="5"/>
      <c r="F167" s="5"/>
    </row>
    <row r="168" spans="1:6" ht="15.75" customHeight="1">
      <c r="A168" s="5"/>
      <c r="B168" s="5"/>
      <c r="C168" s="5"/>
      <c r="D168" s="5"/>
      <c r="E168" s="5"/>
      <c r="F168" s="5"/>
    </row>
    <row r="169" spans="1:6" ht="15.75" customHeight="1">
      <c r="A169" s="5"/>
      <c r="B169" s="5"/>
      <c r="C169" s="5"/>
      <c r="D169" s="5"/>
      <c r="E169" s="5"/>
      <c r="F169" s="5"/>
    </row>
    <row r="170" spans="1:6" ht="15.75" customHeight="1">
      <c r="A170" s="5"/>
      <c r="B170" s="5"/>
      <c r="C170" s="5"/>
      <c r="D170" s="5"/>
      <c r="E170" s="5"/>
      <c r="F170" s="5"/>
    </row>
    <row r="171" spans="1:6" ht="15.75" customHeight="1">
      <c r="A171" s="5"/>
      <c r="B171" s="5"/>
      <c r="C171" s="5"/>
      <c r="D171" s="5"/>
      <c r="E171" s="5"/>
      <c r="F171" s="5"/>
    </row>
    <row r="172" spans="1:6" ht="15.75" customHeight="1">
      <c r="A172" s="5"/>
      <c r="B172" s="5"/>
      <c r="C172" s="5"/>
      <c r="D172" s="5"/>
      <c r="E172" s="5"/>
      <c r="F172" s="5"/>
    </row>
    <row r="173" spans="1:6" ht="15.75" customHeight="1">
      <c r="A173" s="5"/>
      <c r="B173" s="5"/>
      <c r="C173" s="5"/>
      <c r="D173" s="5"/>
      <c r="E173" s="5"/>
      <c r="F173" s="5"/>
    </row>
    <row r="174" spans="1:6" ht="15.75" customHeight="1">
      <c r="A174" s="5"/>
      <c r="B174" s="5"/>
      <c r="C174" s="5"/>
      <c r="D174" s="5"/>
      <c r="E174" s="5"/>
      <c r="F174" s="5"/>
    </row>
    <row r="175" spans="1:6" ht="15.75" customHeight="1">
      <c r="A175" s="5"/>
      <c r="B175" s="5"/>
      <c r="C175" s="5"/>
      <c r="D175" s="5"/>
      <c r="E175" s="5"/>
      <c r="F175" s="5"/>
    </row>
    <row r="176" spans="1:6" ht="15.75" customHeight="1">
      <c r="A176" s="5"/>
      <c r="B176" s="5"/>
      <c r="C176" s="5"/>
      <c r="D176" s="5"/>
      <c r="E176" s="5"/>
      <c r="F176" s="5"/>
    </row>
    <row r="177" spans="1:6" ht="15.75" customHeight="1">
      <c r="A177" s="5"/>
      <c r="B177" s="5"/>
      <c r="C177" s="5"/>
      <c r="D177" s="5"/>
      <c r="E177" s="5"/>
      <c r="F177" s="5"/>
    </row>
    <row r="178" spans="1:6" ht="15.75" customHeight="1">
      <c r="A178" s="5"/>
      <c r="B178" s="5"/>
      <c r="C178" s="5"/>
      <c r="D178" s="5"/>
      <c r="E178" s="5"/>
      <c r="F178" s="5"/>
    </row>
    <row r="179" spans="1:6" ht="15.75" customHeight="1">
      <c r="A179" s="5"/>
      <c r="B179" s="5"/>
      <c r="C179" s="5"/>
      <c r="D179" s="5"/>
      <c r="E179" s="5"/>
      <c r="F179" s="5"/>
    </row>
    <row r="180" spans="1:6" ht="15.75" customHeight="1">
      <c r="A180" s="5"/>
      <c r="B180" s="5"/>
      <c r="C180" s="5"/>
      <c r="D180" s="5"/>
      <c r="E180" s="5"/>
      <c r="F180" s="5"/>
    </row>
    <row r="181" spans="1:6" ht="15.75" customHeight="1">
      <c r="A181" s="5"/>
      <c r="B181" s="5"/>
      <c r="C181" s="5"/>
      <c r="D181" s="5"/>
      <c r="E181" s="5"/>
      <c r="F181" s="5"/>
    </row>
    <row r="182" spans="1:6" ht="15.75" customHeight="1">
      <c r="A182" s="5"/>
      <c r="B182" s="5"/>
      <c r="C182" s="5"/>
      <c r="D182" s="5"/>
      <c r="E182" s="5"/>
      <c r="F182" s="5"/>
    </row>
    <row r="183" spans="1:6" ht="15.75" customHeight="1">
      <c r="A183" s="5"/>
      <c r="B183" s="5"/>
      <c r="C183" s="5"/>
      <c r="D183" s="5"/>
      <c r="E183" s="5"/>
      <c r="F183" s="5"/>
    </row>
    <row r="184" spans="1:6" ht="15.75" customHeight="1">
      <c r="A184" s="5"/>
      <c r="B184" s="5"/>
      <c r="C184" s="5"/>
      <c r="D184" s="5"/>
      <c r="E184" s="5"/>
      <c r="F184" s="5"/>
    </row>
    <row r="185" spans="1:6" ht="15.75" customHeight="1">
      <c r="A185" s="5"/>
      <c r="B185" s="5"/>
      <c r="C185" s="5"/>
      <c r="D185" s="5"/>
      <c r="E185" s="5"/>
      <c r="F185" s="5"/>
    </row>
    <row r="186" spans="1:6" ht="15.75" customHeight="1">
      <c r="A186" s="5"/>
      <c r="B186" s="5"/>
      <c r="C186" s="5"/>
      <c r="D186" s="5"/>
      <c r="E186" s="5"/>
      <c r="F186" s="5"/>
    </row>
    <row r="187" spans="1:6" ht="15.75" customHeight="1">
      <c r="A187" s="5"/>
      <c r="B187" s="5"/>
      <c r="C187" s="5"/>
      <c r="D187" s="5"/>
      <c r="E187" s="5"/>
      <c r="F187" s="5"/>
    </row>
    <row r="188" spans="1:6" ht="15.75" customHeight="1">
      <c r="A188" s="5"/>
      <c r="B188" s="5"/>
      <c r="C188" s="5"/>
      <c r="D188" s="5"/>
      <c r="E188" s="5"/>
      <c r="F188" s="5"/>
    </row>
    <row r="189" spans="1:6" ht="15.75" customHeight="1">
      <c r="A189" s="5"/>
      <c r="B189" s="5"/>
      <c r="C189" s="5"/>
      <c r="D189" s="5"/>
      <c r="E189" s="5"/>
      <c r="F189" s="5"/>
    </row>
    <row r="190" spans="1:6" ht="15.75" customHeight="1">
      <c r="A190" s="5"/>
      <c r="B190" s="5"/>
      <c r="C190" s="5"/>
      <c r="D190" s="5"/>
      <c r="E190" s="5"/>
      <c r="F190" s="5"/>
    </row>
    <row r="191" spans="1:6" ht="15.75" customHeight="1">
      <c r="A191" s="5"/>
      <c r="B191" s="5"/>
      <c r="C191" s="5"/>
      <c r="D191" s="5"/>
      <c r="E191" s="5"/>
      <c r="F191" s="5"/>
    </row>
    <row r="192" spans="1:6" ht="15.75" customHeight="1">
      <c r="A192" s="5"/>
      <c r="B192" s="5"/>
      <c r="C192" s="5"/>
      <c r="D192" s="5"/>
      <c r="E192" s="5"/>
      <c r="F192" s="5"/>
    </row>
    <row r="193" spans="1:6" ht="15.75" customHeight="1">
      <c r="A193" s="5"/>
      <c r="B193" s="5"/>
      <c r="C193" s="5"/>
      <c r="D193" s="5"/>
      <c r="E193" s="5"/>
      <c r="F193" s="5"/>
    </row>
    <row r="194" spans="1:6" ht="15.75" customHeight="1">
      <c r="A194" s="5"/>
      <c r="B194" s="5"/>
      <c r="C194" s="5"/>
      <c r="D194" s="5"/>
      <c r="E194" s="5"/>
      <c r="F194" s="5"/>
    </row>
    <row r="195" spans="1:6" ht="15.75" customHeight="1">
      <c r="A195" s="5"/>
      <c r="B195" s="5"/>
      <c r="C195" s="5"/>
      <c r="D195" s="5"/>
      <c r="E195" s="5"/>
      <c r="F195" s="5"/>
    </row>
    <row r="196" spans="1:6" ht="15.75" customHeight="1">
      <c r="A196" s="5"/>
      <c r="B196" s="5"/>
      <c r="C196" s="5"/>
      <c r="D196" s="5"/>
      <c r="E196" s="5"/>
      <c r="F196" s="5"/>
    </row>
    <row r="197" spans="1:6" ht="15.75" customHeight="1">
      <c r="A197" s="5"/>
      <c r="B197" s="5"/>
      <c r="C197" s="5"/>
      <c r="D197" s="5"/>
      <c r="E197" s="5"/>
      <c r="F197" s="5"/>
    </row>
    <row r="198" spans="1:6" ht="15.75" customHeight="1">
      <c r="A198" s="5"/>
      <c r="B198" s="5"/>
      <c r="C198" s="5"/>
      <c r="D198" s="5"/>
      <c r="E198" s="5"/>
      <c r="F198" s="5"/>
    </row>
    <row r="199" spans="1:6" ht="15.75" customHeight="1">
      <c r="A199" s="5"/>
      <c r="B199" s="5"/>
      <c r="C199" s="5"/>
      <c r="D199" s="5"/>
      <c r="E199" s="5"/>
      <c r="F199" s="5"/>
    </row>
    <row r="200" spans="1:6" ht="15.75" customHeight="1">
      <c r="A200" s="5"/>
      <c r="B200" s="5"/>
      <c r="C200" s="5"/>
      <c r="D200" s="5"/>
      <c r="E200" s="5"/>
      <c r="F200" s="5"/>
    </row>
    <row r="201" spans="1:6" ht="15.75" customHeight="1">
      <c r="A201" s="5"/>
      <c r="B201" s="5"/>
      <c r="C201" s="5"/>
      <c r="D201" s="5"/>
      <c r="E201" s="5"/>
      <c r="F201" s="5"/>
    </row>
    <row r="202" spans="1:6" ht="15.75" customHeight="1">
      <c r="A202" s="5"/>
      <c r="B202" s="5"/>
      <c r="C202" s="5"/>
      <c r="D202" s="5"/>
      <c r="E202" s="5"/>
      <c r="F202" s="5"/>
    </row>
    <row r="203" spans="1:6" ht="15.75" customHeight="1">
      <c r="A203" s="5"/>
      <c r="B203" s="5"/>
      <c r="C203" s="5"/>
      <c r="D203" s="5"/>
      <c r="E203" s="5"/>
      <c r="F203" s="5"/>
    </row>
    <row r="204" spans="1:6" ht="15.75" customHeight="1">
      <c r="A204" s="5"/>
      <c r="B204" s="5"/>
      <c r="C204" s="5"/>
      <c r="D204" s="5"/>
      <c r="E204" s="5"/>
      <c r="F204" s="5"/>
    </row>
    <row r="205" spans="1:6" ht="15.75" customHeight="1">
      <c r="A205" s="5"/>
      <c r="B205" s="5"/>
      <c r="C205" s="5"/>
      <c r="D205" s="5"/>
      <c r="E205" s="5"/>
      <c r="F205" s="5"/>
    </row>
    <row r="206" spans="1:6" ht="15.75" customHeight="1">
      <c r="A206" s="5"/>
      <c r="B206" s="5"/>
      <c r="C206" s="5"/>
      <c r="D206" s="5"/>
      <c r="E206" s="5"/>
      <c r="F206" s="5"/>
    </row>
    <row r="207" spans="1:6" ht="15.75" customHeight="1">
      <c r="A207" s="5"/>
      <c r="B207" s="5"/>
      <c r="C207" s="5"/>
      <c r="D207" s="5"/>
      <c r="E207" s="5"/>
      <c r="F207" s="5"/>
    </row>
    <row r="208" spans="1:6" ht="15.75" customHeight="1">
      <c r="A208" s="5"/>
      <c r="B208" s="5"/>
      <c r="C208" s="5"/>
      <c r="D208" s="5"/>
      <c r="E208" s="5"/>
      <c r="F208" s="5"/>
    </row>
    <row r="209" spans="1:6" ht="15.75" customHeight="1">
      <c r="A209" s="5"/>
      <c r="B209" s="5"/>
      <c r="C209" s="5"/>
      <c r="D209" s="5"/>
      <c r="E209" s="5"/>
      <c r="F209" s="5"/>
    </row>
    <row r="210" spans="1:6" ht="15.75" customHeight="1">
      <c r="A210" s="5"/>
      <c r="B210" s="5"/>
      <c r="C210" s="5"/>
      <c r="D210" s="5"/>
      <c r="E210" s="5"/>
      <c r="F210" s="5"/>
    </row>
    <row r="211" spans="1:6" ht="15.75" customHeight="1">
      <c r="A211" s="5"/>
      <c r="B211" s="5"/>
      <c r="C211" s="5"/>
      <c r="D211" s="5"/>
      <c r="E211" s="5"/>
      <c r="F211" s="5"/>
    </row>
    <row r="212" spans="1:6" ht="15.75" customHeight="1">
      <c r="A212" s="5"/>
      <c r="B212" s="5"/>
      <c r="C212" s="5"/>
      <c r="D212" s="5"/>
      <c r="E212" s="5"/>
      <c r="F212" s="5"/>
    </row>
    <row r="213" spans="1:6" ht="15.75" customHeight="1">
      <c r="A213" s="5"/>
      <c r="B213" s="5"/>
      <c r="C213" s="5"/>
      <c r="D213" s="5"/>
      <c r="E213" s="5"/>
      <c r="F213" s="5"/>
    </row>
    <row r="214" spans="1:6" ht="15.75" customHeight="1">
      <c r="A214" s="5"/>
      <c r="B214" s="5"/>
      <c r="C214" s="5"/>
      <c r="D214" s="5"/>
      <c r="E214" s="5"/>
      <c r="F214" s="5"/>
    </row>
    <row r="215" spans="1:6" ht="15.75" customHeight="1">
      <c r="A215" s="5"/>
      <c r="B215" s="5"/>
      <c r="C215" s="5"/>
      <c r="D215" s="5"/>
      <c r="E215" s="5"/>
      <c r="F215" s="5"/>
    </row>
    <row r="216" spans="1:6" ht="15.75" customHeight="1">
      <c r="A216" s="5"/>
      <c r="B216" s="5"/>
      <c r="C216" s="5"/>
      <c r="D216" s="5"/>
      <c r="E216" s="5"/>
      <c r="F216" s="5"/>
    </row>
    <row r="217" spans="1:6" ht="15.75" customHeight="1">
      <c r="A217" s="5"/>
      <c r="B217" s="5"/>
      <c r="C217" s="5"/>
      <c r="D217" s="5"/>
      <c r="E217" s="5"/>
      <c r="F217" s="5"/>
    </row>
    <row r="218" spans="1:6" ht="15.75" customHeight="1">
      <c r="A218" s="5"/>
      <c r="B218" s="5"/>
      <c r="C218" s="5"/>
      <c r="D218" s="5"/>
      <c r="E218" s="5"/>
      <c r="F218" s="5"/>
    </row>
    <row r="219" spans="1:6" ht="15.75" customHeight="1">
      <c r="A219" s="5"/>
      <c r="B219" s="5"/>
      <c r="C219" s="5"/>
      <c r="D219" s="5"/>
      <c r="E219" s="5"/>
      <c r="F219" s="5"/>
    </row>
    <row r="220" spans="1:6" ht="15.75" customHeight="1">
      <c r="A220" s="5"/>
      <c r="B220" s="5"/>
      <c r="C220" s="5"/>
      <c r="D220" s="5"/>
      <c r="E220" s="5"/>
      <c r="F220" s="5"/>
    </row>
    <row r="221" spans="1:6" ht="15.75" customHeight="1">
      <c r="A221" s="5"/>
      <c r="B221" s="5"/>
      <c r="C221" s="5"/>
      <c r="D221" s="5"/>
      <c r="E221" s="5"/>
      <c r="F221" s="5"/>
    </row>
    <row r="222" spans="1:6" ht="15.75" customHeight="1">
      <c r="A222" s="5"/>
      <c r="B222" s="5"/>
      <c r="C222" s="5"/>
      <c r="D222" s="5"/>
      <c r="E222" s="5"/>
      <c r="F222" s="5"/>
    </row>
    <row r="223" spans="1:6" ht="15.75" customHeight="1">
      <c r="A223" s="5"/>
      <c r="B223" s="5"/>
      <c r="C223" s="5"/>
      <c r="D223" s="5"/>
      <c r="E223" s="5"/>
      <c r="F223" s="5"/>
    </row>
    <row r="224" spans="1:6" ht="15.75" customHeight="1">
      <c r="A224" s="5"/>
      <c r="B224" s="5"/>
      <c r="C224" s="5"/>
      <c r="D224" s="5"/>
      <c r="E224" s="5"/>
      <c r="F224" s="5"/>
    </row>
    <row r="225" spans="1:6" ht="15.75" customHeight="1">
      <c r="A225" s="5"/>
      <c r="B225" s="5"/>
      <c r="C225" s="5"/>
      <c r="D225" s="5"/>
      <c r="E225" s="5"/>
      <c r="F225" s="5"/>
    </row>
    <row r="226" spans="1:6" ht="15.75" customHeight="1">
      <c r="A226" s="5"/>
      <c r="B226" s="5"/>
      <c r="C226" s="5"/>
      <c r="D226" s="5"/>
      <c r="E226" s="5"/>
      <c r="F226" s="5"/>
    </row>
    <row r="227" spans="1:6" ht="15.75" customHeight="1">
      <c r="A227" s="5"/>
      <c r="B227" s="5"/>
      <c r="C227" s="5"/>
      <c r="D227" s="5"/>
      <c r="E227" s="5"/>
      <c r="F227" s="5"/>
    </row>
    <row r="228" spans="1:6" ht="15.75" customHeight="1">
      <c r="A228" s="5"/>
      <c r="B228" s="5"/>
      <c r="C228" s="5"/>
      <c r="D228" s="5"/>
      <c r="E228" s="5"/>
      <c r="F228" s="5"/>
    </row>
    <row r="229" spans="1:6" ht="15.75" customHeight="1">
      <c r="A229" s="5"/>
      <c r="B229" s="5"/>
      <c r="C229" s="5"/>
      <c r="D229" s="5"/>
      <c r="E229" s="5"/>
      <c r="F229" s="5"/>
    </row>
    <row r="230" spans="1:6" ht="15.75" customHeight="1">
      <c r="A230" s="5"/>
      <c r="B230" s="5"/>
      <c r="C230" s="5"/>
      <c r="D230" s="5"/>
      <c r="E230" s="5"/>
      <c r="F230" s="5"/>
    </row>
    <row r="231" spans="1:6" ht="15.75" customHeight="1">
      <c r="A231" s="5"/>
      <c r="B231" s="5"/>
      <c r="C231" s="5"/>
      <c r="D231" s="5"/>
      <c r="E231" s="5"/>
      <c r="F231" s="5"/>
    </row>
    <row r="232" spans="1:6" ht="15.75" customHeight="1">
      <c r="A232" s="5"/>
      <c r="B232" s="5"/>
      <c r="C232" s="5"/>
      <c r="D232" s="5"/>
      <c r="E232" s="5"/>
      <c r="F232" s="5"/>
    </row>
    <row r="233" spans="1:6" ht="15.75" customHeight="1">
      <c r="A233" s="5"/>
      <c r="B233" s="5"/>
      <c r="C233" s="5"/>
      <c r="D233" s="5"/>
      <c r="E233" s="5"/>
      <c r="F233" s="5"/>
    </row>
    <row r="234" spans="1:6" ht="15.75" customHeight="1">
      <c r="A234" s="5"/>
      <c r="B234" s="5"/>
      <c r="C234" s="5"/>
      <c r="D234" s="5"/>
      <c r="E234" s="5"/>
      <c r="F234" s="5"/>
    </row>
    <row r="235" spans="1:6" ht="15.75" customHeight="1">
      <c r="A235" s="5"/>
      <c r="B235" s="5"/>
      <c r="C235" s="5"/>
      <c r="D235" s="5"/>
      <c r="E235" s="5"/>
      <c r="F235" s="5"/>
    </row>
    <row r="236" spans="1:6" ht="15.75" customHeight="1">
      <c r="A236" s="5"/>
      <c r="B236" s="5"/>
      <c r="C236" s="5"/>
      <c r="D236" s="5"/>
      <c r="E236" s="5"/>
      <c r="F236" s="5"/>
    </row>
    <row r="237" spans="1:6" ht="15.75" customHeight="1">
      <c r="A237" s="5"/>
      <c r="B237" s="5"/>
      <c r="C237" s="5"/>
      <c r="D237" s="5"/>
      <c r="E237" s="5"/>
      <c r="F237" s="5"/>
    </row>
    <row r="238" spans="1:6" ht="15.75" customHeight="1">
      <c r="A238" s="5"/>
      <c r="B238" s="5"/>
      <c r="C238" s="5"/>
      <c r="D238" s="5"/>
      <c r="E238" s="5"/>
      <c r="F238" s="5"/>
    </row>
    <row r="239" spans="1:6" ht="15.75" customHeight="1">
      <c r="A239" s="5"/>
      <c r="B239" s="5"/>
      <c r="C239" s="5"/>
      <c r="D239" s="5"/>
      <c r="E239" s="5"/>
      <c r="F239" s="5"/>
    </row>
    <row r="240" spans="1:6" ht="15.75" customHeight="1">
      <c r="A240" s="5"/>
      <c r="B240" s="5"/>
      <c r="C240" s="5"/>
      <c r="D240" s="5"/>
      <c r="E240" s="5"/>
      <c r="F240" s="5"/>
    </row>
    <row r="241" spans="1:6" ht="15.75" customHeight="1">
      <c r="A241" s="5"/>
      <c r="B241" s="5"/>
      <c r="C241" s="5"/>
      <c r="D241" s="5"/>
      <c r="E241" s="5"/>
      <c r="F241" s="5"/>
    </row>
    <row r="242" spans="1:6" ht="15.75" customHeight="1">
      <c r="A242" s="5"/>
      <c r="B242" s="5"/>
      <c r="C242" s="5"/>
      <c r="D242" s="5"/>
      <c r="E242" s="5"/>
      <c r="F242" s="5"/>
    </row>
    <row r="243" spans="1:6" ht="15.75" customHeight="1">
      <c r="A243" s="5"/>
      <c r="B243" s="5"/>
      <c r="C243" s="5"/>
      <c r="D243" s="5"/>
      <c r="E243" s="5"/>
      <c r="F243" s="5"/>
    </row>
    <row r="244" spans="1:6" ht="15.75" customHeight="1">
      <c r="A244" s="5"/>
      <c r="B244" s="5"/>
      <c r="C244" s="5"/>
      <c r="D244" s="5"/>
      <c r="E244" s="5"/>
      <c r="F244" s="5"/>
    </row>
    <row r="245" spans="1:6" ht="15.75" customHeight="1">
      <c r="A245" s="5"/>
      <c r="B245" s="5"/>
      <c r="C245" s="5"/>
      <c r="D245" s="5"/>
      <c r="E245" s="5"/>
      <c r="F245" s="5"/>
    </row>
    <row r="246" spans="1:6" ht="15.75" customHeight="1">
      <c r="A246" s="5"/>
      <c r="B246" s="5"/>
      <c r="C246" s="5"/>
      <c r="D246" s="5"/>
      <c r="E246" s="5"/>
      <c r="F246" s="5"/>
    </row>
    <row r="247" spans="1:6" ht="15.75" customHeight="1">
      <c r="A247" s="5"/>
      <c r="B247" s="5"/>
      <c r="C247" s="5"/>
      <c r="D247" s="5"/>
      <c r="E247" s="5"/>
      <c r="F247" s="5"/>
    </row>
    <row r="248" spans="1:6" ht="15.75" customHeight="1">
      <c r="A248" s="5"/>
      <c r="B248" s="5"/>
      <c r="C248" s="5"/>
      <c r="D248" s="5"/>
      <c r="E248" s="5"/>
      <c r="F248" s="5"/>
    </row>
    <row r="249" spans="1:6" ht="15.75" customHeight="1">
      <c r="A249" s="5"/>
      <c r="B249" s="5"/>
      <c r="C249" s="5"/>
      <c r="D249" s="5"/>
      <c r="E249" s="5"/>
      <c r="F249" s="5"/>
    </row>
    <row r="250" spans="1:6" ht="15.75" customHeight="1">
      <c r="A250" s="5"/>
      <c r="B250" s="5"/>
      <c r="C250" s="5"/>
      <c r="D250" s="5"/>
      <c r="E250" s="5"/>
      <c r="F250" s="5"/>
    </row>
    <row r="251" spans="1:6" ht="15.75" customHeight="1">
      <c r="A251" s="5"/>
      <c r="B251" s="5"/>
      <c r="C251" s="5"/>
      <c r="D251" s="5"/>
      <c r="E251" s="5"/>
      <c r="F251" s="5"/>
    </row>
    <row r="252" spans="1:6" ht="15.75" customHeight="1">
      <c r="A252" s="5"/>
      <c r="B252" s="5"/>
      <c r="C252" s="5"/>
      <c r="D252" s="5"/>
      <c r="E252" s="5"/>
      <c r="F252" s="5"/>
    </row>
    <row r="253" spans="1:6" ht="15.75" customHeight="1">
      <c r="A253" s="5"/>
      <c r="B253" s="5"/>
      <c r="C253" s="5"/>
      <c r="D253" s="5"/>
      <c r="E253" s="5"/>
      <c r="F253" s="5"/>
    </row>
    <row r="254" spans="1:6" ht="15.75" customHeight="1">
      <c r="A254" s="5"/>
      <c r="B254" s="5"/>
      <c r="C254" s="5"/>
      <c r="D254" s="5"/>
      <c r="E254" s="5"/>
      <c r="F254" s="5"/>
    </row>
    <row r="255" spans="1:6" ht="15.75" customHeight="1">
      <c r="A255" s="5"/>
      <c r="B255" s="5"/>
      <c r="C255" s="5"/>
      <c r="D255" s="5"/>
      <c r="E255" s="5"/>
      <c r="F255" s="5"/>
    </row>
    <row r="256" spans="1:6" ht="15.75" customHeight="1">
      <c r="A256" s="5"/>
      <c r="B256" s="5"/>
      <c r="C256" s="5"/>
      <c r="D256" s="5"/>
      <c r="E256" s="5"/>
      <c r="F256" s="5"/>
    </row>
    <row r="257" spans="1:6" ht="15.75" customHeight="1">
      <c r="A257" s="5"/>
      <c r="B257" s="5"/>
      <c r="C257" s="5"/>
      <c r="D257" s="5"/>
      <c r="E257" s="5"/>
      <c r="F257" s="5"/>
    </row>
    <row r="258" spans="1:6" ht="15.75" customHeight="1">
      <c r="A258" s="5"/>
      <c r="B258" s="5"/>
      <c r="C258" s="5"/>
      <c r="D258" s="5"/>
      <c r="E258" s="5"/>
      <c r="F258" s="5"/>
    </row>
    <row r="259" spans="1:6" ht="15.75" customHeight="1">
      <c r="A259" s="5"/>
      <c r="B259" s="5"/>
      <c r="C259" s="5"/>
      <c r="D259" s="5"/>
      <c r="E259" s="5"/>
      <c r="F259" s="5"/>
    </row>
    <row r="260" spans="1:6" ht="15.75" customHeight="1">
      <c r="A260" s="5"/>
      <c r="B260" s="5"/>
      <c r="C260" s="5"/>
      <c r="D260" s="5"/>
      <c r="E260" s="5"/>
      <c r="F260" s="5"/>
    </row>
    <row r="261" spans="1:6" ht="15.75" customHeight="1">
      <c r="A261" s="5"/>
      <c r="B261" s="5"/>
      <c r="C261" s="5"/>
      <c r="D261" s="5"/>
      <c r="E261" s="5"/>
      <c r="F261" s="5"/>
    </row>
    <row r="262" spans="1:6" ht="15.75" customHeight="1">
      <c r="A262" s="5"/>
      <c r="B262" s="5"/>
      <c r="C262" s="5"/>
      <c r="D262" s="5"/>
      <c r="E262" s="5"/>
      <c r="F262" s="5"/>
    </row>
    <row r="263" spans="1:6" ht="15.75" customHeight="1">
      <c r="A263" s="5"/>
      <c r="B263" s="5"/>
      <c r="C263" s="5"/>
      <c r="D263" s="5"/>
      <c r="E263" s="5"/>
      <c r="F263" s="5"/>
    </row>
    <row r="264" spans="1:6" ht="15.75" customHeight="1">
      <c r="A264" s="5"/>
      <c r="B264" s="5"/>
      <c r="C264" s="5"/>
      <c r="D264" s="5"/>
      <c r="E264" s="5"/>
      <c r="F264" s="5"/>
    </row>
    <row r="265" spans="1:6" ht="15.75" customHeight="1">
      <c r="A265" s="5"/>
      <c r="B265" s="5"/>
      <c r="C265" s="5"/>
      <c r="D265" s="5"/>
      <c r="E265" s="5"/>
      <c r="F265" s="5"/>
    </row>
    <row r="266" spans="1:6" ht="15.75" customHeight="1">
      <c r="A266" s="5"/>
      <c r="B266" s="5"/>
      <c r="C266" s="5"/>
      <c r="D266" s="5"/>
      <c r="E266" s="5"/>
      <c r="F266" s="5"/>
    </row>
    <row r="267" spans="1:6" ht="15.75" customHeight="1">
      <c r="A267" s="5"/>
      <c r="B267" s="5"/>
      <c r="C267" s="5"/>
      <c r="D267" s="5"/>
      <c r="E267" s="5"/>
      <c r="F267" s="5"/>
    </row>
    <row r="268" spans="1:6" ht="15.75" customHeight="1">
      <c r="A268" s="5"/>
      <c r="B268" s="5"/>
      <c r="C268" s="5"/>
      <c r="D268" s="5"/>
      <c r="E268" s="5"/>
      <c r="F268" s="5"/>
    </row>
    <row r="269" spans="1:6" ht="15.75" customHeight="1">
      <c r="A269" s="5"/>
      <c r="B269" s="5"/>
      <c r="C269" s="5"/>
      <c r="D269" s="5"/>
      <c r="E269" s="5"/>
      <c r="F269" s="5"/>
    </row>
    <row r="270" spans="1:6" ht="15.75" customHeight="1">
      <c r="A270" s="5"/>
      <c r="B270" s="5"/>
      <c r="C270" s="5"/>
      <c r="D270" s="5"/>
      <c r="E270" s="5"/>
      <c r="F270" s="5"/>
    </row>
    <row r="271" spans="1:6" ht="15.75" customHeight="1">
      <c r="A271" s="5"/>
      <c r="B271" s="5"/>
      <c r="C271" s="5"/>
      <c r="D271" s="5"/>
      <c r="E271" s="5"/>
      <c r="F271" s="5"/>
    </row>
    <row r="272" spans="1:6" ht="15.75" customHeight="1">
      <c r="A272" s="5"/>
      <c r="B272" s="5"/>
      <c r="C272" s="5"/>
      <c r="D272" s="5"/>
      <c r="E272" s="5"/>
      <c r="F272" s="5"/>
    </row>
    <row r="273" spans="1:6" ht="15.75" customHeight="1">
      <c r="A273" s="5"/>
      <c r="B273" s="5"/>
      <c r="C273" s="5"/>
      <c r="D273" s="5"/>
      <c r="E273" s="5"/>
      <c r="F273" s="5"/>
    </row>
    <row r="274" spans="1:6" ht="15.75" customHeight="1">
      <c r="A274" s="5"/>
      <c r="B274" s="5"/>
      <c r="C274" s="5"/>
      <c r="D274" s="5"/>
      <c r="E274" s="5"/>
      <c r="F274" s="5"/>
    </row>
    <row r="275" spans="1:6" ht="15.75" customHeight="1">
      <c r="A275" s="5"/>
      <c r="B275" s="5"/>
      <c r="C275" s="5"/>
      <c r="D275" s="5"/>
      <c r="E275" s="5"/>
      <c r="F275" s="5"/>
    </row>
    <row r="276" spans="1:6" ht="15.75" customHeight="1">
      <c r="A276" s="5"/>
      <c r="B276" s="5"/>
      <c r="C276" s="5"/>
      <c r="D276" s="5"/>
      <c r="E276" s="5"/>
      <c r="F276" s="5"/>
    </row>
    <row r="277" spans="1:6" ht="15.75" customHeight="1">
      <c r="A277" s="5"/>
      <c r="B277" s="5"/>
      <c r="C277" s="5"/>
      <c r="D277" s="5"/>
      <c r="E277" s="5"/>
      <c r="F277" s="5"/>
    </row>
    <row r="278" spans="1:6" ht="15.75" customHeight="1">
      <c r="A278" s="5"/>
      <c r="B278" s="5"/>
      <c r="C278" s="5"/>
      <c r="D278" s="5"/>
      <c r="E278" s="5"/>
      <c r="F278" s="5"/>
    </row>
    <row r="279" spans="1:6" ht="15.75" customHeight="1">
      <c r="A279" s="5"/>
      <c r="B279" s="5"/>
      <c r="C279" s="5"/>
      <c r="D279" s="5"/>
      <c r="E279" s="5"/>
      <c r="F279" s="5"/>
    </row>
    <row r="280" spans="1:6" ht="15.75" customHeight="1">
      <c r="A280" s="5"/>
      <c r="B280" s="5"/>
      <c r="C280" s="5"/>
      <c r="D280" s="5"/>
      <c r="E280" s="5"/>
      <c r="F280" s="5"/>
    </row>
    <row r="281" spans="1:6" ht="15.75" customHeight="1">
      <c r="A281" s="5"/>
      <c r="B281" s="5"/>
      <c r="C281" s="5"/>
      <c r="D281" s="5"/>
      <c r="E281" s="5"/>
      <c r="F281" s="5"/>
    </row>
    <row r="282" spans="1:6" ht="15.75" customHeight="1">
      <c r="A282" s="5"/>
      <c r="B282" s="5"/>
      <c r="C282" s="5"/>
      <c r="D282" s="5"/>
      <c r="E282" s="5"/>
      <c r="F282" s="5"/>
    </row>
    <row r="283" spans="1:6" ht="15.75" customHeight="1">
      <c r="A283" s="5"/>
      <c r="B283" s="5"/>
      <c r="C283" s="5"/>
      <c r="D283" s="5"/>
      <c r="E283" s="5"/>
      <c r="F283" s="5"/>
    </row>
    <row r="284" spans="1:6" ht="15.75" customHeight="1">
      <c r="A284" s="5"/>
      <c r="B284" s="5"/>
      <c r="C284" s="5"/>
      <c r="D284" s="5"/>
      <c r="E284" s="5"/>
      <c r="F284" s="5"/>
    </row>
    <row r="285" spans="1:6" ht="15.75" customHeight="1">
      <c r="A285" s="5"/>
      <c r="B285" s="5"/>
      <c r="C285" s="5"/>
      <c r="D285" s="5"/>
      <c r="E285" s="5"/>
      <c r="F285" s="5"/>
    </row>
    <row r="286" spans="1:6" ht="15.75" customHeight="1">
      <c r="A286" s="5"/>
      <c r="B286" s="5"/>
      <c r="C286" s="5"/>
      <c r="D286" s="5"/>
      <c r="E286" s="5"/>
      <c r="F286" s="5"/>
    </row>
    <row r="287" spans="1:6" ht="15.75" customHeight="1">
      <c r="A287" s="5"/>
      <c r="B287" s="5"/>
      <c r="C287" s="5"/>
      <c r="D287" s="5"/>
      <c r="E287" s="5"/>
      <c r="F287" s="5"/>
    </row>
    <row r="288" spans="1:6" ht="15.75" customHeight="1">
      <c r="A288" s="5"/>
      <c r="B288" s="5"/>
      <c r="C288" s="5"/>
      <c r="D288" s="5"/>
      <c r="E288" s="5"/>
      <c r="F288" s="5"/>
    </row>
    <row r="289" spans="1:6" ht="15.75" customHeight="1">
      <c r="A289" s="5"/>
      <c r="B289" s="5"/>
      <c r="C289" s="5"/>
      <c r="D289" s="5"/>
      <c r="E289" s="5"/>
      <c r="F289" s="5"/>
    </row>
    <row r="290" spans="1:6" ht="15.75" customHeight="1">
      <c r="A290" s="5"/>
      <c r="B290" s="5"/>
      <c r="C290" s="5"/>
      <c r="D290" s="5"/>
      <c r="E290" s="5"/>
      <c r="F290" s="5"/>
    </row>
    <row r="291" spans="1:6" ht="15.75" customHeight="1">
      <c r="A291" s="5"/>
      <c r="B291" s="5"/>
      <c r="C291" s="5"/>
      <c r="D291" s="5"/>
      <c r="E291" s="5"/>
      <c r="F291" s="5"/>
    </row>
    <row r="292" spans="1:6" ht="15.75" customHeight="1">
      <c r="A292" s="5"/>
      <c r="B292" s="5"/>
      <c r="C292" s="5"/>
      <c r="D292" s="5"/>
      <c r="E292" s="5"/>
      <c r="F292" s="5"/>
    </row>
    <row r="293" spans="1:6" ht="15.75" customHeight="1">
      <c r="A293" s="5"/>
      <c r="B293" s="5"/>
      <c r="C293" s="5"/>
      <c r="D293" s="5"/>
      <c r="E293" s="5"/>
      <c r="F293" s="5"/>
    </row>
    <row r="294" spans="1:6" ht="15.75" customHeight="1">
      <c r="A294" s="5"/>
      <c r="B294" s="5"/>
      <c r="C294" s="5"/>
      <c r="D294" s="5"/>
      <c r="E294" s="5"/>
      <c r="F294" s="5"/>
    </row>
    <row r="295" spans="1:6" ht="15.75" customHeight="1">
      <c r="A295" s="5"/>
      <c r="B295" s="5"/>
      <c r="C295" s="5"/>
      <c r="D295" s="5"/>
      <c r="E295" s="5"/>
      <c r="F295" s="5"/>
    </row>
    <row r="296" spans="1:6" ht="15.75" customHeight="1">
      <c r="A296" s="5"/>
      <c r="B296" s="5"/>
      <c r="C296" s="5"/>
      <c r="D296" s="5"/>
      <c r="E296" s="5"/>
      <c r="F296" s="5"/>
    </row>
    <row r="297" spans="1:6" ht="15.75" customHeight="1">
      <c r="A297" s="5"/>
      <c r="B297" s="5"/>
      <c r="C297" s="5"/>
      <c r="D297" s="5"/>
      <c r="E297" s="5"/>
      <c r="F297" s="5"/>
    </row>
    <row r="298" spans="1:6" ht="15.75" customHeight="1">
      <c r="A298" s="5"/>
      <c r="B298" s="5"/>
      <c r="C298" s="5"/>
      <c r="D298" s="5"/>
      <c r="E298" s="5"/>
      <c r="F298" s="5"/>
    </row>
    <row r="299" spans="1:6" ht="15.75" customHeight="1">
      <c r="A299" s="5"/>
      <c r="B299" s="5"/>
      <c r="C299" s="5"/>
      <c r="D299" s="5"/>
      <c r="E299" s="5"/>
      <c r="F299" s="5"/>
    </row>
    <row r="300" spans="1:6" ht="15.75" customHeight="1">
      <c r="A300" s="5"/>
      <c r="B300" s="5"/>
      <c r="C300" s="5"/>
      <c r="D300" s="5"/>
      <c r="E300" s="5"/>
      <c r="F300" s="5"/>
    </row>
    <row r="301" spans="1:6" ht="15.75" customHeight="1">
      <c r="A301" s="5"/>
      <c r="B301" s="5"/>
      <c r="C301" s="5"/>
      <c r="D301" s="5"/>
      <c r="E301" s="5"/>
      <c r="F301" s="5"/>
    </row>
    <row r="302" spans="1:6" ht="15.75" customHeight="1">
      <c r="A302" s="5"/>
      <c r="B302" s="5"/>
      <c r="C302" s="5"/>
      <c r="D302" s="5"/>
      <c r="E302" s="5"/>
      <c r="F302" s="5"/>
    </row>
    <row r="303" spans="1:6" ht="15.75" customHeight="1">
      <c r="A303" s="5"/>
      <c r="B303" s="5"/>
      <c r="C303" s="5"/>
      <c r="D303" s="5"/>
      <c r="E303" s="5"/>
      <c r="F303" s="5"/>
    </row>
    <row r="304" spans="1:6" ht="15.75" customHeight="1">
      <c r="A304" s="5"/>
      <c r="B304" s="5"/>
      <c r="C304" s="5"/>
      <c r="D304" s="5"/>
      <c r="E304" s="5"/>
      <c r="F304" s="5"/>
    </row>
    <row r="305" spans="1:6" ht="15.75" customHeight="1">
      <c r="A305" s="5"/>
      <c r="B305" s="5"/>
      <c r="C305" s="5"/>
      <c r="D305" s="5"/>
      <c r="E305" s="5"/>
      <c r="F305" s="5"/>
    </row>
    <row r="306" spans="1:6" ht="15.75" customHeight="1">
      <c r="A306" s="5"/>
      <c r="B306" s="5"/>
      <c r="C306" s="5"/>
      <c r="D306" s="5"/>
      <c r="E306" s="5"/>
      <c r="F306" s="5"/>
    </row>
    <row r="307" spans="1:6" ht="15.75" customHeight="1">
      <c r="A307" s="5"/>
      <c r="B307" s="5"/>
      <c r="C307" s="5"/>
      <c r="D307" s="5"/>
      <c r="E307" s="5"/>
      <c r="F307" s="5"/>
    </row>
    <row r="308" spans="1:6" ht="15.75" customHeight="1">
      <c r="A308" s="5"/>
      <c r="B308" s="5"/>
      <c r="C308" s="5"/>
      <c r="D308" s="5"/>
      <c r="E308" s="5"/>
      <c r="F308" s="5"/>
    </row>
    <row r="309" spans="1:6" ht="15.75" customHeight="1">
      <c r="A309" s="5"/>
      <c r="B309" s="5"/>
      <c r="C309" s="5"/>
      <c r="D309" s="5"/>
      <c r="E309" s="5"/>
      <c r="F309" s="5"/>
    </row>
    <row r="310" spans="1:6" ht="15.75" customHeight="1">
      <c r="A310" s="5"/>
      <c r="B310" s="5"/>
      <c r="C310" s="5"/>
      <c r="D310" s="5"/>
      <c r="E310" s="5"/>
      <c r="F310" s="5"/>
    </row>
    <row r="311" spans="1:6" ht="15.75" customHeight="1">
      <c r="A311" s="5"/>
      <c r="B311" s="5"/>
      <c r="C311" s="5"/>
      <c r="D311" s="5"/>
      <c r="E311" s="5"/>
      <c r="F311" s="5"/>
    </row>
    <row r="312" spans="1:6" ht="15.75" customHeight="1">
      <c r="A312" s="5"/>
      <c r="B312" s="5"/>
      <c r="C312" s="5"/>
      <c r="D312" s="5"/>
      <c r="E312" s="5"/>
      <c r="F312" s="5"/>
    </row>
    <row r="313" spans="1:6" ht="15.75" customHeight="1">
      <c r="A313" s="5"/>
      <c r="B313" s="5"/>
      <c r="C313" s="5"/>
      <c r="D313" s="5"/>
      <c r="E313" s="5"/>
      <c r="F313" s="5"/>
    </row>
    <row r="314" spans="1:6" ht="15.75" customHeight="1">
      <c r="A314" s="5"/>
      <c r="B314" s="5"/>
      <c r="C314" s="5"/>
      <c r="D314" s="5"/>
      <c r="E314" s="5"/>
      <c r="F314" s="5"/>
    </row>
    <row r="315" spans="1:6" ht="15.75" customHeight="1">
      <c r="A315" s="5"/>
      <c r="B315" s="5"/>
      <c r="C315" s="5"/>
      <c r="D315" s="5"/>
      <c r="E315" s="5"/>
      <c r="F315" s="5"/>
    </row>
    <row r="316" spans="1:6" ht="15.75" customHeight="1">
      <c r="A316" s="5"/>
      <c r="B316" s="5"/>
      <c r="C316" s="5"/>
      <c r="D316" s="5"/>
      <c r="E316" s="5"/>
      <c r="F316" s="5"/>
    </row>
    <row r="317" spans="1:6" ht="15.75" customHeight="1">
      <c r="A317" s="5"/>
      <c r="B317" s="5"/>
      <c r="C317" s="5"/>
      <c r="D317" s="5"/>
      <c r="E317" s="5"/>
      <c r="F317" s="5"/>
    </row>
    <row r="318" spans="1:6" ht="15.75" customHeight="1">
      <c r="A318" s="5"/>
      <c r="B318" s="5"/>
      <c r="C318" s="5"/>
      <c r="D318" s="5"/>
      <c r="E318" s="5"/>
      <c r="F318" s="5"/>
    </row>
    <row r="319" spans="1:6" ht="15.75" customHeight="1">
      <c r="A319" s="5"/>
      <c r="B319" s="5"/>
      <c r="C319" s="5"/>
      <c r="D319" s="5"/>
      <c r="E319" s="5"/>
      <c r="F319" s="5"/>
    </row>
    <row r="320" spans="1:6" ht="15.75" customHeight="1">
      <c r="A320" s="5"/>
      <c r="B320" s="5"/>
      <c r="C320" s="5"/>
      <c r="D320" s="5"/>
      <c r="E320" s="5"/>
      <c r="F320" s="5"/>
    </row>
    <row r="321" spans="1:6" ht="15.75" customHeight="1">
      <c r="A321" s="5"/>
      <c r="B321" s="5"/>
      <c r="C321" s="5"/>
      <c r="D321" s="5"/>
      <c r="E321" s="5"/>
      <c r="F321" s="5"/>
    </row>
    <row r="322" spans="1:6" ht="15.75" customHeight="1">
      <c r="A322" s="5"/>
      <c r="B322" s="5"/>
      <c r="C322" s="5"/>
      <c r="D322" s="5"/>
      <c r="E322" s="5"/>
      <c r="F322" s="5"/>
    </row>
    <row r="323" spans="1:6" ht="15.75" customHeight="1">
      <c r="A323" s="5"/>
      <c r="B323" s="5"/>
      <c r="C323" s="5"/>
      <c r="D323" s="5"/>
      <c r="E323" s="5"/>
      <c r="F323" s="5"/>
    </row>
    <row r="324" spans="1:6" ht="15.75" customHeight="1">
      <c r="A324" s="5"/>
      <c r="B324" s="5"/>
      <c r="C324" s="5"/>
      <c r="D324" s="5"/>
      <c r="E324" s="5"/>
      <c r="F324" s="5"/>
    </row>
    <row r="325" spans="1:6" ht="15.75" customHeight="1">
      <c r="A325" s="5"/>
      <c r="B325" s="5"/>
      <c r="C325" s="5"/>
      <c r="D325" s="5"/>
      <c r="E325" s="5"/>
      <c r="F325" s="5"/>
    </row>
    <row r="326" spans="1:6" ht="15.75" customHeight="1">
      <c r="A326" s="5"/>
      <c r="B326" s="5"/>
      <c r="C326" s="5"/>
      <c r="D326" s="5"/>
      <c r="E326" s="5"/>
      <c r="F326" s="5"/>
    </row>
    <row r="327" spans="1:6" ht="15.75" customHeight="1">
      <c r="A327" s="5"/>
      <c r="B327" s="5"/>
      <c r="C327" s="5"/>
      <c r="D327" s="5"/>
      <c r="E327" s="5"/>
      <c r="F327" s="5"/>
    </row>
    <row r="328" spans="1:6" ht="15.75" customHeight="1">
      <c r="A328" s="5"/>
      <c r="B328" s="5"/>
      <c r="C328" s="5"/>
      <c r="D328" s="5"/>
      <c r="E328" s="5"/>
      <c r="F328" s="5"/>
    </row>
    <row r="329" spans="1:6" ht="15.75" customHeight="1">
      <c r="A329" s="5"/>
      <c r="B329" s="5"/>
      <c r="C329" s="5"/>
      <c r="D329" s="5"/>
      <c r="E329" s="5"/>
      <c r="F329" s="5"/>
    </row>
    <row r="330" spans="1:6" ht="15.75" customHeight="1">
      <c r="A330" s="5"/>
      <c r="B330" s="5"/>
      <c r="C330" s="5"/>
      <c r="D330" s="5"/>
      <c r="E330" s="5"/>
      <c r="F330" s="5"/>
    </row>
    <row r="331" spans="1:6" ht="15.75" customHeight="1">
      <c r="A331" s="5"/>
      <c r="B331" s="5"/>
      <c r="C331" s="5"/>
      <c r="D331" s="5"/>
      <c r="E331" s="5"/>
      <c r="F331" s="5"/>
    </row>
    <row r="332" spans="1:6" ht="15.75" customHeight="1">
      <c r="A332" s="5"/>
      <c r="B332" s="5"/>
      <c r="C332" s="5"/>
      <c r="D332" s="5"/>
      <c r="E332" s="5"/>
      <c r="F332" s="5"/>
    </row>
    <row r="333" spans="1:6" ht="15.75" customHeight="1">
      <c r="A333" s="5"/>
      <c r="B333" s="5"/>
      <c r="C333" s="5"/>
      <c r="D333" s="5"/>
      <c r="E333" s="5"/>
      <c r="F333" s="5"/>
    </row>
    <row r="334" spans="1:6" ht="15.75" customHeight="1">
      <c r="A334" s="5"/>
      <c r="B334" s="5"/>
      <c r="C334" s="5"/>
      <c r="D334" s="5"/>
      <c r="E334" s="5"/>
      <c r="F334" s="5"/>
    </row>
    <row r="335" spans="1:6" ht="15.75" customHeight="1">
      <c r="A335" s="5"/>
      <c r="B335" s="5"/>
      <c r="C335" s="5"/>
      <c r="D335" s="5"/>
      <c r="E335" s="5"/>
      <c r="F335" s="5"/>
    </row>
    <row r="336" spans="1:6" ht="15.75" customHeight="1">
      <c r="A336" s="5"/>
      <c r="B336" s="5"/>
      <c r="C336" s="5"/>
      <c r="D336" s="5"/>
      <c r="E336" s="5"/>
      <c r="F336" s="5"/>
    </row>
    <row r="337" spans="1:6" ht="15.75" customHeight="1">
      <c r="A337" s="5"/>
      <c r="B337" s="5"/>
      <c r="C337" s="5"/>
      <c r="D337" s="5"/>
      <c r="E337" s="5"/>
      <c r="F337" s="5"/>
    </row>
    <row r="338" spans="1:6" ht="15.75" customHeight="1">
      <c r="A338" s="5"/>
      <c r="B338" s="5"/>
      <c r="C338" s="5"/>
      <c r="D338" s="5"/>
      <c r="E338" s="5"/>
      <c r="F338" s="5"/>
    </row>
    <row r="339" spans="1:6" ht="15.75" customHeight="1">
      <c r="A339" s="5"/>
      <c r="B339" s="5"/>
      <c r="C339" s="5"/>
      <c r="D339" s="5"/>
      <c r="E339" s="5"/>
      <c r="F339" s="5"/>
    </row>
    <row r="340" spans="1:6" ht="15.75" customHeight="1">
      <c r="A340" s="5"/>
      <c r="B340" s="5"/>
      <c r="C340" s="5"/>
      <c r="D340" s="5"/>
      <c r="E340" s="5"/>
      <c r="F340" s="5"/>
    </row>
    <row r="341" spans="1:6" ht="15.75" customHeight="1">
      <c r="A341" s="5"/>
      <c r="B341" s="5"/>
      <c r="C341" s="5"/>
      <c r="D341" s="5"/>
      <c r="E341" s="5"/>
      <c r="F341" s="5"/>
    </row>
    <row r="342" spans="1:6" ht="15.75" customHeight="1">
      <c r="A342" s="5"/>
      <c r="B342" s="5"/>
      <c r="C342" s="5"/>
      <c r="D342" s="5"/>
      <c r="E342" s="5"/>
      <c r="F342" s="5"/>
    </row>
    <row r="343" spans="1:6" ht="15.75" customHeight="1">
      <c r="A343" s="5"/>
      <c r="B343" s="5"/>
      <c r="C343" s="5"/>
      <c r="D343" s="5"/>
      <c r="E343" s="5"/>
      <c r="F343" s="5"/>
    </row>
    <row r="344" spans="1:6" ht="15.75" customHeight="1">
      <c r="A344" s="5"/>
      <c r="B344" s="5"/>
      <c r="C344" s="5"/>
      <c r="D344" s="5"/>
      <c r="E344" s="5"/>
      <c r="F344" s="5"/>
    </row>
    <row r="345" spans="1:6" ht="15.75" customHeight="1">
      <c r="A345" s="5"/>
      <c r="B345" s="5"/>
      <c r="C345" s="5"/>
      <c r="D345" s="5"/>
      <c r="E345" s="5"/>
      <c r="F345" s="5"/>
    </row>
    <row r="346" spans="1:6" ht="15.75" customHeight="1">
      <c r="A346" s="5"/>
      <c r="B346" s="5"/>
      <c r="C346" s="5"/>
      <c r="D346" s="5"/>
      <c r="E346" s="5"/>
      <c r="F346" s="5"/>
    </row>
    <row r="347" spans="1:6" ht="15.75" customHeight="1">
      <c r="A347" s="5"/>
      <c r="B347" s="5"/>
      <c r="C347" s="5"/>
      <c r="D347" s="5"/>
      <c r="E347" s="5"/>
      <c r="F347" s="5"/>
    </row>
    <row r="348" spans="1:6" ht="15.75" customHeight="1">
      <c r="A348" s="5"/>
      <c r="B348" s="5"/>
      <c r="C348" s="5"/>
      <c r="D348" s="5"/>
      <c r="E348" s="5"/>
      <c r="F348" s="5"/>
    </row>
    <row r="349" spans="1:6" ht="15.75" customHeight="1">
      <c r="A349" s="5"/>
      <c r="B349" s="5"/>
      <c r="C349" s="5"/>
      <c r="D349" s="5"/>
      <c r="E349" s="5"/>
      <c r="F349" s="5"/>
    </row>
    <row r="350" spans="1:6" ht="15.75" customHeight="1">
      <c r="A350" s="5"/>
      <c r="B350" s="5"/>
      <c r="C350" s="5"/>
      <c r="D350" s="5"/>
      <c r="E350" s="5"/>
      <c r="F350" s="5"/>
    </row>
    <row r="351" spans="1:6" ht="15.75" customHeight="1">
      <c r="A351" s="5"/>
      <c r="B351" s="5"/>
      <c r="C351" s="5"/>
      <c r="D351" s="5"/>
      <c r="E351" s="5"/>
      <c r="F351" s="5"/>
    </row>
    <row r="352" spans="1:6" ht="15.75" customHeight="1">
      <c r="A352" s="5"/>
      <c r="B352" s="5"/>
      <c r="C352" s="5"/>
      <c r="D352" s="5"/>
      <c r="E352" s="5"/>
      <c r="F352" s="5"/>
    </row>
    <row r="353" spans="1:6" ht="15.75" customHeight="1">
      <c r="A353" s="5"/>
      <c r="B353" s="5"/>
      <c r="C353" s="5"/>
      <c r="D353" s="5"/>
      <c r="E353" s="5"/>
      <c r="F353" s="5"/>
    </row>
    <row r="354" spans="1:6" ht="15.75" customHeight="1">
      <c r="A354" s="5"/>
      <c r="B354" s="5"/>
      <c r="C354" s="5"/>
      <c r="D354" s="5"/>
      <c r="E354" s="5"/>
      <c r="F354" s="5"/>
    </row>
    <row r="355" spans="1:6" ht="15.75" customHeight="1">
      <c r="A355" s="5"/>
      <c r="B355" s="5"/>
      <c r="C355" s="5"/>
      <c r="D355" s="5"/>
      <c r="E355" s="5"/>
      <c r="F355" s="5"/>
    </row>
    <row r="356" spans="1:6" ht="15.75" customHeight="1">
      <c r="A356" s="5"/>
      <c r="B356" s="5"/>
      <c r="C356" s="5"/>
      <c r="D356" s="5"/>
      <c r="E356" s="5"/>
      <c r="F356" s="5"/>
    </row>
    <row r="357" spans="1:6" ht="15.75" customHeight="1">
      <c r="A357" s="5"/>
      <c r="B357" s="5"/>
      <c r="C357" s="5"/>
      <c r="D357" s="5"/>
      <c r="E357" s="5"/>
      <c r="F357" s="5"/>
    </row>
    <row r="358" spans="1:6" ht="15.75" customHeight="1">
      <c r="A358" s="5"/>
      <c r="B358" s="5"/>
      <c r="C358" s="5"/>
      <c r="D358" s="5"/>
      <c r="E358" s="5"/>
      <c r="F358" s="5"/>
    </row>
    <row r="359" spans="1:6" ht="15.75" customHeight="1">
      <c r="A359" s="5"/>
      <c r="B359" s="5"/>
      <c r="C359" s="5"/>
      <c r="D359" s="5"/>
      <c r="E359" s="5"/>
      <c r="F359" s="5"/>
    </row>
    <row r="360" spans="1:6" ht="15.75" customHeight="1">
      <c r="A360" s="5"/>
      <c r="B360" s="5"/>
      <c r="C360" s="5"/>
      <c r="D360" s="5"/>
      <c r="E360" s="5"/>
      <c r="F360" s="5"/>
    </row>
    <row r="361" spans="1:6" ht="15.75" customHeight="1">
      <c r="A361" s="5"/>
      <c r="B361" s="5"/>
      <c r="C361" s="5"/>
      <c r="D361" s="5"/>
      <c r="E361" s="5"/>
      <c r="F361" s="5"/>
    </row>
    <row r="362" spans="1:6" ht="15.75" customHeight="1">
      <c r="A362" s="5"/>
      <c r="B362" s="5"/>
      <c r="C362" s="5"/>
      <c r="D362" s="5"/>
      <c r="E362" s="5"/>
      <c r="F362" s="5"/>
    </row>
    <row r="363" spans="1:6" ht="15.75" customHeight="1">
      <c r="A363" s="5"/>
      <c r="B363" s="5"/>
      <c r="C363" s="5"/>
      <c r="D363" s="5"/>
      <c r="E363" s="5"/>
      <c r="F363" s="5"/>
    </row>
    <row r="364" spans="1:6" ht="15.75" customHeight="1">
      <c r="A364" s="5"/>
      <c r="B364" s="5"/>
      <c r="C364" s="5"/>
      <c r="D364" s="5"/>
      <c r="E364" s="5"/>
      <c r="F364" s="5"/>
    </row>
    <row r="365" spans="1:6" ht="15.75" customHeight="1">
      <c r="A365" s="5"/>
      <c r="B365" s="5"/>
      <c r="C365" s="5"/>
      <c r="D365" s="5"/>
      <c r="E365" s="5"/>
      <c r="F365" s="5"/>
    </row>
    <row r="366" spans="1:6" ht="15.75" customHeight="1">
      <c r="A366" s="5"/>
      <c r="B366" s="5"/>
      <c r="C366" s="5"/>
      <c r="D366" s="5"/>
      <c r="E366" s="5"/>
      <c r="F366" s="5"/>
    </row>
    <row r="367" spans="1:6" ht="15.75" customHeight="1">
      <c r="A367" s="5"/>
      <c r="B367" s="5"/>
      <c r="C367" s="5"/>
      <c r="D367" s="5"/>
      <c r="E367" s="5"/>
      <c r="F367" s="5"/>
    </row>
    <row r="368" spans="1:6" ht="15.75" customHeight="1">
      <c r="A368" s="5"/>
      <c r="B368" s="5"/>
      <c r="C368" s="5"/>
      <c r="D368" s="5"/>
      <c r="E368" s="5"/>
      <c r="F368" s="5"/>
    </row>
    <row r="369" spans="1:6" ht="15.75" customHeight="1">
      <c r="A369" s="5"/>
      <c r="B369" s="5"/>
      <c r="C369" s="5"/>
      <c r="D369" s="5"/>
      <c r="E369" s="5"/>
      <c r="F369" s="5"/>
    </row>
    <row r="370" spans="1:6" ht="15.75" customHeight="1">
      <c r="A370" s="5"/>
      <c r="B370" s="5"/>
      <c r="C370" s="5"/>
      <c r="D370" s="5"/>
      <c r="E370" s="5"/>
      <c r="F370" s="5"/>
    </row>
    <row r="371" spans="1:6" ht="15.75" customHeight="1">
      <c r="A371" s="5"/>
      <c r="B371" s="5"/>
      <c r="C371" s="5"/>
      <c r="D371" s="5"/>
      <c r="E371" s="5"/>
      <c r="F371" s="5"/>
    </row>
    <row r="372" spans="1:6" ht="15.75" customHeight="1">
      <c r="A372" s="5"/>
      <c r="B372" s="5"/>
      <c r="C372" s="5"/>
      <c r="D372" s="5"/>
      <c r="E372" s="5"/>
      <c r="F372" s="5"/>
    </row>
    <row r="373" spans="1:6" ht="15.75" customHeight="1">
      <c r="A373" s="5"/>
      <c r="B373" s="5"/>
      <c r="C373" s="5"/>
      <c r="D373" s="5"/>
      <c r="E373" s="5"/>
      <c r="F373" s="5"/>
    </row>
    <row r="374" spans="1:6" ht="15.75" customHeight="1">
      <c r="A374" s="5"/>
      <c r="B374" s="5"/>
      <c r="C374" s="5"/>
      <c r="D374" s="5"/>
      <c r="E374" s="5"/>
      <c r="F374" s="5"/>
    </row>
    <row r="375" spans="1:6" ht="15.75" customHeight="1">
      <c r="A375" s="5"/>
      <c r="B375" s="5"/>
      <c r="C375" s="5"/>
      <c r="D375" s="5"/>
      <c r="E375" s="5"/>
      <c r="F375" s="5"/>
    </row>
    <row r="376" spans="1:6" ht="15.75" customHeight="1">
      <c r="A376" s="5"/>
      <c r="B376" s="5"/>
      <c r="C376" s="5"/>
      <c r="D376" s="5"/>
      <c r="E376" s="5"/>
      <c r="F376" s="5"/>
    </row>
    <row r="377" spans="1:6" ht="15.75" customHeight="1">
      <c r="A377" s="5"/>
      <c r="B377" s="5"/>
      <c r="C377" s="5"/>
      <c r="D377" s="5"/>
      <c r="E377" s="5"/>
      <c r="F377" s="5"/>
    </row>
    <row r="378" spans="1:6" ht="15.75" customHeight="1">
      <c r="A378" s="5"/>
      <c r="B378" s="5"/>
      <c r="C378" s="5"/>
      <c r="D378" s="5"/>
      <c r="E378" s="5"/>
      <c r="F378" s="5"/>
    </row>
    <row r="379" spans="1:6" ht="15.75" customHeight="1">
      <c r="A379" s="5"/>
      <c r="B379" s="5"/>
      <c r="C379" s="5"/>
      <c r="D379" s="5"/>
      <c r="E379" s="5"/>
      <c r="F379" s="5"/>
    </row>
    <row r="380" spans="1:6" ht="15.75" customHeight="1">
      <c r="A380" s="5"/>
      <c r="B380" s="5"/>
      <c r="C380" s="5"/>
      <c r="D380" s="5"/>
      <c r="E380" s="5"/>
      <c r="F380" s="5"/>
    </row>
    <row r="381" spans="1:6" ht="15.75" customHeight="1">
      <c r="A381" s="5"/>
      <c r="B381" s="5"/>
      <c r="C381" s="5"/>
      <c r="D381" s="5"/>
      <c r="E381" s="5"/>
      <c r="F381" s="5"/>
    </row>
    <row r="382" spans="1:6" ht="15.75" customHeight="1">
      <c r="A382" s="5"/>
      <c r="B382" s="5"/>
      <c r="C382" s="5"/>
      <c r="D382" s="5"/>
      <c r="E382" s="5"/>
      <c r="F382" s="5"/>
    </row>
    <row r="383" spans="1:6" ht="15.75" customHeight="1">
      <c r="A383" s="5"/>
      <c r="B383" s="5"/>
      <c r="C383" s="5"/>
      <c r="D383" s="5"/>
      <c r="E383" s="5"/>
      <c r="F383" s="5"/>
    </row>
    <row r="384" spans="1:6" ht="15.75" customHeight="1">
      <c r="A384" s="5"/>
      <c r="B384" s="5"/>
      <c r="C384" s="5"/>
      <c r="D384" s="5"/>
      <c r="E384" s="5"/>
      <c r="F384" s="5"/>
    </row>
    <row r="385" spans="1:6" ht="15.75" customHeight="1">
      <c r="A385" s="5"/>
      <c r="B385" s="5"/>
      <c r="C385" s="5"/>
      <c r="D385" s="5"/>
      <c r="E385" s="5"/>
      <c r="F385" s="5"/>
    </row>
    <row r="386" spans="1:6" ht="15.75" customHeight="1">
      <c r="A386" s="5"/>
      <c r="B386" s="5"/>
      <c r="C386" s="5"/>
      <c r="D386" s="5"/>
      <c r="E386" s="5"/>
      <c r="F386" s="5"/>
    </row>
    <row r="387" spans="1:6" ht="15.75" customHeight="1">
      <c r="A387" s="5"/>
      <c r="B387" s="5"/>
      <c r="C387" s="5"/>
      <c r="D387" s="5"/>
      <c r="E387" s="5"/>
      <c r="F387" s="5"/>
    </row>
    <row r="388" spans="1:6" ht="15.75" customHeight="1">
      <c r="A388" s="5"/>
      <c r="B388" s="5"/>
      <c r="C388" s="5"/>
      <c r="D388" s="5"/>
      <c r="E388" s="5"/>
      <c r="F388" s="5"/>
    </row>
    <row r="389" spans="1:6" ht="15.75" customHeight="1">
      <c r="A389" s="5"/>
      <c r="B389" s="5"/>
      <c r="C389" s="5"/>
      <c r="D389" s="5"/>
      <c r="E389" s="5"/>
      <c r="F389" s="5"/>
    </row>
    <row r="390" spans="1:6" ht="15.75" customHeight="1">
      <c r="A390" s="5"/>
      <c r="B390" s="5"/>
      <c r="C390" s="5"/>
      <c r="D390" s="5"/>
      <c r="E390" s="5"/>
      <c r="F390" s="5"/>
    </row>
    <row r="391" spans="1:6" ht="15.75" customHeight="1">
      <c r="A391" s="5"/>
      <c r="B391" s="5"/>
      <c r="C391" s="5"/>
      <c r="D391" s="5"/>
      <c r="E391" s="5"/>
      <c r="F391" s="5"/>
    </row>
    <row r="392" spans="1:6" ht="15.75" customHeight="1">
      <c r="A392" s="5"/>
      <c r="B392" s="5"/>
      <c r="C392" s="5"/>
      <c r="D392" s="5"/>
      <c r="E392" s="5"/>
      <c r="F392" s="5"/>
    </row>
    <row r="393" spans="1:6" ht="15.75" customHeight="1">
      <c r="A393" s="5"/>
      <c r="B393" s="5"/>
      <c r="C393" s="5"/>
      <c r="D393" s="5"/>
      <c r="E393" s="5"/>
      <c r="F393" s="5"/>
    </row>
    <row r="394" spans="1:6" ht="15.75" customHeight="1">
      <c r="A394" s="5"/>
      <c r="B394" s="5"/>
      <c r="C394" s="5"/>
      <c r="D394" s="5"/>
      <c r="E394" s="5"/>
      <c r="F394" s="5"/>
    </row>
    <row r="395" spans="1:6" ht="15.75" customHeight="1">
      <c r="A395" s="5"/>
      <c r="B395" s="5"/>
      <c r="C395" s="5"/>
      <c r="D395" s="5"/>
      <c r="E395" s="5"/>
      <c r="F395" s="5"/>
    </row>
    <row r="396" spans="1:6" ht="15.75" customHeight="1">
      <c r="A396" s="5"/>
      <c r="B396" s="5"/>
      <c r="C396" s="5"/>
      <c r="D396" s="5"/>
      <c r="E396" s="5"/>
      <c r="F396" s="5"/>
    </row>
    <row r="397" spans="1:6" ht="15.75" customHeight="1">
      <c r="A397" s="5"/>
      <c r="B397" s="5"/>
      <c r="C397" s="5"/>
      <c r="D397" s="5"/>
      <c r="E397" s="5"/>
      <c r="F397" s="5"/>
    </row>
    <row r="398" spans="1:6" ht="15.75" customHeight="1">
      <c r="A398" s="5"/>
      <c r="B398" s="5"/>
      <c r="C398" s="5"/>
      <c r="D398" s="5"/>
      <c r="E398" s="5"/>
      <c r="F398" s="5"/>
    </row>
    <row r="399" spans="1:6" ht="15.75" customHeight="1">
      <c r="A399" s="5"/>
      <c r="B399" s="5"/>
      <c r="C399" s="5"/>
      <c r="D399" s="5"/>
      <c r="E399" s="5"/>
      <c r="F399" s="5"/>
    </row>
    <row r="400" spans="1:6" ht="15.75" customHeight="1">
      <c r="A400" s="5"/>
      <c r="B400" s="5"/>
      <c r="C400" s="5"/>
      <c r="D400" s="5"/>
      <c r="E400" s="5"/>
      <c r="F400" s="5"/>
    </row>
    <row r="401" spans="1:6" ht="15.75" customHeight="1">
      <c r="A401" s="5"/>
      <c r="B401" s="5"/>
      <c r="C401" s="5"/>
      <c r="D401" s="5"/>
      <c r="E401" s="5"/>
      <c r="F401" s="5"/>
    </row>
    <row r="402" spans="1:6" ht="15.75" customHeight="1">
      <c r="A402" s="5"/>
      <c r="B402" s="5"/>
      <c r="C402" s="5"/>
      <c r="D402" s="5"/>
      <c r="E402" s="5"/>
      <c r="F402" s="5"/>
    </row>
    <row r="403" spans="1:6" ht="15.75" customHeight="1">
      <c r="A403" s="5"/>
      <c r="B403" s="5"/>
      <c r="C403" s="5"/>
      <c r="D403" s="5"/>
      <c r="E403" s="5"/>
      <c r="F403" s="5"/>
    </row>
    <row r="404" spans="1:6" ht="15.75" customHeight="1">
      <c r="A404" s="5"/>
      <c r="B404" s="5"/>
      <c r="C404" s="5"/>
      <c r="D404" s="5"/>
      <c r="E404" s="5"/>
      <c r="F404" s="5"/>
    </row>
    <row r="405" spans="1:6" ht="15.75" customHeight="1">
      <c r="A405" s="5"/>
      <c r="B405" s="5"/>
      <c r="C405" s="5"/>
      <c r="D405" s="5"/>
      <c r="E405" s="5"/>
      <c r="F405" s="5"/>
    </row>
    <row r="406" spans="1:6" ht="15.75" customHeight="1">
      <c r="A406" s="5"/>
      <c r="B406" s="5"/>
      <c r="C406" s="5"/>
      <c r="D406" s="5"/>
      <c r="E406" s="5"/>
      <c r="F406" s="5"/>
    </row>
    <row r="407" spans="1:6" ht="15.75" customHeight="1">
      <c r="A407" s="5"/>
      <c r="B407" s="5"/>
      <c r="C407" s="5"/>
      <c r="D407" s="5"/>
      <c r="E407" s="5"/>
      <c r="F407" s="5"/>
    </row>
    <row r="408" spans="1:6" ht="15.75" customHeight="1">
      <c r="A408" s="5"/>
      <c r="B408" s="5"/>
      <c r="C408" s="5"/>
      <c r="D408" s="5"/>
      <c r="E408" s="5"/>
      <c r="F408" s="5"/>
    </row>
    <row r="409" spans="1:6" ht="15.75" customHeight="1">
      <c r="A409" s="5"/>
      <c r="B409" s="5"/>
      <c r="C409" s="5"/>
      <c r="D409" s="5"/>
      <c r="E409" s="5"/>
      <c r="F409" s="5"/>
    </row>
    <row r="410" spans="1:6" ht="15.75" customHeight="1">
      <c r="A410" s="5"/>
      <c r="B410" s="5"/>
      <c r="C410" s="5"/>
      <c r="D410" s="5"/>
      <c r="E410" s="5"/>
      <c r="F410" s="5"/>
    </row>
    <row r="411" spans="1:6" ht="15.75" customHeight="1">
      <c r="A411" s="5"/>
      <c r="B411" s="5"/>
      <c r="C411" s="5"/>
      <c r="D411" s="5"/>
      <c r="E411" s="5"/>
      <c r="F411" s="5"/>
    </row>
    <row r="412" spans="1:6" ht="15.75" customHeight="1">
      <c r="A412" s="5"/>
      <c r="B412" s="5"/>
      <c r="C412" s="5"/>
      <c r="D412" s="5"/>
      <c r="E412" s="5"/>
      <c r="F412" s="5"/>
    </row>
    <row r="413" spans="1:6" ht="15.75" customHeight="1">
      <c r="A413" s="5"/>
      <c r="B413" s="5"/>
      <c r="C413" s="5"/>
      <c r="D413" s="5"/>
      <c r="E413" s="5"/>
      <c r="F413" s="5"/>
    </row>
    <row r="414" spans="1:6" ht="15.75" customHeight="1">
      <c r="A414" s="5"/>
      <c r="B414" s="5"/>
      <c r="C414" s="5"/>
      <c r="D414" s="5"/>
      <c r="E414" s="5"/>
      <c r="F414" s="5"/>
    </row>
    <row r="415" spans="1:6" ht="15.75" customHeight="1">
      <c r="A415" s="5"/>
      <c r="B415" s="5"/>
      <c r="C415" s="5"/>
      <c r="D415" s="5"/>
      <c r="E415" s="5"/>
      <c r="F415" s="5"/>
    </row>
    <row r="416" spans="1:6" ht="15.75" customHeight="1">
      <c r="A416" s="5"/>
      <c r="B416" s="5"/>
      <c r="C416" s="5"/>
      <c r="D416" s="5"/>
      <c r="E416" s="5"/>
      <c r="F416" s="5"/>
    </row>
    <row r="417" spans="1:6" ht="15.75" customHeight="1">
      <c r="A417" s="5"/>
      <c r="B417" s="5"/>
      <c r="C417" s="5"/>
      <c r="D417" s="5"/>
      <c r="E417" s="5"/>
      <c r="F417" s="5"/>
    </row>
    <row r="418" spans="1:6" ht="15.75" customHeight="1">
      <c r="A418" s="5"/>
      <c r="B418" s="5"/>
      <c r="C418" s="5"/>
      <c r="D418" s="5"/>
      <c r="E418" s="5"/>
      <c r="F418" s="5"/>
    </row>
    <row r="419" spans="1:6" ht="15.75" customHeight="1">
      <c r="A419" s="5"/>
      <c r="B419" s="5"/>
      <c r="C419" s="5"/>
      <c r="D419" s="5"/>
      <c r="E419" s="5"/>
      <c r="F419" s="5"/>
    </row>
    <row r="420" spans="1:6" ht="15.75" customHeight="1">
      <c r="A420" s="5"/>
      <c r="B420" s="5"/>
      <c r="C420" s="5"/>
      <c r="D420" s="5"/>
      <c r="E420" s="5"/>
      <c r="F420" s="5"/>
    </row>
    <row r="421" spans="1:6" ht="15.75" customHeight="1">
      <c r="A421" s="5"/>
      <c r="B421" s="5"/>
      <c r="C421" s="5"/>
      <c r="D421" s="5"/>
      <c r="E421" s="5"/>
      <c r="F421" s="5"/>
    </row>
    <row r="422" spans="1:6" ht="15.75" customHeight="1">
      <c r="A422" s="5"/>
      <c r="B422" s="5"/>
      <c r="C422" s="5"/>
      <c r="D422" s="5"/>
      <c r="E422" s="5"/>
      <c r="F422" s="5"/>
    </row>
    <row r="423" spans="1:6" ht="15.75" customHeight="1">
      <c r="A423" s="5"/>
      <c r="B423" s="5"/>
      <c r="C423" s="5"/>
      <c r="D423" s="5"/>
      <c r="E423" s="5"/>
      <c r="F423" s="5"/>
    </row>
    <row r="424" spans="1:6" ht="15.75" customHeight="1">
      <c r="A424" s="5"/>
      <c r="B424" s="5"/>
      <c r="C424" s="5"/>
      <c r="D424" s="5"/>
      <c r="E424" s="5"/>
      <c r="F424" s="5"/>
    </row>
    <row r="425" spans="1:6" ht="15.75" customHeight="1">
      <c r="A425" s="5"/>
      <c r="B425" s="5"/>
      <c r="C425" s="5"/>
      <c r="D425" s="5"/>
      <c r="E425" s="5"/>
      <c r="F425" s="5"/>
    </row>
    <row r="426" spans="1:6" ht="15.75" customHeight="1">
      <c r="A426" s="5"/>
      <c r="B426" s="5"/>
      <c r="C426" s="5"/>
      <c r="D426" s="5"/>
      <c r="E426" s="5"/>
      <c r="F426" s="5"/>
    </row>
    <row r="427" spans="1:6" ht="15.75" customHeight="1">
      <c r="A427" s="5"/>
      <c r="B427" s="5"/>
      <c r="C427" s="5"/>
      <c r="D427" s="5"/>
      <c r="E427" s="5"/>
      <c r="F427" s="5"/>
    </row>
    <row r="428" spans="1:6" ht="15.75" customHeight="1">
      <c r="A428" s="5"/>
      <c r="B428" s="5"/>
      <c r="C428" s="5"/>
      <c r="D428" s="5"/>
      <c r="E428" s="5"/>
      <c r="F428" s="5"/>
    </row>
    <row r="429" spans="1:6" ht="15.75" customHeight="1">
      <c r="A429" s="5"/>
      <c r="B429" s="5"/>
      <c r="C429" s="5"/>
      <c r="D429" s="5"/>
      <c r="E429" s="5"/>
      <c r="F429" s="5"/>
    </row>
    <row r="430" spans="1:6" ht="15.75" customHeight="1">
      <c r="A430" s="5"/>
      <c r="B430" s="5"/>
      <c r="C430" s="5"/>
      <c r="D430" s="5"/>
      <c r="E430" s="5"/>
      <c r="F430" s="5"/>
    </row>
    <row r="431" spans="1:6" ht="15.75" customHeight="1">
      <c r="A431" s="5"/>
      <c r="B431" s="5"/>
      <c r="C431" s="5"/>
      <c r="D431" s="5"/>
      <c r="E431" s="5"/>
      <c r="F431" s="5"/>
    </row>
    <row r="432" spans="1:6" ht="15.75" customHeight="1">
      <c r="A432" s="5"/>
      <c r="B432" s="5"/>
      <c r="C432" s="5"/>
      <c r="D432" s="5"/>
      <c r="E432" s="5"/>
      <c r="F432" s="5"/>
    </row>
    <row r="433" spans="1:6" ht="15.75" customHeight="1">
      <c r="A433" s="5"/>
      <c r="B433" s="5"/>
      <c r="C433" s="5"/>
      <c r="D433" s="5"/>
      <c r="E433" s="5"/>
      <c r="F433" s="5"/>
    </row>
    <row r="434" spans="1:6" ht="15.75" customHeight="1">
      <c r="A434" s="5"/>
      <c r="B434" s="5"/>
      <c r="C434" s="5"/>
      <c r="D434" s="5"/>
      <c r="E434" s="5"/>
      <c r="F434" s="5"/>
    </row>
    <row r="435" spans="1:6" ht="15.75" customHeight="1">
      <c r="A435" s="5"/>
      <c r="B435" s="5"/>
      <c r="C435" s="5"/>
      <c r="D435" s="5"/>
      <c r="E435" s="5"/>
      <c r="F435" s="5"/>
    </row>
    <row r="436" spans="1:6" ht="15.75" customHeight="1">
      <c r="A436" s="5"/>
      <c r="B436" s="5"/>
      <c r="C436" s="5"/>
      <c r="D436" s="5"/>
      <c r="E436" s="5"/>
      <c r="F436" s="5"/>
    </row>
    <row r="437" spans="1:6" ht="15.75" customHeight="1">
      <c r="A437" s="5"/>
      <c r="B437" s="5"/>
      <c r="C437" s="5"/>
      <c r="D437" s="5"/>
      <c r="E437" s="5"/>
      <c r="F437" s="5"/>
    </row>
    <row r="438" spans="1:6" ht="15.75" customHeight="1">
      <c r="A438" s="5"/>
      <c r="B438" s="5"/>
      <c r="C438" s="5"/>
      <c r="D438" s="5"/>
      <c r="E438" s="5"/>
      <c r="F438" s="5"/>
    </row>
    <row r="439" spans="1:6" ht="15.75" customHeight="1">
      <c r="A439" s="5"/>
      <c r="B439" s="5"/>
      <c r="C439" s="5"/>
      <c r="D439" s="5"/>
      <c r="E439" s="5"/>
      <c r="F439" s="5"/>
    </row>
    <row r="440" spans="1:6" ht="15.75" customHeight="1">
      <c r="A440" s="5"/>
      <c r="B440" s="5"/>
      <c r="C440" s="5"/>
      <c r="D440" s="5"/>
      <c r="E440" s="5"/>
      <c r="F440" s="5"/>
    </row>
    <row r="441" spans="1:6" ht="15.75" customHeight="1">
      <c r="A441" s="5"/>
      <c r="B441" s="5"/>
      <c r="C441" s="5"/>
      <c r="D441" s="5"/>
      <c r="E441" s="5"/>
      <c r="F441" s="5"/>
    </row>
    <row r="442" spans="1:6" ht="15.75" customHeight="1">
      <c r="A442" s="5"/>
      <c r="B442" s="5"/>
      <c r="C442" s="5"/>
      <c r="D442" s="5"/>
      <c r="E442" s="5"/>
      <c r="F442" s="5"/>
    </row>
    <row r="443" spans="1:6" ht="15.75" customHeight="1">
      <c r="A443" s="5"/>
      <c r="B443" s="5"/>
      <c r="C443" s="5"/>
      <c r="D443" s="5"/>
      <c r="E443" s="5"/>
      <c r="F443" s="5"/>
    </row>
    <row r="444" spans="1:6" ht="15.75" customHeight="1">
      <c r="A444" s="5"/>
      <c r="B444" s="5"/>
      <c r="C444" s="5"/>
      <c r="D444" s="5"/>
      <c r="E444" s="5"/>
      <c r="F444" s="5"/>
    </row>
    <row r="445" spans="1:6" ht="15.75" customHeight="1">
      <c r="A445" s="5"/>
      <c r="B445" s="5"/>
      <c r="C445" s="5"/>
      <c r="D445" s="5"/>
      <c r="E445" s="5"/>
      <c r="F445" s="5"/>
    </row>
    <row r="446" spans="1:6" ht="15.75" customHeight="1">
      <c r="A446" s="5"/>
      <c r="B446" s="5"/>
      <c r="C446" s="5"/>
      <c r="D446" s="5"/>
      <c r="E446" s="5"/>
      <c r="F446" s="5"/>
    </row>
    <row r="447" spans="1:6" ht="15.75" customHeight="1">
      <c r="A447" s="5"/>
      <c r="B447" s="5"/>
      <c r="C447" s="5"/>
      <c r="D447" s="5"/>
      <c r="E447" s="5"/>
      <c r="F447" s="5"/>
    </row>
    <row r="448" spans="1:6" ht="15.75" customHeight="1">
      <c r="A448" s="5"/>
      <c r="B448" s="5"/>
      <c r="C448" s="5"/>
      <c r="D448" s="5"/>
      <c r="E448" s="5"/>
      <c r="F448" s="5"/>
    </row>
    <row r="449" spans="1:6" ht="15.75" customHeight="1">
      <c r="A449" s="5"/>
      <c r="B449" s="5"/>
      <c r="C449" s="5"/>
      <c r="D449" s="5"/>
      <c r="E449" s="5"/>
      <c r="F449" s="5"/>
    </row>
    <row r="450" spans="1:6" ht="15.75" customHeight="1">
      <c r="A450" s="5"/>
      <c r="B450" s="5"/>
      <c r="C450" s="5"/>
      <c r="D450" s="5"/>
      <c r="E450" s="5"/>
      <c r="F450" s="5"/>
    </row>
    <row r="451" spans="1:6" ht="15.75" customHeight="1">
      <c r="A451" s="5"/>
      <c r="B451" s="5"/>
      <c r="C451" s="5"/>
      <c r="D451" s="5"/>
      <c r="E451" s="5"/>
      <c r="F451" s="5"/>
    </row>
    <row r="452" spans="1:6" ht="15.75" customHeight="1">
      <c r="A452" s="5"/>
      <c r="B452" s="5"/>
      <c r="C452" s="5"/>
      <c r="D452" s="5"/>
      <c r="E452" s="5"/>
      <c r="F452" s="5"/>
    </row>
    <row r="453" spans="1:6" ht="15.75" customHeight="1">
      <c r="A453" s="5"/>
      <c r="B453" s="5"/>
      <c r="C453" s="5"/>
      <c r="D453" s="5"/>
      <c r="E453" s="5"/>
      <c r="F453" s="5"/>
    </row>
    <row r="454" spans="1:6" ht="15.75" customHeight="1">
      <c r="A454" s="5"/>
      <c r="B454" s="5"/>
      <c r="C454" s="5"/>
      <c r="D454" s="5"/>
      <c r="E454" s="5"/>
      <c r="F454" s="5"/>
    </row>
    <row r="455" spans="1:6" ht="15.75" customHeight="1">
      <c r="A455" s="5"/>
      <c r="B455" s="5"/>
      <c r="C455" s="5"/>
      <c r="D455" s="5"/>
      <c r="E455" s="5"/>
      <c r="F455" s="5"/>
    </row>
    <row r="456" spans="1:6" ht="15.75" customHeight="1">
      <c r="A456" s="5"/>
      <c r="B456" s="5"/>
      <c r="C456" s="5"/>
      <c r="D456" s="5"/>
      <c r="E456" s="5"/>
      <c r="F456" s="5"/>
    </row>
    <row r="457" spans="1:6" ht="15.75" customHeight="1">
      <c r="A457" s="5"/>
      <c r="B457" s="5"/>
      <c r="C457" s="5"/>
      <c r="D457" s="5"/>
      <c r="E457" s="5"/>
      <c r="F457" s="5"/>
    </row>
    <row r="458" spans="1:6" ht="15.75" customHeight="1">
      <c r="A458" s="5"/>
      <c r="B458" s="5"/>
      <c r="C458" s="5"/>
      <c r="D458" s="5"/>
      <c r="E458" s="5"/>
      <c r="F458" s="5"/>
    </row>
    <row r="459" spans="1:6" ht="15.75" customHeight="1">
      <c r="A459" s="5"/>
      <c r="B459" s="5"/>
      <c r="C459" s="5"/>
      <c r="D459" s="5"/>
      <c r="E459" s="5"/>
      <c r="F459" s="5"/>
    </row>
    <row r="460" spans="1:6" ht="15.75" customHeight="1">
      <c r="A460" s="5"/>
      <c r="B460" s="5"/>
      <c r="C460" s="5"/>
      <c r="D460" s="5"/>
      <c r="E460" s="5"/>
      <c r="F460" s="5"/>
    </row>
    <row r="461" spans="1:6" ht="15.75" customHeight="1">
      <c r="A461" s="5"/>
      <c r="B461" s="5"/>
      <c r="C461" s="5"/>
      <c r="D461" s="5"/>
      <c r="E461" s="5"/>
      <c r="F461" s="5"/>
    </row>
    <row r="462" spans="1:6" ht="15.75" customHeight="1">
      <c r="A462" s="5"/>
      <c r="B462" s="5"/>
      <c r="C462" s="5"/>
      <c r="D462" s="5"/>
      <c r="E462" s="5"/>
      <c r="F462" s="5"/>
    </row>
    <row r="463" spans="1:6" ht="15.75" customHeight="1">
      <c r="A463" s="5"/>
      <c r="B463" s="5"/>
      <c r="C463" s="5"/>
      <c r="D463" s="5"/>
      <c r="E463" s="5"/>
      <c r="F463" s="5"/>
    </row>
    <row r="464" spans="1:6" ht="15.75" customHeight="1">
      <c r="A464" s="5"/>
      <c r="B464" s="5"/>
      <c r="C464" s="5"/>
      <c r="D464" s="5"/>
      <c r="E464" s="5"/>
      <c r="F464" s="5"/>
    </row>
    <row r="465" spans="1:6" ht="15.75" customHeight="1">
      <c r="A465" s="5"/>
      <c r="B465" s="5"/>
      <c r="C465" s="5"/>
      <c r="D465" s="5"/>
      <c r="E465" s="5"/>
      <c r="F465" s="5"/>
    </row>
    <row r="466" spans="1:6" ht="15.75" customHeight="1">
      <c r="A466" s="5"/>
      <c r="B466" s="5"/>
      <c r="C466" s="5"/>
      <c r="D466" s="5"/>
      <c r="E466" s="5"/>
      <c r="F466" s="5"/>
    </row>
    <row r="467" spans="1:6" ht="15.75" customHeight="1">
      <c r="A467" s="5"/>
      <c r="B467" s="5"/>
      <c r="C467" s="5"/>
      <c r="D467" s="5"/>
      <c r="E467" s="5"/>
      <c r="F467" s="5"/>
    </row>
    <row r="468" spans="1:6" ht="15.75" customHeight="1">
      <c r="A468" s="5"/>
      <c r="B468" s="5"/>
      <c r="C468" s="5"/>
      <c r="D468" s="5"/>
      <c r="E468" s="5"/>
      <c r="F468" s="5"/>
    </row>
    <row r="469" spans="1:6" ht="15.75" customHeight="1">
      <c r="A469" s="5"/>
      <c r="B469" s="5"/>
      <c r="C469" s="5"/>
      <c r="D469" s="5"/>
      <c r="E469" s="5"/>
      <c r="F469" s="5"/>
    </row>
    <row r="470" spans="1:6" ht="15.75" customHeight="1">
      <c r="A470" s="5"/>
      <c r="B470" s="5"/>
      <c r="C470" s="5"/>
      <c r="D470" s="5"/>
      <c r="E470" s="5"/>
      <c r="F470" s="5"/>
    </row>
    <row r="471" spans="1:6" ht="15.75" customHeight="1">
      <c r="A471" s="5"/>
      <c r="B471" s="5"/>
      <c r="C471" s="5"/>
      <c r="D471" s="5"/>
      <c r="E471" s="5"/>
      <c r="F471" s="5"/>
    </row>
    <row r="472" spans="1:6" ht="15.75" customHeight="1">
      <c r="A472" s="5"/>
      <c r="B472" s="5"/>
      <c r="C472" s="5"/>
      <c r="D472" s="5"/>
      <c r="E472" s="5"/>
      <c r="F472" s="5"/>
    </row>
    <row r="473" spans="1:6" ht="15.75" customHeight="1">
      <c r="A473" s="5"/>
      <c r="B473" s="5"/>
      <c r="C473" s="5"/>
      <c r="D473" s="5"/>
      <c r="E473" s="5"/>
      <c r="F473" s="5"/>
    </row>
    <row r="474" spans="1:6" ht="15.75" customHeight="1">
      <c r="A474" s="5"/>
      <c r="B474" s="5"/>
      <c r="C474" s="5"/>
      <c r="D474" s="5"/>
      <c r="E474" s="5"/>
      <c r="F474" s="5"/>
    </row>
    <row r="475" spans="1:6" ht="15.75" customHeight="1">
      <c r="A475" s="5"/>
      <c r="B475" s="5"/>
      <c r="C475" s="5"/>
      <c r="D475" s="5"/>
      <c r="E475" s="5"/>
      <c r="F475" s="5"/>
    </row>
    <row r="476" spans="1:6" ht="15.75" customHeight="1">
      <c r="A476" s="5"/>
      <c r="B476" s="5"/>
      <c r="C476" s="5"/>
      <c r="D476" s="5"/>
      <c r="E476" s="5"/>
      <c r="F476" s="5"/>
    </row>
    <row r="477" spans="1:6" ht="15.75" customHeight="1">
      <c r="A477" s="5"/>
      <c r="B477" s="5"/>
      <c r="C477" s="5"/>
      <c r="D477" s="5"/>
      <c r="E477" s="5"/>
      <c r="F477" s="5"/>
    </row>
    <row r="478" spans="1:6" ht="15.75" customHeight="1">
      <c r="A478" s="5"/>
      <c r="B478" s="5"/>
      <c r="C478" s="5"/>
      <c r="D478" s="5"/>
      <c r="E478" s="5"/>
      <c r="F478" s="5"/>
    </row>
    <row r="479" spans="1:6" ht="15.75" customHeight="1">
      <c r="A479" s="5"/>
      <c r="B479" s="5"/>
      <c r="C479" s="5"/>
      <c r="D479" s="5"/>
      <c r="E479" s="5"/>
      <c r="F479" s="5"/>
    </row>
    <row r="480" spans="1:6" ht="15.75" customHeight="1">
      <c r="A480" s="5"/>
      <c r="B480" s="5"/>
      <c r="C480" s="5"/>
      <c r="D480" s="5"/>
      <c r="E480" s="5"/>
      <c r="F480" s="5"/>
    </row>
    <row r="481" spans="1:6" ht="15.75" customHeight="1">
      <c r="A481" s="5"/>
      <c r="B481" s="5"/>
      <c r="C481" s="5"/>
      <c r="D481" s="5"/>
      <c r="E481" s="5"/>
      <c r="F481" s="5"/>
    </row>
    <row r="482" spans="1:6" ht="15.75" customHeight="1">
      <c r="A482" s="5"/>
      <c r="B482" s="5"/>
      <c r="C482" s="5"/>
      <c r="D482" s="5"/>
      <c r="E482" s="5"/>
      <c r="F482" s="5"/>
    </row>
    <row r="483" spans="1:6" ht="15.75" customHeight="1">
      <c r="A483" s="5"/>
      <c r="B483" s="5"/>
      <c r="C483" s="5"/>
      <c r="D483" s="5"/>
      <c r="E483" s="5"/>
      <c r="F483" s="5"/>
    </row>
    <row r="484" spans="1:6" ht="15.75" customHeight="1">
      <c r="A484" s="5"/>
      <c r="B484" s="5"/>
      <c r="C484" s="5"/>
      <c r="D484" s="5"/>
      <c r="E484" s="5"/>
      <c r="F484" s="5"/>
    </row>
    <row r="485" spans="1:6" ht="15.75" customHeight="1">
      <c r="A485" s="5"/>
      <c r="B485" s="5"/>
      <c r="C485" s="5"/>
      <c r="D485" s="5"/>
      <c r="E485" s="5"/>
      <c r="F485" s="5"/>
    </row>
    <row r="486" spans="1:6" ht="15.75" customHeight="1">
      <c r="A486" s="5"/>
      <c r="B486" s="5"/>
      <c r="C486" s="5"/>
      <c r="D486" s="5"/>
      <c r="E486" s="5"/>
      <c r="F486" s="5"/>
    </row>
    <row r="487" spans="1:6" ht="15.75" customHeight="1">
      <c r="A487" s="5"/>
      <c r="B487" s="5"/>
      <c r="C487" s="5"/>
      <c r="D487" s="5"/>
      <c r="E487" s="5"/>
      <c r="F487" s="5"/>
    </row>
    <row r="488" spans="1:6" ht="15.75" customHeight="1">
      <c r="A488" s="5"/>
      <c r="B488" s="5"/>
      <c r="C488" s="5"/>
      <c r="D488" s="5"/>
      <c r="E488" s="5"/>
      <c r="F488" s="5"/>
    </row>
    <row r="489" spans="1:6" ht="15.75" customHeight="1">
      <c r="A489" s="5"/>
      <c r="B489" s="5"/>
      <c r="C489" s="5"/>
      <c r="D489" s="5"/>
      <c r="E489" s="5"/>
      <c r="F489" s="5"/>
    </row>
    <row r="490" spans="1:6" ht="15.75" customHeight="1">
      <c r="A490" s="5"/>
      <c r="B490" s="5"/>
      <c r="C490" s="5"/>
      <c r="D490" s="5"/>
      <c r="E490" s="5"/>
      <c r="F490" s="5"/>
    </row>
    <row r="491" spans="1:6" ht="15.75" customHeight="1">
      <c r="A491" s="5"/>
      <c r="B491" s="5"/>
      <c r="C491" s="5"/>
      <c r="D491" s="5"/>
      <c r="E491" s="5"/>
      <c r="F491" s="5"/>
    </row>
    <row r="492" spans="1:6" ht="15.75" customHeight="1">
      <c r="A492" s="5"/>
      <c r="B492" s="5"/>
      <c r="C492" s="5"/>
      <c r="D492" s="5"/>
      <c r="E492" s="5"/>
      <c r="F492" s="5"/>
    </row>
    <row r="493" spans="1:6" ht="15.75" customHeight="1">
      <c r="A493" s="5"/>
      <c r="B493" s="5"/>
      <c r="C493" s="5"/>
      <c r="D493" s="5"/>
      <c r="E493" s="5"/>
      <c r="F493" s="5"/>
    </row>
    <row r="494" spans="1:6" ht="15.75" customHeight="1">
      <c r="A494" s="5"/>
      <c r="B494" s="5"/>
      <c r="C494" s="5"/>
      <c r="D494" s="5"/>
      <c r="E494" s="5"/>
      <c r="F494" s="5"/>
    </row>
    <row r="495" spans="1:6" ht="15.75" customHeight="1">
      <c r="A495" s="5"/>
      <c r="B495" s="5"/>
      <c r="C495" s="5"/>
      <c r="D495" s="5"/>
      <c r="E495" s="5"/>
      <c r="F495" s="5"/>
    </row>
    <row r="496" spans="1:6" ht="15.75" customHeight="1">
      <c r="A496" s="5"/>
      <c r="B496" s="5"/>
      <c r="C496" s="5"/>
      <c r="D496" s="5"/>
      <c r="E496" s="5"/>
      <c r="F496" s="5"/>
    </row>
    <row r="497" spans="1:6" ht="15.75" customHeight="1">
      <c r="A497" s="5"/>
      <c r="B497" s="5"/>
      <c r="C497" s="5"/>
      <c r="D497" s="5"/>
      <c r="E497" s="5"/>
      <c r="F497" s="5"/>
    </row>
    <row r="498" spans="1:6" ht="15.75" customHeight="1">
      <c r="A498" s="5"/>
      <c r="B498" s="5"/>
      <c r="C498" s="5"/>
      <c r="D498" s="5"/>
      <c r="E498" s="5"/>
      <c r="F498" s="5"/>
    </row>
    <row r="499" spans="1:6" ht="15.75" customHeight="1">
      <c r="A499" s="5"/>
      <c r="B499" s="5"/>
      <c r="C499" s="5"/>
      <c r="D499" s="5"/>
      <c r="E499" s="5"/>
      <c r="F499" s="5"/>
    </row>
    <row r="500" spans="1:6" ht="15.75" customHeight="1">
      <c r="A500" s="5"/>
      <c r="B500" s="5"/>
      <c r="C500" s="5"/>
      <c r="D500" s="5"/>
      <c r="E500" s="5"/>
      <c r="F500" s="5"/>
    </row>
    <row r="501" spans="1:6" ht="15.75" customHeight="1">
      <c r="A501" s="5"/>
      <c r="B501" s="5"/>
      <c r="C501" s="5"/>
      <c r="D501" s="5"/>
      <c r="E501" s="5"/>
      <c r="F501" s="5"/>
    </row>
    <row r="502" spans="1:6" ht="15.75" customHeight="1">
      <c r="A502" s="5"/>
      <c r="B502" s="5"/>
      <c r="C502" s="5"/>
      <c r="D502" s="5"/>
      <c r="E502" s="5"/>
      <c r="F502" s="5"/>
    </row>
    <row r="503" spans="1:6" ht="15.75" customHeight="1">
      <c r="A503" s="5"/>
      <c r="B503" s="5"/>
      <c r="C503" s="5"/>
      <c r="D503" s="5"/>
      <c r="E503" s="5"/>
      <c r="F503" s="5"/>
    </row>
    <row r="504" spans="1:6" ht="15.75" customHeight="1">
      <c r="A504" s="5"/>
      <c r="B504" s="5"/>
      <c r="C504" s="5"/>
      <c r="D504" s="5"/>
      <c r="E504" s="5"/>
      <c r="F504" s="5"/>
    </row>
    <row r="505" spans="1:6" ht="15.75" customHeight="1">
      <c r="A505" s="5"/>
      <c r="B505" s="5"/>
      <c r="C505" s="5"/>
      <c r="D505" s="5"/>
      <c r="E505" s="5"/>
      <c r="F505" s="5"/>
    </row>
    <row r="506" spans="1:6" ht="15.75" customHeight="1">
      <c r="A506" s="5"/>
      <c r="B506" s="5"/>
      <c r="C506" s="5"/>
      <c r="D506" s="5"/>
      <c r="E506" s="5"/>
      <c r="F506" s="5"/>
    </row>
    <row r="507" spans="1:6" ht="15.75" customHeight="1">
      <c r="A507" s="5"/>
      <c r="B507" s="5"/>
      <c r="C507" s="5"/>
      <c r="D507" s="5"/>
      <c r="E507" s="5"/>
      <c r="F507" s="5"/>
    </row>
    <row r="508" spans="1:6" ht="15.75" customHeight="1">
      <c r="A508" s="5"/>
      <c r="B508" s="5"/>
      <c r="C508" s="5"/>
      <c r="D508" s="5"/>
      <c r="E508" s="5"/>
      <c r="F508" s="5"/>
    </row>
    <row r="509" spans="1:6" ht="15.75" customHeight="1">
      <c r="A509" s="5"/>
      <c r="B509" s="5"/>
      <c r="C509" s="5"/>
      <c r="D509" s="5"/>
      <c r="E509" s="5"/>
      <c r="F509" s="5"/>
    </row>
    <row r="510" spans="1:6" ht="15.75" customHeight="1">
      <c r="A510" s="5"/>
      <c r="B510" s="5"/>
      <c r="C510" s="5"/>
      <c r="D510" s="5"/>
      <c r="E510" s="5"/>
      <c r="F510" s="5"/>
    </row>
    <row r="511" spans="1:6" ht="15.75" customHeight="1">
      <c r="A511" s="5"/>
      <c r="B511" s="5"/>
      <c r="C511" s="5"/>
      <c r="D511" s="5"/>
      <c r="E511" s="5"/>
      <c r="F511" s="5"/>
    </row>
    <row r="512" spans="1:6" ht="15.75" customHeight="1">
      <c r="A512" s="5"/>
      <c r="B512" s="5"/>
      <c r="C512" s="5"/>
      <c r="D512" s="5"/>
      <c r="E512" s="5"/>
      <c r="F512" s="5"/>
    </row>
    <row r="513" spans="1:6" ht="15.75" customHeight="1">
      <c r="A513" s="5"/>
      <c r="B513" s="5"/>
      <c r="C513" s="5"/>
      <c r="D513" s="5"/>
      <c r="E513" s="5"/>
      <c r="F513" s="5"/>
    </row>
    <row r="514" spans="1:6" ht="15.75" customHeight="1">
      <c r="A514" s="5"/>
      <c r="B514" s="5"/>
      <c r="C514" s="5"/>
      <c r="D514" s="5"/>
      <c r="E514" s="5"/>
      <c r="F514" s="5"/>
    </row>
    <row r="515" spans="1:6" ht="15.75" customHeight="1">
      <c r="A515" s="5"/>
      <c r="B515" s="5"/>
      <c r="C515" s="5"/>
      <c r="D515" s="5"/>
      <c r="E515" s="5"/>
      <c r="F515" s="5"/>
    </row>
    <row r="516" spans="1:6" ht="15.75" customHeight="1">
      <c r="A516" s="5"/>
      <c r="B516" s="5"/>
      <c r="C516" s="5"/>
      <c r="D516" s="5"/>
      <c r="E516" s="5"/>
      <c r="F516" s="5"/>
    </row>
    <row r="517" spans="1:6" ht="15.75" customHeight="1">
      <c r="A517" s="5"/>
      <c r="B517" s="5"/>
      <c r="C517" s="5"/>
      <c r="D517" s="5"/>
      <c r="E517" s="5"/>
      <c r="F517" s="5"/>
    </row>
    <row r="518" spans="1:6" ht="15.75" customHeight="1">
      <c r="A518" s="5"/>
      <c r="B518" s="5"/>
      <c r="C518" s="5"/>
      <c r="D518" s="5"/>
      <c r="E518" s="5"/>
      <c r="F518" s="5"/>
    </row>
    <row r="519" spans="1:6" ht="15.75" customHeight="1">
      <c r="A519" s="5"/>
      <c r="B519" s="5"/>
      <c r="C519" s="5"/>
      <c r="D519" s="5"/>
      <c r="E519" s="5"/>
      <c r="F519" s="5"/>
    </row>
    <row r="520" spans="1:6" ht="15.75" customHeight="1">
      <c r="A520" s="5"/>
      <c r="B520" s="5"/>
      <c r="C520" s="5"/>
      <c r="D520" s="5"/>
      <c r="E520" s="5"/>
      <c r="F520" s="5"/>
    </row>
    <row r="521" spans="1:6" ht="15.75" customHeight="1">
      <c r="A521" s="5"/>
      <c r="B521" s="5"/>
      <c r="C521" s="5"/>
      <c r="D521" s="5"/>
      <c r="E521" s="5"/>
      <c r="F521" s="5"/>
    </row>
    <row r="522" spans="1:6" ht="15.75" customHeight="1">
      <c r="A522" s="5"/>
      <c r="B522" s="5"/>
      <c r="C522" s="5"/>
      <c r="D522" s="5"/>
      <c r="E522" s="5"/>
      <c r="F522" s="5"/>
    </row>
    <row r="523" spans="1:6" ht="15.75" customHeight="1">
      <c r="A523" s="5"/>
      <c r="B523" s="5"/>
      <c r="C523" s="5"/>
      <c r="D523" s="5"/>
      <c r="E523" s="5"/>
      <c r="F523" s="5"/>
    </row>
    <row r="524" spans="1:6" ht="15.75" customHeight="1">
      <c r="A524" s="5"/>
      <c r="B524" s="5"/>
      <c r="C524" s="5"/>
      <c r="D524" s="5"/>
      <c r="E524" s="5"/>
      <c r="F524" s="5"/>
    </row>
    <row r="525" spans="1:6" ht="15.75" customHeight="1">
      <c r="A525" s="5"/>
      <c r="B525" s="5"/>
      <c r="C525" s="5"/>
      <c r="D525" s="5"/>
      <c r="E525" s="5"/>
      <c r="F525" s="5"/>
    </row>
    <row r="526" spans="1:6" ht="15.75" customHeight="1">
      <c r="A526" s="5"/>
      <c r="B526" s="5"/>
      <c r="C526" s="5"/>
      <c r="D526" s="5"/>
      <c r="E526" s="5"/>
      <c r="F526" s="5"/>
    </row>
    <row r="527" spans="1:6" ht="15.75" customHeight="1">
      <c r="A527" s="5"/>
      <c r="B527" s="5"/>
      <c r="C527" s="5"/>
      <c r="D527" s="5"/>
      <c r="E527" s="5"/>
      <c r="F527" s="5"/>
    </row>
    <row r="528" spans="1:6" ht="15.75" customHeight="1">
      <c r="A528" s="5"/>
      <c r="B528" s="5"/>
      <c r="C528" s="5"/>
      <c r="D528" s="5"/>
      <c r="E528" s="5"/>
      <c r="F528" s="5"/>
    </row>
    <row r="529" spans="1:6" ht="15.75" customHeight="1">
      <c r="A529" s="5"/>
      <c r="B529" s="5"/>
      <c r="C529" s="5"/>
      <c r="D529" s="5"/>
      <c r="E529" s="5"/>
      <c r="F529" s="5"/>
    </row>
    <row r="530" spans="1:6" ht="15.75" customHeight="1">
      <c r="A530" s="5"/>
      <c r="B530" s="5"/>
      <c r="C530" s="5"/>
      <c r="D530" s="5"/>
      <c r="E530" s="5"/>
      <c r="F530" s="5"/>
    </row>
    <row r="531" spans="1:6" ht="15.75" customHeight="1">
      <c r="A531" s="5"/>
      <c r="B531" s="5"/>
      <c r="C531" s="5"/>
      <c r="D531" s="5"/>
      <c r="E531" s="5"/>
      <c r="F531" s="5"/>
    </row>
    <row r="532" spans="1:6" ht="15.75" customHeight="1">
      <c r="A532" s="5"/>
      <c r="B532" s="5"/>
      <c r="C532" s="5"/>
      <c r="D532" s="5"/>
      <c r="E532" s="5"/>
      <c r="F532" s="5"/>
    </row>
    <row r="533" spans="1:6" ht="15.75" customHeight="1">
      <c r="A533" s="5"/>
      <c r="B533" s="5"/>
      <c r="C533" s="5"/>
      <c r="D533" s="5"/>
      <c r="E533" s="5"/>
      <c r="F533" s="5"/>
    </row>
    <row r="534" spans="1:6" ht="15.75" customHeight="1">
      <c r="A534" s="5"/>
      <c r="B534" s="5"/>
      <c r="C534" s="5"/>
      <c r="D534" s="5"/>
      <c r="E534" s="5"/>
      <c r="F534" s="5"/>
    </row>
    <row r="535" spans="1:6" ht="15.75" customHeight="1">
      <c r="A535" s="5"/>
      <c r="B535" s="5"/>
      <c r="C535" s="5"/>
      <c r="D535" s="5"/>
      <c r="E535" s="5"/>
      <c r="F535" s="5"/>
    </row>
    <row r="536" spans="1:6" ht="15.75" customHeight="1">
      <c r="A536" s="5"/>
      <c r="B536" s="5"/>
      <c r="C536" s="5"/>
      <c r="D536" s="5"/>
      <c r="E536" s="5"/>
      <c r="F536" s="5"/>
    </row>
    <row r="537" spans="1:6" ht="15.75" customHeight="1">
      <c r="A537" s="5"/>
      <c r="B537" s="5"/>
      <c r="C537" s="5"/>
      <c r="D537" s="5"/>
      <c r="E537" s="5"/>
      <c r="F537" s="5"/>
    </row>
    <row r="538" spans="1:6" ht="15.75" customHeight="1">
      <c r="A538" s="5"/>
      <c r="B538" s="5"/>
      <c r="C538" s="5"/>
      <c r="D538" s="5"/>
      <c r="E538" s="5"/>
      <c r="F538" s="5"/>
    </row>
    <row r="539" spans="1:6" ht="15.75" customHeight="1">
      <c r="A539" s="5"/>
      <c r="B539" s="5"/>
      <c r="C539" s="5"/>
      <c r="D539" s="5"/>
      <c r="E539" s="5"/>
      <c r="F539" s="5"/>
    </row>
    <row r="540" spans="1:6" ht="15.75" customHeight="1">
      <c r="A540" s="5"/>
      <c r="B540" s="5"/>
      <c r="C540" s="5"/>
      <c r="D540" s="5"/>
      <c r="E540" s="5"/>
      <c r="F540" s="5"/>
    </row>
    <row r="541" spans="1:6" ht="15.75" customHeight="1">
      <c r="A541" s="5"/>
      <c r="B541" s="5"/>
      <c r="C541" s="5"/>
      <c r="D541" s="5"/>
      <c r="E541" s="5"/>
      <c r="F541" s="5"/>
    </row>
    <row r="542" spans="1:6" ht="15.75" customHeight="1">
      <c r="A542" s="5"/>
      <c r="B542" s="5"/>
      <c r="C542" s="5"/>
      <c r="D542" s="5"/>
      <c r="E542" s="5"/>
      <c r="F542" s="5"/>
    </row>
    <row r="543" spans="1:6" ht="15.75" customHeight="1">
      <c r="A543" s="5"/>
      <c r="B543" s="5"/>
      <c r="C543" s="5"/>
      <c r="D543" s="5"/>
      <c r="E543" s="5"/>
      <c r="F543" s="5"/>
    </row>
    <row r="544" spans="1:6" ht="15.75" customHeight="1">
      <c r="A544" s="5"/>
      <c r="B544" s="5"/>
      <c r="C544" s="5"/>
      <c r="D544" s="5"/>
      <c r="E544" s="5"/>
      <c r="F544" s="5"/>
    </row>
    <row r="545" spans="1:6" ht="15.75" customHeight="1">
      <c r="A545" s="5"/>
      <c r="B545" s="5"/>
      <c r="C545" s="5"/>
      <c r="D545" s="5"/>
      <c r="E545" s="5"/>
      <c r="F545" s="5"/>
    </row>
    <row r="546" spans="1:6" ht="15.75" customHeight="1">
      <c r="A546" s="5"/>
      <c r="B546" s="5"/>
      <c r="C546" s="5"/>
      <c r="D546" s="5"/>
      <c r="E546" s="5"/>
      <c r="F546" s="5"/>
    </row>
    <row r="547" spans="1:6" ht="15.75" customHeight="1">
      <c r="A547" s="5"/>
      <c r="B547" s="5"/>
      <c r="C547" s="5"/>
      <c r="D547" s="5"/>
      <c r="E547" s="5"/>
      <c r="F547" s="5"/>
    </row>
    <row r="548" spans="1:6" ht="15.75" customHeight="1">
      <c r="A548" s="5"/>
      <c r="B548" s="5"/>
      <c r="C548" s="5"/>
      <c r="D548" s="5"/>
      <c r="E548" s="5"/>
      <c r="F548" s="5"/>
    </row>
    <row r="549" spans="1:6" ht="15.75" customHeight="1">
      <c r="A549" s="5"/>
      <c r="B549" s="5"/>
      <c r="C549" s="5"/>
      <c r="D549" s="5"/>
      <c r="E549" s="5"/>
      <c r="F549" s="5"/>
    </row>
    <row r="550" spans="1:6" ht="15.75" customHeight="1">
      <c r="A550" s="5"/>
      <c r="B550" s="5"/>
      <c r="C550" s="5"/>
      <c r="D550" s="5"/>
      <c r="E550" s="5"/>
      <c r="F550" s="5"/>
    </row>
    <row r="551" spans="1:6" ht="15.75" customHeight="1">
      <c r="A551" s="5"/>
      <c r="B551" s="5"/>
      <c r="C551" s="5"/>
      <c r="D551" s="5"/>
      <c r="E551" s="5"/>
      <c r="F551" s="5"/>
    </row>
    <row r="552" spans="1:6" ht="15.75" customHeight="1">
      <c r="A552" s="5"/>
      <c r="B552" s="5"/>
      <c r="C552" s="5"/>
      <c r="D552" s="5"/>
      <c r="E552" s="5"/>
      <c r="F552" s="5"/>
    </row>
    <row r="553" spans="1:6" ht="15.75" customHeight="1">
      <c r="A553" s="5"/>
      <c r="B553" s="5"/>
      <c r="C553" s="5"/>
      <c r="D553" s="5"/>
      <c r="E553" s="5"/>
      <c r="F553" s="5"/>
    </row>
    <row r="554" spans="1:6" ht="15.75" customHeight="1">
      <c r="A554" s="5"/>
      <c r="B554" s="5"/>
      <c r="C554" s="5"/>
      <c r="D554" s="5"/>
      <c r="E554" s="5"/>
      <c r="F554" s="5"/>
    </row>
    <row r="555" spans="1:6" ht="15.75" customHeight="1">
      <c r="A555" s="5"/>
      <c r="B555" s="5"/>
      <c r="C555" s="5"/>
      <c r="D555" s="5"/>
      <c r="E555" s="5"/>
      <c r="F555" s="5"/>
    </row>
    <row r="556" spans="1:6" ht="15.75" customHeight="1">
      <c r="A556" s="5"/>
      <c r="B556" s="5"/>
      <c r="C556" s="5"/>
      <c r="D556" s="5"/>
      <c r="E556" s="5"/>
      <c r="F556" s="5"/>
    </row>
    <row r="557" spans="1:6" ht="15.75" customHeight="1">
      <c r="A557" s="5"/>
      <c r="B557" s="5"/>
      <c r="C557" s="5"/>
      <c r="D557" s="5"/>
      <c r="E557" s="5"/>
      <c r="F557" s="5"/>
    </row>
    <row r="558" spans="1:6" ht="15.75" customHeight="1">
      <c r="A558" s="5"/>
      <c r="B558" s="5"/>
      <c r="C558" s="5"/>
      <c r="D558" s="5"/>
      <c r="E558" s="5"/>
      <c r="F558" s="5"/>
    </row>
    <row r="559" spans="1:6" ht="15.75" customHeight="1">
      <c r="A559" s="5"/>
      <c r="B559" s="5"/>
      <c r="C559" s="5"/>
      <c r="D559" s="5"/>
      <c r="E559" s="5"/>
      <c r="F559" s="5"/>
    </row>
    <row r="560" spans="1:6" ht="15.75" customHeight="1">
      <c r="A560" s="5"/>
      <c r="B560" s="5"/>
      <c r="C560" s="5"/>
      <c r="D560" s="5"/>
      <c r="E560" s="5"/>
      <c r="F560" s="5"/>
    </row>
    <row r="561" spans="1:6" ht="15.75" customHeight="1">
      <c r="A561" s="5"/>
      <c r="B561" s="5"/>
      <c r="C561" s="5"/>
      <c r="D561" s="5"/>
      <c r="E561" s="5"/>
      <c r="F561" s="5"/>
    </row>
    <row r="562" spans="1:6" ht="15.75" customHeight="1">
      <c r="A562" s="5"/>
      <c r="B562" s="5"/>
      <c r="C562" s="5"/>
      <c r="D562" s="5"/>
      <c r="E562" s="5"/>
      <c r="F562" s="5"/>
    </row>
    <row r="563" spans="1:6" ht="15.75" customHeight="1">
      <c r="A563" s="5"/>
      <c r="B563" s="5"/>
      <c r="C563" s="5"/>
      <c r="D563" s="5"/>
      <c r="E563" s="5"/>
      <c r="F563" s="5"/>
    </row>
    <row r="564" spans="1:6" ht="15.75" customHeight="1">
      <c r="A564" s="5"/>
      <c r="B564" s="5"/>
      <c r="C564" s="5"/>
      <c r="D564" s="5"/>
      <c r="E564" s="5"/>
      <c r="F564" s="5"/>
    </row>
    <row r="565" spans="1:6" ht="15.75" customHeight="1">
      <c r="A565" s="5"/>
      <c r="B565" s="5"/>
      <c r="C565" s="5"/>
      <c r="D565" s="5"/>
      <c r="E565" s="5"/>
      <c r="F565" s="5"/>
    </row>
    <row r="566" spans="1:6" ht="15.75" customHeight="1">
      <c r="A566" s="5"/>
      <c r="B566" s="5"/>
      <c r="C566" s="5"/>
      <c r="D566" s="5"/>
      <c r="E566" s="5"/>
      <c r="F566" s="5"/>
    </row>
    <row r="567" spans="1:6" ht="15.75" customHeight="1">
      <c r="A567" s="5"/>
      <c r="B567" s="5"/>
      <c r="C567" s="5"/>
      <c r="D567" s="5"/>
      <c r="E567" s="5"/>
      <c r="F567" s="5"/>
    </row>
    <row r="568" spans="1:6" ht="15.75" customHeight="1">
      <c r="A568" s="5"/>
      <c r="B568" s="5"/>
      <c r="C568" s="5"/>
      <c r="D568" s="5"/>
      <c r="E568" s="5"/>
      <c r="F568" s="5"/>
    </row>
    <row r="569" spans="1:6" ht="15.75" customHeight="1">
      <c r="A569" s="5"/>
      <c r="B569" s="5"/>
      <c r="C569" s="5"/>
      <c r="D569" s="5"/>
      <c r="E569" s="5"/>
      <c r="F569" s="5"/>
    </row>
    <row r="570" spans="1:6" ht="15.75" customHeight="1">
      <c r="A570" s="5"/>
      <c r="B570" s="5"/>
      <c r="C570" s="5"/>
      <c r="D570" s="5"/>
      <c r="E570" s="5"/>
      <c r="F570" s="5"/>
    </row>
    <row r="571" spans="1:6" ht="15.75" customHeight="1">
      <c r="A571" s="5"/>
      <c r="B571" s="5"/>
      <c r="C571" s="5"/>
      <c r="D571" s="5"/>
      <c r="E571" s="5"/>
      <c r="F571" s="5"/>
    </row>
    <row r="572" spans="1:6" ht="15.75" customHeight="1">
      <c r="A572" s="5"/>
      <c r="B572" s="5"/>
      <c r="C572" s="5"/>
      <c r="D572" s="5"/>
      <c r="E572" s="5"/>
      <c r="F572" s="5"/>
    </row>
    <row r="573" spans="1:6" ht="15.75" customHeight="1">
      <c r="A573" s="5"/>
      <c r="B573" s="5"/>
      <c r="C573" s="5"/>
      <c r="D573" s="5"/>
      <c r="E573" s="5"/>
      <c r="F573" s="5"/>
    </row>
    <row r="574" spans="1:6" ht="15.75" customHeight="1">
      <c r="A574" s="5"/>
      <c r="B574" s="5"/>
      <c r="C574" s="5"/>
      <c r="D574" s="5"/>
      <c r="E574" s="5"/>
      <c r="F574" s="5"/>
    </row>
    <row r="575" spans="1:6" ht="15.75" customHeight="1">
      <c r="A575" s="5"/>
      <c r="B575" s="5"/>
      <c r="C575" s="5"/>
      <c r="D575" s="5"/>
      <c r="E575" s="5"/>
      <c r="F575" s="5"/>
    </row>
    <row r="576" spans="1:6" ht="15.75" customHeight="1">
      <c r="A576" s="5"/>
      <c r="B576" s="5"/>
      <c r="C576" s="5"/>
      <c r="D576" s="5"/>
      <c r="E576" s="5"/>
      <c r="F576" s="5"/>
    </row>
    <row r="577" spans="1:6" ht="15.75" customHeight="1">
      <c r="A577" s="5"/>
      <c r="B577" s="5"/>
      <c r="C577" s="5"/>
      <c r="D577" s="5"/>
      <c r="E577" s="5"/>
      <c r="F577" s="5"/>
    </row>
    <row r="578" spans="1:6" ht="15.75" customHeight="1">
      <c r="A578" s="5"/>
      <c r="B578" s="5"/>
      <c r="C578" s="5"/>
      <c r="D578" s="5"/>
      <c r="E578" s="5"/>
      <c r="F578" s="5"/>
    </row>
    <row r="579" spans="1:6" ht="15.75" customHeight="1">
      <c r="A579" s="5"/>
      <c r="B579" s="5"/>
      <c r="C579" s="5"/>
      <c r="D579" s="5"/>
      <c r="E579" s="5"/>
      <c r="F579" s="5"/>
    </row>
    <row r="580" spans="1:6" ht="15.75" customHeight="1">
      <c r="A580" s="5"/>
      <c r="B580" s="5"/>
      <c r="C580" s="5"/>
      <c r="D580" s="5"/>
      <c r="E580" s="5"/>
      <c r="F580" s="5"/>
    </row>
    <row r="581" spans="1:6" ht="15.75" customHeight="1">
      <c r="A581" s="5"/>
      <c r="B581" s="5"/>
      <c r="C581" s="5"/>
      <c r="D581" s="5"/>
      <c r="E581" s="5"/>
      <c r="F581" s="5"/>
    </row>
    <row r="582" spans="1:6" ht="15.75" customHeight="1">
      <c r="A582" s="5"/>
      <c r="B582" s="5"/>
      <c r="C582" s="5"/>
      <c r="D582" s="5"/>
      <c r="E582" s="5"/>
      <c r="F582" s="5"/>
    </row>
    <row r="583" spans="1:6" ht="15.75" customHeight="1">
      <c r="A583" s="5"/>
      <c r="B583" s="5"/>
      <c r="C583" s="5"/>
      <c r="D583" s="5"/>
      <c r="E583" s="5"/>
      <c r="F583" s="5"/>
    </row>
    <row r="584" spans="1:6" ht="15.75" customHeight="1">
      <c r="A584" s="5"/>
      <c r="B584" s="5"/>
      <c r="C584" s="5"/>
      <c r="D584" s="5"/>
      <c r="E584" s="5"/>
      <c r="F584" s="5"/>
    </row>
    <row r="585" spans="1:6" ht="15.75" customHeight="1">
      <c r="A585" s="5"/>
      <c r="B585" s="5"/>
      <c r="C585" s="5"/>
      <c r="D585" s="5"/>
      <c r="E585" s="5"/>
      <c r="F585" s="5"/>
    </row>
    <row r="586" spans="1:6" ht="15.75" customHeight="1">
      <c r="A586" s="5"/>
      <c r="B586" s="5"/>
      <c r="C586" s="5"/>
      <c r="D586" s="5"/>
      <c r="E586" s="5"/>
      <c r="F586" s="5"/>
    </row>
    <row r="587" spans="1:6" ht="15.75" customHeight="1">
      <c r="A587" s="5"/>
      <c r="B587" s="5"/>
      <c r="C587" s="5"/>
      <c r="D587" s="5"/>
      <c r="E587" s="5"/>
      <c r="F587" s="5"/>
    </row>
    <row r="588" spans="1:6" ht="15.75" customHeight="1">
      <c r="A588" s="5"/>
      <c r="B588" s="5"/>
      <c r="C588" s="5"/>
      <c r="D588" s="5"/>
      <c r="E588" s="5"/>
      <c r="F588" s="5"/>
    </row>
    <row r="589" spans="1:6" ht="15.75" customHeight="1">
      <c r="A589" s="5"/>
      <c r="B589" s="5"/>
      <c r="C589" s="5"/>
      <c r="D589" s="5"/>
      <c r="E589" s="5"/>
      <c r="F589" s="5"/>
    </row>
    <row r="590" spans="1:6" ht="15.75" customHeight="1">
      <c r="A590" s="5"/>
      <c r="B590" s="5"/>
      <c r="C590" s="5"/>
      <c r="D590" s="5"/>
      <c r="E590" s="5"/>
      <c r="F590" s="5"/>
    </row>
    <row r="591" spans="1:6" ht="15.75" customHeight="1">
      <c r="A591" s="5"/>
      <c r="B591" s="5"/>
      <c r="C591" s="5"/>
      <c r="D591" s="5"/>
      <c r="E591" s="5"/>
      <c r="F591" s="5"/>
    </row>
    <row r="592" spans="1:6" ht="15.75" customHeight="1">
      <c r="A592" s="5"/>
      <c r="B592" s="5"/>
      <c r="C592" s="5"/>
      <c r="D592" s="5"/>
      <c r="E592" s="5"/>
      <c r="F592" s="5"/>
    </row>
    <row r="593" spans="1:6" ht="15.75" customHeight="1">
      <c r="A593" s="5"/>
      <c r="B593" s="5"/>
      <c r="C593" s="5"/>
      <c r="D593" s="5"/>
      <c r="E593" s="5"/>
      <c r="F593" s="5"/>
    </row>
    <row r="594" spans="1:6" ht="15.75" customHeight="1">
      <c r="A594" s="5"/>
      <c r="B594" s="5"/>
      <c r="C594" s="5"/>
      <c r="D594" s="5"/>
      <c r="E594" s="5"/>
      <c r="F594" s="5"/>
    </row>
    <row r="595" spans="1:6" ht="15.75" customHeight="1">
      <c r="A595" s="5"/>
      <c r="B595" s="5"/>
      <c r="C595" s="5"/>
      <c r="D595" s="5"/>
      <c r="E595" s="5"/>
      <c r="F595" s="5"/>
    </row>
    <row r="596" spans="1:6" ht="15.75" customHeight="1">
      <c r="A596" s="5"/>
      <c r="B596" s="5"/>
      <c r="C596" s="5"/>
      <c r="D596" s="5"/>
      <c r="E596" s="5"/>
      <c r="F596" s="5"/>
    </row>
    <row r="597" spans="1:6" ht="15.75" customHeight="1">
      <c r="A597" s="5"/>
      <c r="B597" s="5"/>
      <c r="C597" s="5"/>
      <c r="D597" s="5"/>
      <c r="E597" s="5"/>
      <c r="F597" s="5"/>
    </row>
    <row r="598" spans="1:6" ht="15.75" customHeight="1">
      <c r="A598" s="5"/>
      <c r="B598" s="5"/>
      <c r="C598" s="5"/>
      <c r="D598" s="5"/>
      <c r="E598" s="5"/>
      <c r="F598" s="5"/>
    </row>
    <row r="599" spans="1:6" ht="15.75" customHeight="1">
      <c r="A599" s="5"/>
      <c r="B599" s="5"/>
      <c r="C599" s="5"/>
      <c r="D599" s="5"/>
      <c r="E599" s="5"/>
      <c r="F599" s="5"/>
    </row>
    <row r="600" spans="1:6" ht="15.75" customHeight="1">
      <c r="A600" s="5"/>
      <c r="B600" s="5"/>
      <c r="C600" s="5"/>
      <c r="D600" s="5"/>
      <c r="E600" s="5"/>
      <c r="F600" s="5"/>
    </row>
    <row r="601" spans="1:6" ht="15.75" customHeight="1">
      <c r="A601" s="5"/>
      <c r="B601" s="5"/>
      <c r="C601" s="5"/>
      <c r="D601" s="5"/>
      <c r="E601" s="5"/>
      <c r="F601" s="5"/>
    </row>
    <row r="602" spans="1:6" ht="15.75" customHeight="1">
      <c r="A602" s="5"/>
      <c r="B602" s="5"/>
      <c r="C602" s="5"/>
      <c r="D602" s="5"/>
      <c r="E602" s="5"/>
      <c r="F602" s="5"/>
    </row>
    <row r="603" spans="1:6" ht="15.75" customHeight="1">
      <c r="A603" s="5"/>
      <c r="B603" s="5"/>
      <c r="C603" s="5"/>
      <c r="D603" s="5"/>
      <c r="E603" s="5"/>
      <c r="F603" s="5"/>
    </row>
    <row r="604" spans="1:6" ht="15.75" customHeight="1">
      <c r="A604" s="5"/>
      <c r="B604" s="5"/>
      <c r="C604" s="5"/>
      <c r="D604" s="5"/>
      <c r="E604" s="5"/>
      <c r="F604" s="5"/>
    </row>
    <row r="605" spans="1:6" ht="15.75" customHeight="1">
      <c r="A605" s="5"/>
      <c r="B605" s="5"/>
      <c r="C605" s="5"/>
      <c r="D605" s="5"/>
      <c r="E605" s="5"/>
      <c r="F605" s="5"/>
    </row>
    <row r="606" spans="1:6" ht="15.75" customHeight="1">
      <c r="A606" s="5"/>
      <c r="B606" s="5"/>
      <c r="C606" s="5"/>
      <c r="D606" s="5"/>
      <c r="E606" s="5"/>
      <c r="F606" s="5"/>
    </row>
    <row r="607" spans="1:6" ht="15.75" customHeight="1">
      <c r="A607" s="5"/>
      <c r="B607" s="5"/>
      <c r="C607" s="5"/>
      <c r="D607" s="5"/>
      <c r="E607" s="5"/>
      <c r="F607" s="5"/>
    </row>
    <row r="608" spans="1:6" ht="15.75" customHeight="1">
      <c r="A608" s="5"/>
      <c r="B608" s="5"/>
      <c r="C608" s="5"/>
      <c r="D608" s="5"/>
      <c r="E608" s="5"/>
      <c r="F608" s="5"/>
    </row>
    <row r="609" spans="1:6" ht="15.75" customHeight="1">
      <c r="A609" s="5"/>
      <c r="B609" s="5"/>
      <c r="C609" s="5"/>
      <c r="D609" s="5"/>
      <c r="E609" s="5"/>
      <c r="F609" s="5"/>
    </row>
    <row r="610" spans="1:6" ht="15.75" customHeight="1">
      <c r="A610" s="5"/>
      <c r="B610" s="5"/>
      <c r="C610" s="5"/>
      <c r="D610" s="5"/>
      <c r="E610" s="5"/>
      <c r="F610" s="5"/>
    </row>
    <row r="611" spans="1:6" ht="15.75" customHeight="1">
      <c r="A611" s="5"/>
      <c r="B611" s="5"/>
      <c r="C611" s="5"/>
      <c r="D611" s="5"/>
      <c r="E611" s="5"/>
      <c r="F611" s="5"/>
    </row>
    <row r="612" spans="1:6" ht="15.75" customHeight="1">
      <c r="A612" s="5"/>
      <c r="B612" s="5"/>
      <c r="C612" s="5"/>
      <c r="D612" s="5"/>
      <c r="E612" s="5"/>
      <c r="F612" s="5"/>
    </row>
    <row r="613" spans="1:6" ht="15.75" customHeight="1">
      <c r="A613" s="5"/>
      <c r="B613" s="5"/>
      <c r="C613" s="5"/>
      <c r="D613" s="5"/>
      <c r="E613" s="5"/>
      <c r="F613" s="5"/>
    </row>
    <row r="614" spans="1:6" ht="15.75" customHeight="1">
      <c r="A614" s="5"/>
      <c r="B614" s="5"/>
      <c r="C614" s="5"/>
      <c r="D614" s="5"/>
      <c r="E614" s="5"/>
      <c r="F614" s="5"/>
    </row>
    <row r="615" spans="1:6" ht="15.75" customHeight="1">
      <c r="A615" s="5"/>
      <c r="B615" s="5"/>
      <c r="C615" s="5"/>
      <c r="D615" s="5"/>
      <c r="E615" s="5"/>
      <c r="F615" s="5"/>
    </row>
    <row r="616" spans="1:6" ht="15.75" customHeight="1">
      <c r="A616" s="5"/>
      <c r="B616" s="5"/>
      <c r="C616" s="5"/>
      <c r="D616" s="5"/>
      <c r="E616" s="5"/>
      <c r="F616" s="5"/>
    </row>
    <row r="617" spans="1:6" ht="15.75" customHeight="1">
      <c r="A617" s="5"/>
      <c r="B617" s="5"/>
      <c r="C617" s="5"/>
      <c r="D617" s="5"/>
      <c r="E617" s="5"/>
      <c r="F617" s="5"/>
    </row>
    <row r="618" spans="1:6" ht="15.75" customHeight="1">
      <c r="A618" s="5"/>
      <c r="B618" s="5"/>
      <c r="C618" s="5"/>
      <c r="D618" s="5"/>
      <c r="E618" s="5"/>
      <c r="F618" s="5"/>
    </row>
    <row r="619" spans="1:6" ht="15.75" customHeight="1">
      <c r="A619" s="5"/>
      <c r="B619" s="5"/>
      <c r="C619" s="5"/>
      <c r="D619" s="5"/>
      <c r="E619" s="5"/>
      <c r="F619" s="5"/>
    </row>
    <row r="620" spans="1:6" ht="15.75" customHeight="1">
      <c r="A620" s="5"/>
      <c r="B620" s="5"/>
      <c r="C620" s="5"/>
      <c r="D620" s="5"/>
      <c r="E620" s="5"/>
      <c r="F620" s="5"/>
    </row>
    <row r="621" spans="1:6" ht="15.75" customHeight="1">
      <c r="A621" s="5"/>
      <c r="B621" s="5"/>
      <c r="C621" s="5"/>
      <c r="D621" s="5"/>
      <c r="E621" s="5"/>
      <c r="F621" s="5"/>
    </row>
    <row r="622" spans="1:6" ht="15.75" customHeight="1">
      <c r="A622" s="5"/>
      <c r="B622" s="5"/>
      <c r="C622" s="5"/>
      <c r="D622" s="5"/>
      <c r="E622" s="5"/>
      <c r="F622" s="5"/>
    </row>
    <row r="623" spans="1:6" ht="15.75" customHeight="1">
      <c r="A623" s="5"/>
      <c r="B623" s="5"/>
      <c r="C623" s="5"/>
      <c r="D623" s="5"/>
      <c r="E623" s="5"/>
      <c r="F623" s="5"/>
    </row>
    <row r="624" spans="1:6" ht="15.75" customHeight="1">
      <c r="A624" s="5"/>
      <c r="B624" s="5"/>
      <c r="C624" s="5"/>
      <c r="D624" s="5"/>
      <c r="E624" s="5"/>
      <c r="F624" s="5"/>
    </row>
    <row r="625" spans="1:6" ht="15.75" customHeight="1">
      <c r="A625" s="5"/>
      <c r="B625" s="5"/>
      <c r="C625" s="5"/>
      <c r="D625" s="5"/>
      <c r="E625" s="5"/>
      <c r="F625" s="5"/>
    </row>
    <row r="626" spans="1:6" ht="15.75" customHeight="1">
      <c r="A626" s="5"/>
      <c r="B626" s="5"/>
      <c r="C626" s="5"/>
      <c r="D626" s="5"/>
      <c r="E626" s="5"/>
      <c r="F626" s="5"/>
    </row>
    <row r="627" spans="1:6" ht="15.75" customHeight="1">
      <c r="A627" s="5"/>
      <c r="B627" s="5"/>
      <c r="C627" s="5"/>
      <c r="D627" s="5"/>
      <c r="E627" s="5"/>
      <c r="F627" s="5"/>
    </row>
    <row r="628" spans="1:6" ht="15.75" customHeight="1">
      <c r="A628" s="5"/>
      <c r="B628" s="5"/>
      <c r="C628" s="5"/>
      <c r="D628" s="5"/>
      <c r="E628" s="5"/>
      <c r="F628" s="5"/>
    </row>
    <row r="629" spans="1:6" ht="15.75" customHeight="1">
      <c r="A629" s="5"/>
      <c r="B629" s="5"/>
      <c r="C629" s="5"/>
      <c r="D629" s="5"/>
      <c r="E629" s="5"/>
      <c r="F629" s="5"/>
    </row>
    <row r="630" spans="1:6" ht="15.75" customHeight="1">
      <c r="A630" s="5"/>
      <c r="B630" s="5"/>
      <c r="C630" s="5"/>
      <c r="D630" s="5"/>
      <c r="E630" s="5"/>
      <c r="F630" s="5"/>
    </row>
    <row r="631" spans="1:6" ht="15.75" customHeight="1">
      <c r="A631" s="5"/>
      <c r="B631" s="5"/>
      <c r="C631" s="5"/>
      <c r="D631" s="5"/>
      <c r="E631" s="5"/>
      <c r="F631" s="5"/>
    </row>
    <row r="632" spans="1:6" ht="15.75" customHeight="1">
      <c r="A632" s="5"/>
      <c r="B632" s="5"/>
      <c r="C632" s="5"/>
      <c r="D632" s="5"/>
      <c r="E632" s="5"/>
      <c r="F632" s="5"/>
    </row>
    <row r="633" spans="1:6" ht="15.75" customHeight="1">
      <c r="A633" s="5"/>
      <c r="B633" s="5"/>
      <c r="C633" s="5"/>
      <c r="D633" s="5"/>
      <c r="E633" s="5"/>
      <c r="F633" s="5"/>
    </row>
    <row r="634" spans="1:6" ht="15.75" customHeight="1">
      <c r="A634" s="5"/>
      <c r="B634" s="5"/>
      <c r="C634" s="5"/>
      <c r="D634" s="5"/>
      <c r="E634" s="5"/>
      <c r="F634" s="5"/>
    </row>
    <row r="635" spans="1:6" ht="15.75" customHeight="1">
      <c r="A635" s="5"/>
      <c r="B635" s="5"/>
      <c r="C635" s="5"/>
      <c r="D635" s="5"/>
      <c r="E635" s="5"/>
      <c r="F635" s="5"/>
    </row>
    <row r="636" spans="1:6" ht="15.75" customHeight="1">
      <c r="A636" s="5"/>
      <c r="B636" s="5"/>
      <c r="C636" s="5"/>
      <c r="D636" s="5"/>
      <c r="E636" s="5"/>
      <c r="F636" s="5"/>
    </row>
    <row r="637" spans="1:6" ht="15.75" customHeight="1">
      <c r="A637" s="5"/>
      <c r="B637" s="5"/>
      <c r="C637" s="5"/>
      <c r="D637" s="5"/>
      <c r="E637" s="5"/>
      <c r="F637" s="5"/>
    </row>
    <row r="638" spans="1:6" ht="15.75" customHeight="1">
      <c r="A638" s="5"/>
      <c r="B638" s="5"/>
      <c r="C638" s="5"/>
      <c r="D638" s="5"/>
      <c r="E638" s="5"/>
      <c r="F638" s="5"/>
    </row>
    <row r="639" spans="1:6" ht="15.75" customHeight="1">
      <c r="A639" s="5"/>
      <c r="B639" s="5"/>
      <c r="C639" s="5"/>
      <c r="D639" s="5"/>
      <c r="E639" s="5"/>
      <c r="F639" s="5"/>
    </row>
    <row r="640" spans="1:6" ht="15.75" customHeight="1">
      <c r="A640" s="5"/>
      <c r="B640" s="5"/>
      <c r="C640" s="5"/>
      <c r="D640" s="5"/>
      <c r="E640" s="5"/>
      <c r="F640" s="5"/>
    </row>
    <row r="641" spans="1:6" ht="15.75" customHeight="1">
      <c r="A641" s="5"/>
      <c r="B641" s="5"/>
      <c r="C641" s="5"/>
      <c r="D641" s="5"/>
      <c r="E641" s="5"/>
      <c r="F641" s="5"/>
    </row>
    <row r="642" spans="1:6" ht="15.75" customHeight="1">
      <c r="A642" s="5"/>
      <c r="B642" s="5"/>
      <c r="C642" s="5"/>
      <c r="D642" s="5"/>
      <c r="E642" s="5"/>
      <c r="F642" s="5"/>
    </row>
    <row r="643" spans="1:6" ht="15.75" customHeight="1">
      <c r="A643" s="5"/>
      <c r="B643" s="5"/>
      <c r="C643" s="5"/>
      <c r="D643" s="5"/>
      <c r="E643" s="5"/>
      <c r="F643" s="5"/>
    </row>
    <row r="644" spans="1:6" ht="15.75" customHeight="1">
      <c r="A644" s="5"/>
      <c r="B644" s="5"/>
      <c r="C644" s="5"/>
      <c r="D644" s="5"/>
      <c r="E644" s="5"/>
      <c r="F644" s="5"/>
    </row>
    <row r="645" spans="1:6" ht="15.75" customHeight="1">
      <c r="A645" s="5"/>
      <c r="B645" s="5"/>
      <c r="C645" s="5"/>
      <c r="D645" s="5"/>
      <c r="E645" s="5"/>
      <c r="F645" s="5"/>
    </row>
    <row r="646" spans="1:6" ht="15.75" customHeight="1">
      <c r="A646" s="5"/>
      <c r="B646" s="5"/>
      <c r="C646" s="5"/>
      <c r="D646" s="5"/>
      <c r="E646" s="5"/>
      <c r="F646" s="5"/>
    </row>
    <row r="647" spans="1:6" ht="15.75" customHeight="1">
      <c r="A647" s="5"/>
      <c r="B647" s="5"/>
      <c r="C647" s="5"/>
      <c r="D647" s="5"/>
      <c r="E647" s="5"/>
      <c r="F647" s="5"/>
    </row>
    <row r="648" spans="1:6" ht="15.75" customHeight="1">
      <c r="A648" s="5"/>
      <c r="B648" s="5"/>
      <c r="C648" s="5"/>
      <c r="D648" s="5"/>
      <c r="E648" s="5"/>
      <c r="F648" s="5"/>
    </row>
    <row r="649" spans="1:6" ht="15.75" customHeight="1">
      <c r="A649" s="5"/>
      <c r="B649" s="5"/>
      <c r="C649" s="5"/>
      <c r="D649" s="5"/>
      <c r="E649" s="5"/>
      <c r="F649" s="5"/>
    </row>
    <row r="650" spans="1:6" ht="15.75" customHeight="1">
      <c r="A650" s="5"/>
      <c r="B650" s="5"/>
      <c r="C650" s="5"/>
      <c r="D650" s="5"/>
      <c r="E650" s="5"/>
      <c r="F650" s="5"/>
    </row>
    <row r="651" spans="1:6" ht="15.75" customHeight="1">
      <c r="A651" s="5"/>
      <c r="B651" s="5"/>
      <c r="C651" s="5"/>
      <c r="D651" s="5"/>
      <c r="E651" s="5"/>
      <c r="F651" s="5"/>
    </row>
    <row r="652" spans="1:6" ht="15.75" customHeight="1">
      <c r="A652" s="5"/>
      <c r="B652" s="5"/>
      <c r="C652" s="5"/>
      <c r="D652" s="5"/>
      <c r="E652" s="5"/>
      <c r="F652" s="5"/>
    </row>
    <row r="653" spans="1:6" ht="15.75" customHeight="1">
      <c r="A653" s="5"/>
      <c r="B653" s="5"/>
      <c r="C653" s="5"/>
      <c r="D653" s="5"/>
      <c r="E653" s="5"/>
      <c r="F653" s="5"/>
    </row>
    <row r="654" spans="1:6" ht="15.75" customHeight="1">
      <c r="A654" s="5"/>
      <c r="B654" s="5"/>
      <c r="C654" s="5"/>
      <c r="D654" s="5"/>
      <c r="E654" s="5"/>
      <c r="F654" s="5"/>
    </row>
    <row r="655" spans="1:6" ht="15.75" customHeight="1">
      <c r="A655" s="5"/>
      <c r="B655" s="5"/>
      <c r="C655" s="5"/>
      <c r="D655" s="5"/>
      <c r="E655" s="5"/>
      <c r="F655" s="5"/>
    </row>
    <row r="656" spans="1:6" ht="15.75" customHeight="1">
      <c r="A656" s="5"/>
      <c r="B656" s="5"/>
      <c r="C656" s="5"/>
      <c r="D656" s="5"/>
      <c r="E656" s="5"/>
      <c r="F656" s="5"/>
    </row>
    <row r="657" spans="1:6" ht="15.75" customHeight="1">
      <c r="A657" s="5"/>
      <c r="B657" s="5"/>
      <c r="C657" s="5"/>
      <c r="D657" s="5"/>
      <c r="E657" s="5"/>
      <c r="F657" s="5"/>
    </row>
    <row r="658" spans="1:6" ht="15.75" customHeight="1">
      <c r="A658" s="5"/>
      <c r="B658" s="5"/>
      <c r="C658" s="5"/>
      <c r="D658" s="5"/>
      <c r="E658" s="5"/>
      <c r="F658" s="5"/>
    </row>
    <row r="659" spans="1:6" ht="15.75" customHeight="1">
      <c r="A659" s="5"/>
      <c r="B659" s="5"/>
      <c r="C659" s="5"/>
      <c r="D659" s="5"/>
      <c r="E659" s="5"/>
      <c r="F659" s="5"/>
    </row>
    <row r="660" spans="1:6" ht="15.75" customHeight="1">
      <c r="A660" s="5"/>
      <c r="B660" s="5"/>
      <c r="C660" s="5"/>
      <c r="D660" s="5"/>
      <c r="E660" s="5"/>
      <c r="F660" s="5"/>
    </row>
    <row r="661" spans="1:6" ht="15.75" customHeight="1">
      <c r="A661" s="5"/>
      <c r="B661" s="5"/>
      <c r="C661" s="5"/>
      <c r="D661" s="5"/>
      <c r="E661" s="5"/>
      <c r="F661" s="5"/>
    </row>
    <row r="662" spans="1:6" ht="15.75" customHeight="1">
      <c r="A662" s="5"/>
      <c r="B662" s="5"/>
      <c r="C662" s="5"/>
      <c r="D662" s="5"/>
      <c r="E662" s="5"/>
      <c r="F662" s="5"/>
    </row>
    <row r="663" spans="1:6" ht="15.75" customHeight="1">
      <c r="A663" s="5"/>
      <c r="B663" s="5"/>
      <c r="C663" s="5"/>
      <c r="D663" s="5"/>
      <c r="E663" s="5"/>
      <c r="F663" s="5"/>
    </row>
    <row r="664" spans="1:6" ht="15.75" customHeight="1">
      <c r="A664" s="5"/>
      <c r="B664" s="5"/>
      <c r="C664" s="5"/>
      <c r="D664" s="5"/>
      <c r="E664" s="5"/>
      <c r="F664" s="5"/>
    </row>
    <row r="665" spans="1:6" ht="15.75" customHeight="1">
      <c r="A665" s="5"/>
      <c r="B665" s="5"/>
      <c r="C665" s="5"/>
      <c r="D665" s="5"/>
      <c r="E665" s="5"/>
      <c r="F665" s="5"/>
    </row>
    <row r="666" spans="1:6" ht="15.75" customHeight="1">
      <c r="A666" s="5"/>
      <c r="B666" s="5"/>
      <c r="C666" s="5"/>
      <c r="D666" s="5"/>
      <c r="E666" s="5"/>
      <c r="F666" s="5"/>
    </row>
    <row r="667" spans="1:6" ht="15.75" customHeight="1">
      <c r="A667" s="5"/>
      <c r="B667" s="5"/>
      <c r="C667" s="5"/>
      <c r="D667" s="5"/>
      <c r="E667" s="5"/>
      <c r="F667" s="5"/>
    </row>
    <row r="668" spans="1:6" ht="15.75" customHeight="1">
      <c r="A668" s="5"/>
      <c r="B668" s="5"/>
      <c r="C668" s="5"/>
      <c r="D668" s="5"/>
      <c r="E668" s="5"/>
      <c r="F668" s="5"/>
    </row>
    <row r="669" spans="1:6" ht="15.75" customHeight="1">
      <c r="A669" s="5"/>
      <c r="B669" s="5"/>
      <c r="C669" s="5"/>
      <c r="D669" s="5"/>
      <c r="E669" s="5"/>
      <c r="F669" s="5"/>
    </row>
    <row r="670" spans="1:6" ht="15.75" customHeight="1">
      <c r="A670" s="5"/>
      <c r="B670" s="5"/>
      <c r="C670" s="5"/>
      <c r="D670" s="5"/>
      <c r="E670" s="5"/>
      <c r="F670" s="5"/>
    </row>
    <row r="671" spans="1:6" ht="15.75" customHeight="1">
      <c r="A671" s="5"/>
      <c r="B671" s="5"/>
      <c r="C671" s="5"/>
      <c r="D671" s="5"/>
      <c r="E671" s="5"/>
      <c r="F671" s="5"/>
    </row>
    <row r="672" spans="1:6" ht="15.75" customHeight="1">
      <c r="A672" s="5"/>
      <c r="B672" s="5"/>
      <c r="C672" s="5"/>
      <c r="D672" s="5"/>
      <c r="E672" s="5"/>
      <c r="F672" s="5"/>
    </row>
    <row r="673" spans="1:6" ht="15.75" customHeight="1">
      <c r="A673" s="5"/>
      <c r="B673" s="5"/>
      <c r="C673" s="5"/>
      <c r="D673" s="5"/>
      <c r="E673" s="5"/>
      <c r="F673" s="5"/>
    </row>
    <row r="674" spans="1:6" ht="15.75" customHeight="1">
      <c r="A674" s="5"/>
      <c r="B674" s="5"/>
      <c r="C674" s="5"/>
      <c r="D674" s="5"/>
      <c r="E674" s="5"/>
      <c r="F674" s="5"/>
    </row>
    <row r="675" spans="1:6" ht="15.75" customHeight="1">
      <c r="A675" s="5"/>
      <c r="B675" s="5"/>
      <c r="C675" s="5"/>
      <c r="D675" s="5"/>
      <c r="E675" s="5"/>
      <c r="F675" s="5"/>
    </row>
    <row r="676" spans="1:6" ht="15.75" customHeight="1">
      <c r="A676" s="5"/>
      <c r="B676" s="5"/>
      <c r="C676" s="5"/>
      <c r="D676" s="5"/>
      <c r="E676" s="5"/>
      <c r="F676" s="5"/>
    </row>
    <row r="677" spans="1:6" ht="15.75" customHeight="1">
      <c r="A677" s="5"/>
      <c r="B677" s="5"/>
      <c r="C677" s="5"/>
      <c r="D677" s="5"/>
      <c r="E677" s="5"/>
      <c r="F677" s="5"/>
    </row>
    <row r="678" spans="1:6" ht="15.75" customHeight="1">
      <c r="A678" s="5"/>
      <c r="B678" s="5"/>
      <c r="C678" s="5"/>
      <c r="D678" s="5"/>
      <c r="E678" s="5"/>
      <c r="F678" s="5"/>
    </row>
    <row r="679" spans="1:6" ht="15.75" customHeight="1">
      <c r="A679" s="5"/>
      <c r="B679" s="5"/>
      <c r="C679" s="5"/>
      <c r="D679" s="5"/>
      <c r="E679" s="5"/>
      <c r="F679" s="5"/>
    </row>
    <row r="680" spans="1:6" ht="15.75" customHeight="1">
      <c r="A680" s="5"/>
      <c r="B680" s="5"/>
      <c r="C680" s="5"/>
      <c r="D680" s="5"/>
      <c r="E680" s="5"/>
      <c r="F680" s="5"/>
    </row>
    <row r="681" spans="1:6" ht="15.75" customHeight="1">
      <c r="A681" s="5"/>
      <c r="B681" s="5"/>
      <c r="C681" s="5"/>
      <c r="D681" s="5"/>
      <c r="E681" s="5"/>
      <c r="F681" s="5"/>
    </row>
    <row r="682" spans="1:6" ht="15.75" customHeight="1">
      <c r="A682" s="5"/>
      <c r="B682" s="5"/>
      <c r="C682" s="5"/>
      <c r="D682" s="5"/>
      <c r="E682" s="5"/>
      <c r="F682" s="5"/>
    </row>
    <row r="683" spans="1:6" ht="15.75" customHeight="1">
      <c r="A683" s="5"/>
      <c r="B683" s="5"/>
      <c r="C683" s="5"/>
      <c r="D683" s="5"/>
      <c r="E683" s="5"/>
      <c r="F683" s="5"/>
    </row>
    <row r="684" spans="1:6" ht="15.75" customHeight="1">
      <c r="A684" s="5"/>
      <c r="B684" s="5"/>
      <c r="C684" s="5"/>
      <c r="D684" s="5"/>
      <c r="E684" s="5"/>
      <c r="F684" s="5"/>
    </row>
    <row r="685" spans="1:6" ht="15.75" customHeight="1">
      <c r="A685" s="5"/>
      <c r="B685" s="5"/>
      <c r="C685" s="5"/>
      <c r="D685" s="5"/>
      <c r="E685" s="5"/>
      <c r="F685" s="5"/>
    </row>
    <row r="686" spans="1:6" ht="15.75" customHeight="1">
      <c r="A686" s="5"/>
      <c r="B686" s="5"/>
      <c r="C686" s="5"/>
      <c r="D686" s="5"/>
      <c r="E686" s="5"/>
      <c r="F686" s="5"/>
    </row>
    <row r="687" spans="1:6" ht="15.75" customHeight="1">
      <c r="A687" s="5"/>
      <c r="B687" s="5"/>
      <c r="C687" s="5"/>
      <c r="D687" s="5"/>
      <c r="E687" s="5"/>
      <c r="F687" s="5"/>
    </row>
    <row r="688" spans="1:6" ht="15.75" customHeight="1">
      <c r="A688" s="5"/>
      <c r="B688" s="5"/>
      <c r="C688" s="5"/>
      <c r="D688" s="5"/>
      <c r="E688" s="5"/>
      <c r="F688" s="5"/>
    </row>
    <row r="689" spans="1:6" ht="15.75" customHeight="1">
      <c r="A689" s="5"/>
      <c r="B689" s="5"/>
      <c r="C689" s="5"/>
      <c r="D689" s="5"/>
      <c r="E689" s="5"/>
      <c r="F689" s="5"/>
    </row>
    <row r="690" spans="1:6" ht="15.75" customHeight="1">
      <c r="A690" s="5"/>
      <c r="B690" s="5"/>
      <c r="C690" s="5"/>
      <c r="D690" s="5"/>
      <c r="E690" s="5"/>
      <c r="F690" s="5"/>
    </row>
    <row r="691" spans="1:6" ht="15.75" customHeight="1">
      <c r="A691" s="5"/>
      <c r="B691" s="5"/>
      <c r="C691" s="5"/>
      <c r="D691" s="5"/>
      <c r="E691" s="5"/>
      <c r="F691" s="5"/>
    </row>
    <row r="692" spans="1:6" ht="15.75" customHeight="1">
      <c r="A692" s="5"/>
      <c r="B692" s="5"/>
      <c r="C692" s="5"/>
      <c r="D692" s="5"/>
      <c r="E692" s="5"/>
      <c r="F692" s="5"/>
    </row>
    <row r="693" spans="1:6" ht="15.75" customHeight="1">
      <c r="A693" s="5"/>
      <c r="B693" s="5"/>
      <c r="C693" s="5"/>
      <c r="D693" s="5"/>
      <c r="E693" s="5"/>
      <c r="F693" s="5"/>
    </row>
    <row r="694" spans="1:6" ht="15.75" customHeight="1">
      <c r="A694" s="5"/>
      <c r="B694" s="5"/>
      <c r="C694" s="5"/>
      <c r="D694" s="5"/>
      <c r="E694" s="5"/>
      <c r="F694" s="5"/>
    </row>
    <row r="695" spans="1:6" ht="15.75" customHeight="1">
      <c r="A695" s="5"/>
      <c r="B695" s="5"/>
      <c r="C695" s="5"/>
      <c r="D695" s="5"/>
      <c r="E695" s="5"/>
      <c r="F695" s="5"/>
    </row>
    <row r="696" spans="1:6" ht="15.75" customHeight="1">
      <c r="A696" s="5"/>
      <c r="B696" s="5"/>
      <c r="C696" s="5"/>
      <c r="D696" s="5"/>
      <c r="E696" s="5"/>
      <c r="F696" s="5"/>
    </row>
    <row r="697" spans="1:6" ht="15.75" customHeight="1">
      <c r="A697" s="5"/>
      <c r="B697" s="5"/>
      <c r="C697" s="5"/>
      <c r="D697" s="5"/>
      <c r="E697" s="5"/>
      <c r="F697" s="5"/>
    </row>
    <row r="698" spans="1:6" ht="15.75" customHeight="1">
      <c r="A698" s="5"/>
      <c r="B698" s="5"/>
      <c r="C698" s="5"/>
      <c r="D698" s="5"/>
      <c r="E698" s="5"/>
      <c r="F698" s="5"/>
    </row>
    <row r="699" spans="1:6" ht="15.75" customHeight="1">
      <c r="A699" s="5"/>
      <c r="B699" s="5"/>
      <c r="C699" s="5"/>
      <c r="D699" s="5"/>
      <c r="E699" s="5"/>
      <c r="F699" s="5"/>
    </row>
    <row r="700" spans="1:6" ht="15.75" customHeight="1">
      <c r="A700" s="5"/>
      <c r="B700" s="5"/>
      <c r="C700" s="5"/>
      <c r="D700" s="5"/>
      <c r="E700" s="5"/>
      <c r="F700" s="5"/>
    </row>
    <row r="701" spans="1:6" ht="15.75" customHeight="1">
      <c r="A701" s="5"/>
      <c r="B701" s="5"/>
      <c r="C701" s="5"/>
      <c r="D701" s="5"/>
      <c r="E701" s="5"/>
      <c r="F701" s="5"/>
    </row>
    <row r="702" spans="1:6" ht="15.75" customHeight="1">
      <c r="A702" s="5"/>
      <c r="B702" s="5"/>
      <c r="C702" s="5"/>
      <c r="D702" s="5"/>
      <c r="E702" s="5"/>
      <c r="F702" s="5"/>
    </row>
    <row r="703" spans="1:6" ht="15.75" customHeight="1">
      <c r="A703" s="5"/>
      <c r="B703" s="5"/>
      <c r="C703" s="5"/>
      <c r="D703" s="5"/>
      <c r="E703" s="5"/>
      <c r="F703" s="5"/>
    </row>
    <row r="704" spans="1:6" ht="15.75" customHeight="1">
      <c r="A704" s="5"/>
      <c r="B704" s="5"/>
      <c r="C704" s="5"/>
      <c r="D704" s="5"/>
      <c r="E704" s="5"/>
      <c r="F704" s="5"/>
    </row>
    <row r="705" spans="1:6" ht="15.75" customHeight="1">
      <c r="A705" s="5"/>
      <c r="B705" s="5"/>
      <c r="C705" s="5"/>
      <c r="D705" s="5"/>
      <c r="E705" s="5"/>
      <c r="F705" s="5"/>
    </row>
    <row r="706" spans="1:6" ht="15.75" customHeight="1">
      <c r="A706" s="5"/>
      <c r="B706" s="5"/>
      <c r="C706" s="5"/>
      <c r="D706" s="5"/>
      <c r="E706" s="5"/>
      <c r="F706" s="5"/>
    </row>
    <row r="707" spans="1:6" ht="15.75" customHeight="1">
      <c r="A707" s="5"/>
      <c r="B707" s="5"/>
      <c r="C707" s="5"/>
      <c r="D707" s="5"/>
      <c r="E707" s="5"/>
      <c r="F707" s="5"/>
    </row>
    <row r="708" spans="1:6" ht="15.75" customHeight="1">
      <c r="A708" s="5"/>
      <c r="B708" s="5"/>
      <c r="C708" s="5"/>
      <c r="D708" s="5"/>
      <c r="E708" s="5"/>
      <c r="F708" s="5"/>
    </row>
    <row r="709" spans="1:6" ht="15.75" customHeight="1">
      <c r="A709" s="5"/>
      <c r="B709" s="5"/>
      <c r="C709" s="5"/>
      <c r="D709" s="5"/>
      <c r="E709" s="5"/>
      <c r="F709" s="5"/>
    </row>
    <row r="710" spans="1:6" ht="15.75" customHeight="1">
      <c r="A710" s="5"/>
      <c r="B710" s="5"/>
      <c r="C710" s="5"/>
      <c r="D710" s="5"/>
      <c r="E710" s="5"/>
      <c r="F710" s="5"/>
    </row>
    <row r="711" spans="1:6" ht="15.75" customHeight="1">
      <c r="A711" s="5"/>
      <c r="B711" s="5"/>
      <c r="C711" s="5"/>
      <c r="D711" s="5"/>
      <c r="E711" s="5"/>
      <c r="F711" s="5"/>
    </row>
    <row r="712" spans="1:6" ht="15.75" customHeight="1">
      <c r="A712" s="5"/>
      <c r="B712" s="5"/>
      <c r="C712" s="5"/>
      <c r="D712" s="5"/>
      <c r="E712" s="5"/>
      <c r="F712" s="5"/>
    </row>
    <row r="713" spans="1:6" ht="15.75" customHeight="1">
      <c r="A713" s="5"/>
      <c r="B713" s="5"/>
      <c r="C713" s="5"/>
      <c r="D713" s="5"/>
      <c r="E713" s="5"/>
      <c r="F713" s="5"/>
    </row>
    <row r="714" spans="1:6" ht="15.75" customHeight="1">
      <c r="A714" s="5"/>
      <c r="B714" s="5"/>
      <c r="C714" s="5"/>
      <c r="D714" s="5"/>
      <c r="E714" s="5"/>
      <c r="F714" s="5"/>
    </row>
    <row r="715" spans="1:6" ht="15.75" customHeight="1">
      <c r="A715" s="5"/>
      <c r="B715" s="5"/>
      <c r="C715" s="5"/>
      <c r="D715" s="5"/>
      <c r="E715" s="5"/>
      <c r="F715" s="5"/>
    </row>
    <row r="716" spans="1:6" ht="15.75" customHeight="1">
      <c r="A716" s="5"/>
      <c r="B716" s="5"/>
      <c r="C716" s="5"/>
      <c r="D716" s="5"/>
      <c r="E716" s="5"/>
      <c r="F716" s="5"/>
    </row>
    <row r="717" spans="1:6" ht="15.75" customHeight="1">
      <c r="A717" s="5"/>
      <c r="B717" s="5"/>
      <c r="C717" s="5"/>
      <c r="D717" s="5"/>
      <c r="E717" s="5"/>
      <c r="F717" s="5"/>
    </row>
    <row r="718" spans="1:6" ht="15.75" customHeight="1">
      <c r="A718" s="5"/>
      <c r="B718" s="5"/>
      <c r="C718" s="5"/>
      <c r="D718" s="5"/>
      <c r="E718" s="5"/>
      <c r="F718" s="5"/>
    </row>
    <row r="719" spans="1:6" ht="15.75" customHeight="1">
      <c r="A719" s="5"/>
      <c r="B719" s="5"/>
      <c r="C719" s="5"/>
      <c r="D719" s="5"/>
      <c r="E719" s="5"/>
      <c r="F719" s="5"/>
    </row>
    <row r="720" spans="1:6" ht="15.75" customHeight="1">
      <c r="A720" s="5"/>
      <c r="B720" s="5"/>
      <c r="C720" s="5"/>
      <c r="D720" s="5"/>
      <c r="E720" s="5"/>
      <c r="F720" s="5"/>
    </row>
    <row r="721" spans="1:6" ht="15.75" customHeight="1">
      <c r="A721" s="5"/>
      <c r="B721" s="5"/>
      <c r="C721" s="5"/>
      <c r="D721" s="5"/>
      <c r="E721" s="5"/>
      <c r="F721" s="5"/>
    </row>
    <row r="722" spans="1:6" ht="15.75" customHeight="1">
      <c r="A722" s="5"/>
      <c r="B722" s="5"/>
      <c r="C722" s="5"/>
      <c r="D722" s="5"/>
      <c r="E722" s="5"/>
      <c r="F722" s="5"/>
    </row>
    <row r="723" spans="1:6" ht="15.75" customHeight="1">
      <c r="A723" s="5"/>
      <c r="B723" s="5"/>
      <c r="C723" s="5"/>
      <c r="D723" s="5"/>
      <c r="E723" s="5"/>
      <c r="F723" s="5"/>
    </row>
    <row r="724" spans="1:6" ht="15.75" customHeight="1">
      <c r="A724" s="5"/>
      <c r="B724" s="5"/>
      <c r="C724" s="5"/>
      <c r="D724" s="5"/>
      <c r="E724" s="5"/>
      <c r="F724" s="5"/>
    </row>
    <row r="725" spans="1:6" ht="15.75" customHeight="1">
      <c r="A725" s="5"/>
      <c r="B725" s="5"/>
      <c r="C725" s="5"/>
      <c r="D725" s="5"/>
      <c r="E725" s="5"/>
      <c r="F725" s="5"/>
    </row>
    <row r="726" spans="1:6" ht="15.75" customHeight="1">
      <c r="A726" s="5"/>
      <c r="B726" s="5"/>
      <c r="C726" s="5"/>
      <c r="D726" s="5"/>
      <c r="E726" s="5"/>
      <c r="F726" s="5"/>
    </row>
    <row r="727" spans="1:6" ht="15.75" customHeight="1">
      <c r="A727" s="5"/>
      <c r="B727" s="5"/>
      <c r="C727" s="5"/>
      <c r="D727" s="5"/>
      <c r="E727" s="5"/>
      <c r="F727" s="5"/>
    </row>
    <row r="728" spans="1:6" ht="15.75" customHeight="1">
      <c r="A728" s="5"/>
      <c r="B728" s="5"/>
      <c r="C728" s="5"/>
      <c r="D728" s="5"/>
      <c r="E728" s="5"/>
      <c r="F728" s="5"/>
    </row>
    <row r="729" spans="1:6" ht="15.75" customHeight="1">
      <c r="A729" s="5"/>
      <c r="B729" s="5"/>
      <c r="C729" s="5"/>
      <c r="D729" s="5"/>
      <c r="E729" s="5"/>
      <c r="F729" s="5"/>
    </row>
    <row r="730" spans="1:6" ht="15.75" customHeight="1">
      <c r="A730" s="5"/>
      <c r="B730" s="5"/>
      <c r="C730" s="5"/>
      <c r="D730" s="5"/>
      <c r="E730" s="5"/>
      <c r="F730" s="5"/>
    </row>
    <row r="731" spans="1:6" ht="15.75" customHeight="1">
      <c r="A731" s="5"/>
      <c r="B731" s="5"/>
      <c r="C731" s="5"/>
      <c r="D731" s="5"/>
      <c r="E731" s="5"/>
      <c r="F731" s="5"/>
    </row>
    <row r="732" spans="1:6" ht="15.75" customHeight="1">
      <c r="A732" s="5"/>
      <c r="B732" s="5"/>
      <c r="C732" s="5"/>
      <c r="D732" s="5"/>
      <c r="E732" s="5"/>
      <c r="F732" s="5"/>
    </row>
    <row r="733" spans="1:6" ht="15.75" customHeight="1">
      <c r="A733" s="5"/>
      <c r="B733" s="5"/>
      <c r="C733" s="5"/>
      <c r="D733" s="5"/>
      <c r="E733" s="5"/>
      <c r="F733" s="5"/>
    </row>
    <row r="734" spans="1:6" ht="15.75" customHeight="1">
      <c r="A734" s="5"/>
      <c r="B734" s="5"/>
      <c r="C734" s="5"/>
      <c r="D734" s="5"/>
      <c r="E734" s="5"/>
      <c r="F734" s="5"/>
    </row>
    <row r="735" spans="1:6" ht="15.75" customHeight="1">
      <c r="A735" s="5"/>
      <c r="B735" s="5"/>
      <c r="C735" s="5"/>
      <c r="D735" s="5"/>
      <c r="E735" s="5"/>
      <c r="F735" s="5"/>
    </row>
    <row r="736" spans="1:6" ht="15.75" customHeight="1">
      <c r="A736" s="5"/>
      <c r="B736" s="5"/>
      <c r="C736" s="5"/>
      <c r="D736" s="5"/>
      <c r="E736" s="5"/>
      <c r="F736" s="5"/>
    </row>
    <row r="737" spans="1:6" ht="15.75" customHeight="1">
      <c r="A737" s="5"/>
      <c r="B737" s="5"/>
      <c r="C737" s="5"/>
      <c r="D737" s="5"/>
      <c r="E737" s="5"/>
      <c r="F737" s="5"/>
    </row>
    <row r="738" spans="1:6" ht="15.75" customHeight="1">
      <c r="A738" s="5"/>
      <c r="B738" s="5"/>
      <c r="C738" s="5"/>
      <c r="D738" s="5"/>
      <c r="E738" s="5"/>
      <c r="F738" s="5"/>
    </row>
    <row r="739" spans="1:6" ht="15.75" customHeight="1">
      <c r="A739" s="5"/>
      <c r="B739" s="5"/>
      <c r="C739" s="5"/>
      <c r="D739" s="5"/>
      <c r="E739" s="5"/>
      <c r="F739" s="5"/>
    </row>
    <row r="740" spans="1:6" ht="15.75" customHeight="1">
      <c r="A740" s="5"/>
      <c r="B740" s="5"/>
      <c r="C740" s="5"/>
      <c r="D740" s="5"/>
      <c r="E740" s="5"/>
      <c r="F740" s="5"/>
    </row>
    <row r="741" spans="1:6" ht="15.75" customHeight="1">
      <c r="A741" s="5"/>
      <c r="B741" s="5"/>
      <c r="C741" s="5"/>
      <c r="D741" s="5"/>
      <c r="E741" s="5"/>
      <c r="F741" s="5"/>
    </row>
    <row r="742" spans="1:6" ht="15.75" customHeight="1">
      <c r="A742" s="5"/>
      <c r="B742" s="5"/>
      <c r="C742" s="5"/>
      <c r="D742" s="5"/>
      <c r="E742" s="5"/>
      <c r="F742" s="5"/>
    </row>
    <row r="743" spans="1:6" ht="15.75" customHeight="1">
      <c r="A743" s="5"/>
      <c r="B743" s="5"/>
      <c r="C743" s="5"/>
      <c r="D743" s="5"/>
      <c r="E743" s="5"/>
      <c r="F743" s="5"/>
    </row>
    <row r="744" spans="1:6" ht="15.75" customHeight="1">
      <c r="A744" s="5"/>
      <c r="B744" s="5"/>
      <c r="C744" s="5"/>
      <c r="D744" s="5"/>
      <c r="E744" s="5"/>
      <c r="F744" s="5"/>
    </row>
    <row r="745" spans="1:6" ht="15.75" customHeight="1">
      <c r="A745" s="5"/>
      <c r="B745" s="5"/>
      <c r="C745" s="5"/>
      <c r="D745" s="5"/>
      <c r="E745" s="5"/>
      <c r="F745" s="5"/>
    </row>
    <row r="746" spans="1:6" ht="15.75" customHeight="1">
      <c r="A746" s="5"/>
      <c r="B746" s="5"/>
      <c r="C746" s="5"/>
      <c r="D746" s="5"/>
      <c r="E746" s="5"/>
      <c r="F746" s="5"/>
    </row>
    <row r="747" spans="1:6" ht="15.75" customHeight="1">
      <c r="A747" s="5"/>
      <c r="B747" s="5"/>
      <c r="C747" s="5"/>
      <c r="D747" s="5"/>
      <c r="E747" s="5"/>
      <c r="F747" s="5"/>
    </row>
    <row r="748" spans="1:6" ht="15.75" customHeight="1">
      <c r="A748" s="5"/>
      <c r="B748" s="5"/>
      <c r="C748" s="5"/>
      <c r="D748" s="5"/>
      <c r="E748" s="5"/>
      <c r="F748" s="5"/>
    </row>
    <row r="749" spans="1:6" ht="15.75" customHeight="1">
      <c r="A749" s="5"/>
      <c r="B749" s="5"/>
      <c r="C749" s="5"/>
      <c r="D749" s="5"/>
      <c r="E749" s="5"/>
      <c r="F749" s="5"/>
    </row>
    <row r="750" spans="1:6" ht="15.75" customHeight="1">
      <c r="A750" s="5"/>
      <c r="B750" s="5"/>
      <c r="C750" s="5"/>
      <c r="D750" s="5"/>
      <c r="E750" s="5"/>
      <c r="F750" s="5"/>
    </row>
    <row r="751" spans="1:6" ht="15.75" customHeight="1">
      <c r="A751" s="5"/>
      <c r="B751" s="5"/>
      <c r="C751" s="5"/>
      <c r="D751" s="5"/>
      <c r="E751" s="5"/>
      <c r="F751" s="5"/>
    </row>
    <row r="752" spans="1:6" ht="15.75" customHeight="1">
      <c r="A752" s="5"/>
      <c r="B752" s="5"/>
      <c r="C752" s="5"/>
      <c r="D752" s="5"/>
      <c r="E752" s="5"/>
      <c r="F752" s="5"/>
    </row>
    <row r="753" spans="1:6" ht="15.75" customHeight="1">
      <c r="A753" s="5"/>
      <c r="B753" s="5"/>
      <c r="C753" s="5"/>
      <c r="D753" s="5"/>
      <c r="E753" s="5"/>
      <c r="F753" s="5"/>
    </row>
    <row r="754" spans="1:6" ht="15.75" customHeight="1">
      <c r="A754" s="5"/>
      <c r="B754" s="5"/>
      <c r="C754" s="5"/>
      <c r="D754" s="5"/>
      <c r="E754" s="5"/>
      <c r="F754" s="5"/>
    </row>
    <row r="755" spans="1:6" ht="15.75" customHeight="1">
      <c r="A755" s="5"/>
      <c r="B755" s="5"/>
      <c r="C755" s="5"/>
      <c r="D755" s="5"/>
      <c r="E755" s="5"/>
      <c r="F755" s="5"/>
    </row>
    <row r="756" spans="1:6" ht="15.75" customHeight="1">
      <c r="A756" s="5"/>
      <c r="B756" s="5"/>
      <c r="C756" s="5"/>
      <c r="D756" s="5"/>
      <c r="E756" s="5"/>
      <c r="F756" s="5"/>
    </row>
    <row r="757" spans="1:6" ht="15.75" customHeight="1">
      <c r="A757" s="5"/>
      <c r="B757" s="5"/>
      <c r="C757" s="5"/>
      <c r="D757" s="5"/>
      <c r="E757" s="5"/>
      <c r="F757" s="5"/>
    </row>
    <row r="758" spans="1:6" ht="15.75" customHeight="1">
      <c r="A758" s="5"/>
      <c r="B758" s="5"/>
      <c r="C758" s="5"/>
      <c r="D758" s="5"/>
      <c r="E758" s="5"/>
      <c r="F758" s="5"/>
    </row>
    <row r="759" spans="1:6" ht="15.75" customHeight="1">
      <c r="A759" s="5"/>
      <c r="B759" s="5"/>
      <c r="C759" s="5"/>
      <c r="D759" s="5"/>
      <c r="E759" s="5"/>
      <c r="F759" s="5"/>
    </row>
    <row r="760" spans="1:6" ht="15.75" customHeight="1">
      <c r="A760" s="5"/>
      <c r="B760" s="5"/>
      <c r="C760" s="5"/>
      <c r="D760" s="5"/>
      <c r="E760" s="5"/>
      <c r="F760" s="5"/>
    </row>
    <row r="761" spans="1:6" ht="15.75" customHeight="1">
      <c r="A761" s="5"/>
      <c r="B761" s="5"/>
      <c r="C761" s="5"/>
      <c r="D761" s="5"/>
      <c r="E761" s="5"/>
      <c r="F761" s="5"/>
    </row>
    <row r="762" spans="1:6" ht="15.75" customHeight="1">
      <c r="A762" s="5"/>
      <c r="B762" s="5"/>
      <c r="C762" s="5"/>
      <c r="D762" s="5"/>
      <c r="E762" s="5"/>
      <c r="F762" s="5"/>
    </row>
    <row r="763" spans="1:6" ht="15.75" customHeight="1">
      <c r="A763" s="5"/>
      <c r="B763" s="5"/>
      <c r="C763" s="5"/>
      <c r="D763" s="5"/>
      <c r="E763" s="5"/>
      <c r="F763" s="5"/>
    </row>
    <row r="764" spans="1:6" ht="15.75" customHeight="1">
      <c r="A764" s="5"/>
      <c r="B764" s="5"/>
      <c r="C764" s="5"/>
      <c r="D764" s="5"/>
      <c r="E764" s="5"/>
      <c r="F764" s="5"/>
    </row>
    <row r="765" spans="1:6" ht="15.75" customHeight="1">
      <c r="A765" s="5"/>
      <c r="B765" s="5"/>
      <c r="C765" s="5"/>
      <c r="D765" s="5"/>
      <c r="E765" s="5"/>
      <c r="F765" s="5"/>
    </row>
    <row r="766" spans="1:6" ht="15.75" customHeight="1">
      <c r="A766" s="5"/>
      <c r="B766" s="5"/>
      <c r="C766" s="5"/>
      <c r="D766" s="5"/>
      <c r="E766" s="5"/>
      <c r="F766" s="5"/>
    </row>
    <row r="767" spans="1:6" ht="15.75" customHeight="1">
      <c r="A767" s="5"/>
      <c r="B767" s="5"/>
      <c r="C767" s="5"/>
      <c r="D767" s="5"/>
      <c r="E767" s="5"/>
      <c r="F767" s="5"/>
    </row>
    <row r="768" spans="1:6" ht="15.75" customHeight="1">
      <c r="A768" s="5"/>
      <c r="B768" s="5"/>
      <c r="C768" s="5"/>
      <c r="D768" s="5"/>
      <c r="E768" s="5"/>
      <c r="F768" s="5"/>
    </row>
    <row r="769" spans="1:6" ht="15.75" customHeight="1">
      <c r="A769" s="5"/>
      <c r="B769" s="5"/>
      <c r="C769" s="5"/>
      <c r="D769" s="5"/>
      <c r="E769" s="5"/>
      <c r="F769" s="5"/>
    </row>
    <row r="770" spans="1:6" ht="15.75" customHeight="1">
      <c r="A770" s="5"/>
      <c r="B770" s="5"/>
      <c r="C770" s="5"/>
      <c r="D770" s="5"/>
      <c r="E770" s="5"/>
      <c r="F770" s="5"/>
    </row>
    <row r="771" spans="1:6" ht="15.75" customHeight="1">
      <c r="A771" s="5"/>
      <c r="B771" s="5"/>
      <c r="C771" s="5"/>
      <c r="D771" s="5"/>
      <c r="E771" s="5"/>
      <c r="F771" s="5"/>
    </row>
    <row r="772" spans="1:6" ht="15.75" customHeight="1">
      <c r="A772" s="5"/>
      <c r="B772" s="5"/>
      <c r="C772" s="5"/>
      <c r="D772" s="5"/>
      <c r="E772" s="5"/>
      <c r="F772" s="5"/>
    </row>
    <row r="773" spans="1:6" ht="15.75" customHeight="1">
      <c r="A773" s="5"/>
      <c r="B773" s="5"/>
      <c r="C773" s="5"/>
      <c r="D773" s="5"/>
      <c r="E773" s="5"/>
      <c r="F773" s="5"/>
    </row>
    <row r="774" spans="1:6" ht="15.75" customHeight="1">
      <c r="A774" s="5"/>
      <c r="B774" s="5"/>
      <c r="C774" s="5"/>
      <c r="D774" s="5"/>
      <c r="E774" s="5"/>
      <c r="F774" s="5"/>
    </row>
    <row r="775" spans="1:6" ht="15.75" customHeight="1">
      <c r="A775" s="5"/>
      <c r="B775" s="5"/>
      <c r="C775" s="5"/>
      <c r="D775" s="5"/>
      <c r="E775" s="5"/>
      <c r="F775" s="5"/>
    </row>
    <row r="776" spans="1:6" ht="15.75" customHeight="1">
      <c r="A776" s="5"/>
      <c r="B776" s="5"/>
      <c r="C776" s="5"/>
      <c r="D776" s="5"/>
      <c r="E776" s="5"/>
      <c r="F776" s="5"/>
    </row>
    <row r="777" spans="1:6" ht="15.75" customHeight="1">
      <c r="A777" s="5"/>
      <c r="B777" s="5"/>
      <c r="C777" s="5"/>
      <c r="D777" s="5"/>
      <c r="E777" s="5"/>
      <c r="F777" s="5"/>
    </row>
    <row r="778" spans="1:6" ht="15.75" customHeight="1">
      <c r="A778" s="5"/>
      <c r="B778" s="5"/>
      <c r="C778" s="5"/>
      <c r="D778" s="5"/>
      <c r="E778" s="5"/>
      <c r="F778" s="5"/>
    </row>
    <row r="779" spans="1:6" ht="15.75" customHeight="1">
      <c r="A779" s="5"/>
      <c r="B779" s="5"/>
      <c r="C779" s="5"/>
      <c r="D779" s="5"/>
      <c r="E779" s="5"/>
      <c r="F779" s="5"/>
    </row>
    <row r="780" spans="1:6" ht="15.75" customHeight="1">
      <c r="A780" s="5"/>
      <c r="B780" s="5"/>
      <c r="C780" s="5"/>
      <c r="D780" s="5"/>
      <c r="E780" s="5"/>
      <c r="F780" s="5"/>
    </row>
    <row r="781" spans="1:6" ht="15.75" customHeight="1">
      <c r="A781" s="5"/>
      <c r="B781" s="5"/>
      <c r="C781" s="5"/>
      <c r="D781" s="5"/>
      <c r="E781" s="5"/>
      <c r="F781" s="5"/>
    </row>
    <row r="782" spans="1:6" ht="15.75" customHeight="1">
      <c r="A782" s="5"/>
      <c r="B782" s="5"/>
      <c r="C782" s="5"/>
      <c r="D782" s="5"/>
      <c r="E782" s="5"/>
      <c r="F782" s="5"/>
    </row>
    <row r="783" spans="1:6" ht="15.75" customHeight="1">
      <c r="A783" s="5"/>
      <c r="B783" s="5"/>
      <c r="C783" s="5"/>
      <c r="D783" s="5"/>
      <c r="E783" s="5"/>
      <c r="F783" s="5"/>
    </row>
    <row r="784" spans="1:6" ht="15.75" customHeight="1">
      <c r="A784" s="5"/>
      <c r="B784" s="5"/>
      <c r="C784" s="5"/>
      <c r="D784" s="5"/>
      <c r="E784" s="5"/>
      <c r="F784" s="5"/>
    </row>
    <row r="785" spans="1:6" ht="15.75" customHeight="1">
      <c r="A785" s="5"/>
      <c r="B785" s="5"/>
      <c r="C785" s="5"/>
      <c r="D785" s="5"/>
      <c r="E785" s="5"/>
      <c r="F785" s="5"/>
    </row>
    <row r="786" spans="1:6" ht="15.75" customHeight="1">
      <c r="A786" s="5"/>
      <c r="B786" s="5"/>
      <c r="C786" s="5"/>
      <c r="D786" s="5"/>
      <c r="E786" s="5"/>
      <c r="F786" s="5"/>
    </row>
    <row r="787" spans="1:6" ht="15.75" customHeight="1">
      <c r="A787" s="5"/>
      <c r="B787" s="5"/>
      <c r="C787" s="5"/>
      <c r="D787" s="5"/>
      <c r="E787" s="5"/>
      <c r="F787" s="5"/>
    </row>
    <row r="788" spans="1:6" ht="15.75" customHeight="1">
      <c r="A788" s="5"/>
      <c r="B788" s="5"/>
      <c r="C788" s="5"/>
      <c r="D788" s="5"/>
      <c r="E788" s="5"/>
      <c r="F788" s="5"/>
    </row>
    <row r="789" spans="1:6" ht="15.75" customHeight="1">
      <c r="A789" s="5"/>
      <c r="B789" s="5"/>
      <c r="C789" s="5"/>
      <c r="D789" s="5"/>
      <c r="E789" s="5"/>
      <c r="F789" s="5"/>
    </row>
    <row r="790" spans="1:6" ht="15.75" customHeight="1">
      <c r="A790" s="5"/>
      <c r="B790" s="5"/>
      <c r="C790" s="5"/>
      <c r="D790" s="5"/>
      <c r="E790" s="5"/>
      <c r="F790" s="5"/>
    </row>
    <row r="791" spans="1:6" ht="15.75" customHeight="1">
      <c r="A791" s="5"/>
      <c r="B791" s="5"/>
      <c r="C791" s="5"/>
      <c r="D791" s="5"/>
      <c r="E791" s="5"/>
      <c r="F791" s="5"/>
    </row>
    <row r="792" spans="1:6" ht="15.75" customHeight="1">
      <c r="A792" s="5"/>
      <c r="B792" s="5"/>
      <c r="C792" s="5"/>
      <c r="D792" s="5"/>
      <c r="E792" s="5"/>
      <c r="F792" s="5"/>
    </row>
    <row r="793" spans="1:6" ht="15.75" customHeight="1">
      <c r="A793" s="5"/>
      <c r="B793" s="5"/>
      <c r="C793" s="5"/>
      <c r="D793" s="5"/>
      <c r="E793" s="5"/>
      <c r="F793" s="5"/>
    </row>
    <row r="794" spans="1:6" ht="15.75" customHeight="1">
      <c r="A794" s="5"/>
      <c r="B794" s="5"/>
      <c r="C794" s="5"/>
      <c r="D794" s="5"/>
      <c r="E794" s="5"/>
      <c r="F794" s="5"/>
    </row>
    <row r="795" spans="1:6" ht="15.75" customHeight="1">
      <c r="A795" s="5"/>
      <c r="B795" s="5"/>
      <c r="C795" s="5"/>
      <c r="D795" s="5"/>
      <c r="E795" s="5"/>
      <c r="F795" s="5"/>
    </row>
    <row r="796" spans="1:6" ht="15.75" customHeight="1">
      <c r="A796" s="5"/>
      <c r="B796" s="5"/>
      <c r="C796" s="5"/>
      <c r="D796" s="5"/>
      <c r="E796" s="5"/>
      <c r="F796" s="5"/>
    </row>
    <row r="797" spans="1:6" ht="15.75" customHeight="1">
      <c r="A797" s="5"/>
      <c r="B797" s="5"/>
      <c r="C797" s="5"/>
      <c r="D797" s="5"/>
      <c r="E797" s="5"/>
      <c r="F797" s="5"/>
    </row>
    <row r="798" spans="1:6" ht="15.75" customHeight="1">
      <c r="A798" s="5"/>
      <c r="B798" s="5"/>
      <c r="C798" s="5"/>
      <c r="D798" s="5"/>
      <c r="E798" s="5"/>
      <c r="F798" s="5"/>
    </row>
    <row r="799" spans="1:6" ht="15.75" customHeight="1">
      <c r="A799" s="5"/>
      <c r="B799" s="5"/>
      <c r="C799" s="5"/>
      <c r="D799" s="5"/>
      <c r="E799" s="5"/>
      <c r="F799" s="5"/>
    </row>
    <row r="800" spans="1:6" ht="15.75" customHeight="1">
      <c r="A800" s="5"/>
      <c r="B800" s="5"/>
      <c r="C800" s="5"/>
      <c r="D800" s="5"/>
      <c r="E800" s="5"/>
      <c r="F800" s="5"/>
    </row>
    <row r="801" spans="1:6" ht="15.75" customHeight="1">
      <c r="A801" s="5"/>
      <c r="B801" s="5"/>
      <c r="C801" s="5"/>
      <c r="D801" s="5"/>
      <c r="E801" s="5"/>
      <c r="F801" s="5"/>
    </row>
    <row r="802" spans="1:6" ht="15.75" customHeight="1">
      <c r="A802" s="5"/>
      <c r="B802" s="5"/>
      <c r="C802" s="5"/>
      <c r="D802" s="5"/>
      <c r="E802" s="5"/>
      <c r="F802" s="5"/>
    </row>
    <row r="803" spans="1:6" ht="15.75" customHeight="1">
      <c r="A803" s="5"/>
      <c r="B803" s="5"/>
      <c r="C803" s="5"/>
      <c r="D803" s="5"/>
      <c r="E803" s="5"/>
      <c r="F803" s="5"/>
    </row>
    <row r="804" spans="1:6" ht="15.75" customHeight="1">
      <c r="A804" s="5"/>
      <c r="B804" s="5"/>
      <c r="C804" s="5"/>
      <c r="D804" s="5"/>
      <c r="E804" s="5"/>
      <c r="F804" s="5"/>
    </row>
    <row r="805" spans="1:6" ht="15.75" customHeight="1">
      <c r="A805" s="5"/>
      <c r="B805" s="5"/>
      <c r="C805" s="5"/>
      <c r="D805" s="5"/>
      <c r="E805" s="5"/>
      <c r="F805" s="5"/>
    </row>
    <row r="806" spans="1:6" ht="15.75" customHeight="1">
      <c r="A806" s="5"/>
      <c r="B806" s="5"/>
      <c r="C806" s="5"/>
      <c r="D806" s="5"/>
      <c r="E806" s="5"/>
      <c r="F806" s="5"/>
    </row>
    <row r="807" spans="1:6" ht="15.75" customHeight="1">
      <c r="A807" s="5"/>
      <c r="B807" s="5"/>
      <c r="C807" s="5"/>
      <c r="D807" s="5"/>
      <c r="E807" s="5"/>
      <c r="F807" s="5"/>
    </row>
    <row r="808" spans="1:6" ht="15.75" customHeight="1">
      <c r="A808" s="5"/>
      <c r="B808" s="5"/>
      <c r="C808" s="5"/>
      <c r="D808" s="5"/>
      <c r="E808" s="5"/>
      <c r="F808" s="5"/>
    </row>
    <row r="809" spans="1:6" ht="15.75" customHeight="1">
      <c r="A809" s="5"/>
      <c r="B809" s="5"/>
      <c r="C809" s="5"/>
      <c r="D809" s="5"/>
      <c r="E809" s="5"/>
      <c r="F809" s="5"/>
    </row>
    <row r="810" spans="1:6" ht="15.75" customHeight="1">
      <c r="A810" s="5"/>
      <c r="B810" s="5"/>
      <c r="C810" s="5"/>
      <c r="D810" s="5"/>
      <c r="E810" s="5"/>
      <c r="F810" s="5"/>
    </row>
    <row r="811" spans="1:6" ht="15.75" customHeight="1">
      <c r="A811" s="5"/>
      <c r="B811" s="5"/>
      <c r="C811" s="5"/>
      <c r="D811" s="5"/>
      <c r="E811" s="5"/>
      <c r="F811" s="5"/>
    </row>
    <row r="812" spans="1:6" ht="15.75" customHeight="1">
      <c r="A812" s="5"/>
      <c r="B812" s="5"/>
      <c r="C812" s="5"/>
      <c r="D812" s="5"/>
      <c r="E812" s="5"/>
      <c r="F812" s="5"/>
    </row>
    <row r="813" spans="1:6" ht="15.75" customHeight="1">
      <c r="A813" s="5"/>
      <c r="B813" s="5"/>
      <c r="C813" s="5"/>
      <c r="D813" s="5"/>
      <c r="E813" s="5"/>
      <c r="F813" s="5"/>
    </row>
    <row r="814" spans="1:6" ht="15.75" customHeight="1">
      <c r="A814" s="5"/>
      <c r="B814" s="5"/>
      <c r="C814" s="5"/>
      <c r="D814" s="5"/>
      <c r="E814" s="5"/>
      <c r="F814" s="5"/>
    </row>
    <row r="815" spans="1:6" ht="15.75" customHeight="1">
      <c r="A815" s="5"/>
      <c r="B815" s="5"/>
      <c r="C815" s="5"/>
      <c r="D815" s="5"/>
      <c r="E815" s="5"/>
      <c r="F815" s="5"/>
    </row>
    <row r="816" spans="1:6" ht="15.75" customHeight="1">
      <c r="A816" s="5"/>
      <c r="B816" s="5"/>
      <c r="C816" s="5"/>
      <c r="D816" s="5"/>
      <c r="E816" s="5"/>
      <c r="F816" s="5"/>
    </row>
    <row r="817" spans="1:6" ht="15.75" customHeight="1">
      <c r="A817" s="5"/>
      <c r="B817" s="5"/>
      <c r="C817" s="5"/>
      <c r="D817" s="5"/>
      <c r="E817" s="5"/>
      <c r="F817" s="5"/>
    </row>
    <row r="818" spans="1:6" ht="15.75" customHeight="1">
      <c r="A818" s="5"/>
      <c r="B818" s="5"/>
      <c r="C818" s="5"/>
      <c r="D818" s="5"/>
      <c r="E818" s="5"/>
      <c r="F818" s="5"/>
    </row>
    <row r="819" spans="1:6" ht="15.75" customHeight="1">
      <c r="A819" s="5"/>
      <c r="B819" s="5"/>
      <c r="C819" s="5"/>
      <c r="D819" s="5"/>
      <c r="E819" s="5"/>
      <c r="F819" s="5"/>
    </row>
    <row r="820" spans="1:6" ht="15.75" customHeight="1">
      <c r="A820" s="5"/>
      <c r="B820" s="5"/>
      <c r="C820" s="5"/>
      <c r="D820" s="5"/>
      <c r="E820" s="5"/>
      <c r="F820" s="5"/>
    </row>
    <row r="821" spans="1:6" ht="15.75" customHeight="1">
      <c r="A821" s="5"/>
      <c r="B821" s="5"/>
      <c r="C821" s="5"/>
      <c r="D821" s="5"/>
      <c r="E821" s="5"/>
      <c r="F821" s="5"/>
    </row>
    <row r="822" spans="1:6" ht="15.75" customHeight="1">
      <c r="A822" s="5"/>
      <c r="B822" s="5"/>
      <c r="C822" s="5"/>
      <c r="D822" s="5"/>
      <c r="E822" s="5"/>
      <c r="F822" s="5"/>
    </row>
    <row r="823" spans="1:6" ht="15.75" customHeight="1">
      <c r="A823" s="5"/>
      <c r="B823" s="5"/>
      <c r="C823" s="5"/>
      <c r="D823" s="5"/>
      <c r="E823" s="5"/>
      <c r="F823" s="5"/>
    </row>
    <row r="824" spans="1:6" ht="15.75" customHeight="1">
      <c r="A824" s="5"/>
      <c r="B824" s="5"/>
      <c r="C824" s="5"/>
      <c r="D824" s="5"/>
      <c r="E824" s="5"/>
      <c r="F824" s="5"/>
    </row>
    <row r="825" spans="1:6" ht="15.75" customHeight="1">
      <c r="A825" s="5"/>
      <c r="B825" s="5"/>
      <c r="C825" s="5"/>
      <c r="D825" s="5"/>
      <c r="E825" s="5"/>
      <c r="F825" s="5"/>
    </row>
    <row r="826" spans="1:6" ht="15.75" customHeight="1">
      <c r="A826" s="5"/>
      <c r="B826" s="5"/>
      <c r="C826" s="5"/>
      <c r="D826" s="5"/>
      <c r="E826" s="5"/>
      <c r="F826" s="5"/>
    </row>
    <row r="827" spans="1:6" ht="15.75" customHeight="1">
      <c r="A827" s="5"/>
      <c r="B827" s="5"/>
      <c r="C827" s="5"/>
      <c r="D827" s="5"/>
      <c r="E827" s="5"/>
      <c r="F827" s="5"/>
    </row>
    <row r="828" spans="1:6" ht="15.75" customHeight="1">
      <c r="A828" s="5"/>
      <c r="B828" s="5"/>
      <c r="C828" s="5"/>
      <c r="D828" s="5"/>
      <c r="E828" s="5"/>
      <c r="F828" s="5"/>
    </row>
    <row r="829" spans="1:6" ht="15.75" customHeight="1">
      <c r="A829" s="5"/>
      <c r="B829" s="5"/>
      <c r="C829" s="5"/>
      <c r="D829" s="5"/>
      <c r="E829" s="5"/>
      <c r="F829" s="5"/>
    </row>
    <row r="830" spans="1:6" ht="15.75" customHeight="1">
      <c r="A830" s="5"/>
      <c r="B830" s="5"/>
      <c r="C830" s="5"/>
      <c r="D830" s="5"/>
      <c r="E830" s="5"/>
      <c r="F830" s="5"/>
    </row>
    <row r="831" spans="1:6" ht="15.75" customHeight="1">
      <c r="A831" s="5"/>
      <c r="B831" s="5"/>
      <c r="C831" s="5"/>
      <c r="D831" s="5"/>
      <c r="E831" s="5"/>
      <c r="F831" s="5"/>
    </row>
    <row r="832" spans="1:6" ht="15.75" customHeight="1">
      <c r="A832" s="5"/>
      <c r="B832" s="5"/>
      <c r="C832" s="5"/>
      <c r="D832" s="5"/>
      <c r="E832" s="5"/>
      <c r="F832" s="5"/>
    </row>
    <row r="833" spans="1:6" ht="15.75" customHeight="1">
      <c r="A833" s="5"/>
      <c r="B833" s="5"/>
      <c r="C833" s="5"/>
      <c r="D833" s="5"/>
      <c r="E833" s="5"/>
      <c r="F833" s="5"/>
    </row>
    <row r="834" spans="1:6" ht="15.75" customHeight="1">
      <c r="A834" s="5"/>
      <c r="B834" s="5"/>
      <c r="C834" s="5"/>
      <c r="D834" s="5"/>
      <c r="E834" s="5"/>
      <c r="F834" s="5"/>
    </row>
    <row r="835" spans="1:6" ht="15.75" customHeight="1">
      <c r="A835" s="5"/>
      <c r="B835" s="5"/>
      <c r="C835" s="5"/>
      <c r="D835" s="5"/>
      <c r="E835" s="5"/>
      <c r="F835" s="5"/>
    </row>
    <row r="836" spans="1:6" ht="15.75" customHeight="1">
      <c r="A836" s="5"/>
      <c r="B836" s="5"/>
      <c r="C836" s="5"/>
      <c r="D836" s="5"/>
      <c r="E836" s="5"/>
      <c r="F836" s="5"/>
    </row>
    <row r="837" spans="1:6" ht="15.75" customHeight="1">
      <c r="A837" s="5"/>
      <c r="B837" s="5"/>
      <c r="C837" s="5"/>
      <c r="D837" s="5"/>
      <c r="E837" s="5"/>
      <c r="F837" s="5"/>
    </row>
    <row r="838" spans="1:6" ht="15.75" customHeight="1">
      <c r="A838" s="5"/>
      <c r="B838" s="5"/>
      <c r="C838" s="5"/>
      <c r="D838" s="5"/>
      <c r="E838" s="5"/>
      <c r="F838" s="5"/>
    </row>
    <row r="839" spans="1:6" ht="15.75" customHeight="1">
      <c r="A839" s="5"/>
      <c r="B839" s="5"/>
      <c r="C839" s="5"/>
      <c r="D839" s="5"/>
      <c r="E839" s="5"/>
      <c r="F839" s="5"/>
    </row>
    <row r="840" spans="1:6" ht="15.75" customHeight="1">
      <c r="A840" s="5"/>
      <c r="B840" s="5"/>
      <c r="C840" s="5"/>
      <c r="D840" s="5"/>
      <c r="E840" s="5"/>
      <c r="F840" s="5"/>
    </row>
    <row r="841" spans="1:6" ht="15.75" customHeight="1">
      <c r="A841" s="5"/>
      <c r="B841" s="5"/>
      <c r="C841" s="5"/>
      <c r="D841" s="5"/>
      <c r="E841" s="5"/>
      <c r="F841" s="5"/>
    </row>
    <row r="842" spans="1:6" ht="15.75" customHeight="1">
      <c r="A842" s="5"/>
      <c r="B842" s="5"/>
      <c r="C842" s="5"/>
      <c r="D842" s="5"/>
      <c r="E842" s="5"/>
      <c r="F842" s="5"/>
    </row>
    <row r="843" spans="1:6" ht="15.75" customHeight="1">
      <c r="A843" s="5"/>
      <c r="B843" s="5"/>
      <c r="C843" s="5"/>
      <c r="D843" s="5"/>
      <c r="E843" s="5"/>
      <c r="F843" s="5"/>
    </row>
    <row r="844" spans="1:6" ht="15.75" customHeight="1">
      <c r="A844" s="5"/>
      <c r="B844" s="5"/>
      <c r="C844" s="5"/>
      <c r="D844" s="5"/>
      <c r="E844" s="5"/>
      <c r="F844" s="5"/>
    </row>
    <row r="845" spans="1:6" ht="15.75" customHeight="1">
      <c r="A845" s="5"/>
      <c r="B845" s="5"/>
      <c r="C845" s="5"/>
      <c r="D845" s="5"/>
      <c r="E845" s="5"/>
      <c r="F845" s="5"/>
    </row>
    <row r="846" spans="1:6" ht="15.75" customHeight="1">
      <c r="A846" s="5"/>
      <c r="B846" s="5"/>
      <c r="C846" s="5"/>
      <c r="D846" s="5"/>
      <c r="E846" s="5"/>
      <c r="F846" s="5"/>
    </row>
    <row r="847" spans="1:6" ht="15.75" customHeight="1">
      <c r="A847" s="5"/>
      <c r="B847" s="5"/>
      <c r="C847" s="5"/>
      <c r="D847" s="5"/>
      <c r="E847" s="5"/>
      <c r="F847" s="5"/>
    </row>
    <row r="848" spans="1:6" ht="15.75" customHeight="1">
      <c r="A848" s="5"/>
      <c r="B848" s="5"/>
      <c r="C848" s="5"/>
      <c r="D848" s="5"/>
      <c r="E848" s="5"/>
      <c r="F848" s="5"/>
    </row>
    <row r="849" spans="1:6" ht="15.75" customHeight="1">
      <c r="A849" s="5"/>
      <c r="B849" s="5"/>
      <c r="C849" s="5"/>
      <c r="D849" s="5"/>
      <c r="E849" s="5"/>
      <c r="F849" s="5"/>
    </row>
    <row r="850" spans="1:6" ht="15.75" customHeight="1">
      <c r="A850" s="5"/>
      <c r="B850" s="5"/>
      <c r="C850" s="5"/>
      <c r="D850" s="5"/>
      <c r="E850" s="5"/>
      <c r="F850" s="5"/>
    </row>
    <row r="851" spans="1:6" ht="15.75" customHeight="1">
      <c r="A851" s="5"/>
      <c r="B851" s="5"/>
      <c r="C851" s="5"/>
      <c r="D851" s="5"/>
      <c r="E851" s="5"/>
      <c r="F851" s="5"/>
    </row>
    <row r="852" spans="1:6" ht="15.75" customHeight="1">
      <c r="A852" s="5"/>
      <c r="B852" s="5"/>
      <c r="C852" s="5"/>
      <c r="D852" s="5"/>
      <c r="E852" s="5"/>
      <c r="F852" s="5"/>
    </row>
    <row r="853" spans="1:6" ht="15.75" customHeight="1">
      <c r="A853" s="5"/>
      <c r="B853" s="5"/>
      <c r="C853" s="5"/>
      <c r="D853" s="5"/>
      <c r="E853" s="5"/>
      <c r="F853" s="5"/>
    </row>
    <row r="854" spans="1:6" ht="15.75" customHeight="1">
      <c r="A854" s="5"/>
      <c r="B854" s="5"/>
      <c r="C854" s="5"/>
      <c r="D854" s="5"/>
      <c r="E854" s="5"/>
      <c r="F854" s="5"/>
    </row>
    <row r="855" spans="1:6" ht="15.75" customHeight="1">
      <c r="A855" s="5"/>
      <c r="B855" s="5"/>
      <c r="C855" s="5"/>
      <c r="D855" s="5"/>
      <c r="E855" s="5"/>
      <c r="F855" s="5"/>
    </row>
    <row r="856" spans="1:6" ht="15.75" customHeight="1">
      <c r="A856" s="5"/>
      <c r="B856" s="5"/>
      <c r="C856" s="5"/>
      <c r="D856" s="5"/>
      <c r="E856" s="5"/>
      <c r="F856" s="5"/>
    </row>
    <row r="857" spans="1:6" ht="15.75" customHeight="1">
      <c r="A857" s="5"/>
      <c r="B857" s="5"/>
      <c r="C857" s="5"/>
      <c r="D857" s="5"/>
      <c r="E857" s="5"/>
      <c r="F857" s="5"/>
    </row>
    <row r="858" spans="1:6" ht="15.75" customHeight="1">
      <c r="A858" s="5"/>
      <c r="B858" s="5"/>
      <c r="C858" s="5"/>
      <c r="D858" s="5"/>
      <c r="E858" s="5"/>
      <c r="F858" s="5"/>
    </row>
    <row r="859" spans="1:6" ht="15.75" customHeight="1">
      <c r="A859" s="5"/>
      <c r="B859" s="5"/>
      <c r="C859" s="5"/>
      <c r="D859" s="5"/>
      <c r="E859" s="5"/>
      <c r="F859" s="5"/>
    </row>
    <row r="860" spans="1:6" ht="15.75" customHeight="1">
      <c r="A860" s="5"/>
      <c r="B860" s="5"/>
      <c r="C860" s="5"/>
      <c r="D860" s="5"/>
      <c r="E860" s="5"/>
      <c r="F860" s="5"/>
    </row>
    <row r="861" spans="1:6" ht="15.75" customHeight="1">
      <c r="A861" s="5"/>
      <c r="B861" s="5"/>
      <c r="C861" s="5"/>
      <c r="D861" s="5"/>
      <c r="E861" s="5"/>
      <c r="F861" s="5"/>
    </row>
    <row r="862" spans="1:6" ht="15.75" customHeight="1">
      <c r="A862" s="5"/>
      <c r="B862" s="5"/>
      <c r="C862" s="5"/>
      <c r="D862" s="5"/>
      <c r="E862" s="5"/>
      <c r="F862" s="5"/>
    </row>
    <row r="863" spans="1:6" ht="15.75" customHeight="1">
      <c r="A863" s="5"/>
      <c r="B863" s="5"/>
      <c r="C863" s="5"/>
      <c r="D863" s="5"/>
      <c r="E863" s="5"/>
      <c r="F863" s="5"/>
    </row>
    <row r="864" spans="1:6" ht="15.75" customHeight="1">
      <c r="A864" s="5"/>
      <c r="B864" s="5"/>
      <c r="C864" s="5"/>
      <c r="D864" s="5"/>
      <c r="E864" s="5"/>
      <c r="F864" s="5"/>
    </row>
    <row r="865" spans="1:6" ht="15.75" customHeight="1">
      <c r="A865" s="5"/>
      <c r="B865" s="5"/>
      <c r="C865" s="5"/>
      <c r="D865" s="5"/>
      <c r="E865" s="5"/>
      <c r="F865" s="5"/>
    </row>
    <row r="866" spans="1:6" ht="15.75" customHeight="1">
      <c r="A866" s="5"/>
      <c r="B866" s="5"/>
      <c r="C866" s="5"/>
      <c r="D866" s="5"/>
      <c r="E866" s="5"/>
      <c r="F866" s="5"/>
    </row>
    <row r="867" spans="1:6" ht="15.75" customHeight="1">
      <c r="A867" s="5"/>
      <c r="B867" s="5"/>
      <c r="C867" s="5"/>
      <c r="D867" s="5"/>
      <c r="E867" s="5"/>
      <c r="F867" s="5"/>
    </row>
    <row r="868" spans="1:6" ht="15.75" customHeight="1">
      <c r="A868" s="5"/>
      <c r="B868" s="5"/>
      <c r="C868" s="5"/>
      <c r="D868" s="5"/>
      <c r="E868" s="5"/>
      <c r="F868" s="5"/>
    </row>
    <row r="869" spans="1:6" ht="15.75" customHeight="1">
      <c r="A869" s="5"/>
      <c r="B869" s="5"/>
      <c r="C869" s="5"/>
      <c r="D869" s="5"/>
      <c r="E869" s="5"/>
      <c r="F869" s="5"/>
    </row>
    <row r="870" spans="1:6" ht="15.75" customHeight="1">
      <c r="A870" s="5"/>
      <c r="B870" s="5"/>
      <c r="C870" s="5"/>
      <c r="D870" s="5"/>
      <c r="E870" s="5"/>
      <c r="F870" s="5"/>
    </row>
    <row r="871" spans="1:6" ht="15.75" customHeight="1">
      <c r="A871" s="5"/>
      <c r="B871" s="5"/>
      <c r="C871" s="5"/>
      <c r="D871" s="5"/>
      <c r="E871" s="5"/>
      <c r="F871" s="5"/>
    </row>
    <row r="872" spans="1:6" ht="15.75" customHeight="1">
      <c r="A872" s="5"/>
      <c r="B872" s="5"/>
      <c r="C872" s="5"/>
      <c r="D872" s="5"/>
      <c r="E872" s="5"/>
      <c r="F872" s="5"/>
    </row>
    <row r="873" spans="1:6" ht="15.75" customHeight="1">
      <c r="A873" s="5"/>
      <c r="B873" s="5"/>
      <c r="C873" s="5"/>
      <c r="D873" s="5"/>
      <c r="E873" s="5"/>
      <c r="F873" s="5"/>
    </row>
    <row r="874" spans="1:6" ht="15.75" customHeight="1">
      <c r="A874" s="5"/>
      <c r="B874" s="5"/>
      <c r="C874" s="5"/>
      <c r="D874" s="5"/>
      <c r="E874" s="5"/>
      <c r="F874" s="5"/>
    </row>
    <row r="875" spans="1:6" ht="15.75" customHeight="1">
      <c r="A875" s="5"/>
      <c r="B875" s="5"/>
      <c r="C875" s="5"/>
      <c r="D875" s="5"/>
      <c r="E875" s="5"/>
      <c r="F875" s="5"/>
    </row>
    <row r="876" spans="1:6" ht="15.75" customHeight="1">
      <c r="A876" s="5"/>
      <c r="B876" s="5"/>
      <c r="C876" s="5"/>
      <c r="D876" s="5"/>
      <c r="E876" s="5"/>
      <c r="F876" s="5"/>
    </row>
    <row r="877" spans="1:6" ht="15.75" customHeight="1">
      <c r="A877" s="5"/>
      <c r="B877" s="5"/>
      <c r="C877" s="5"/>
      <c r="D877" s="5"/>
      <c r="E877" s="5"/>
      <c r="F877" s="5"/>
    </row>
    <row r="878" spans="1:6" ht="15.75" customHeight="1">
      <c r="A878" s="5"/>
      <c r="B878" s="5"/>
      <c r="C878" s="5"/>
      <c r="D878" s="5"/>
      <c r="E878" s="5"/>
      <c r="F878" s="5"/>
    </row>
    <row r="879" spans="1:6" ht="15.75" customHeight="1">
      <c r="A879" s="5"/>
      <c r="B879" s="5"/>
      <c r="C879" s="5"/>
      <c r="D879" s="5"/>
      <c r="E879" s="5"/>
      <c r="F879" s="5"/>
    </row>
    <row r="880" spans="1:6" ht="15.75" customHeight="1">
      <c r="A880" s="5"/>
      <c r="B880" s="5"/>
      <c r="C880" s="5"/>
      <c r="D880" s="5"/>
      <c r="E880" s="5"/>
      <c r="F880" s="5"/>
    </row>
    <row r="881" spans="1:6" ht="15.75" customHeight="1">
      <c r="A881" s="5"/>
      <c r="B881" s="5"/>
      <c r="C881" s="5"/>
      <c r="D881" s="5"/>
      <c r="E881" s="5"/>
      <c r="F881" s="5"/>
    </row>
    <row r="882" spans="1:6" ht="15.75" customHeight="1">
      <c r="A882" s="5"/>
      <c r="B882" s="5"/>
      <c r="C882" s="5"/>
      <c r="D882" s="5"/>
      <c r="E882" s="5"/>
      <c r="F882" s="5"/>
    </row>
    <row r="883" spans="1:6" ht="15.75" customHeight="1">
      <c r="A883" s="5"/>
      <c r="B883" s="5"/>
      <c r="C883" s="5"/>
      <c r="D883" s="5"/>
      <c r="E883" s="5"/>
      <c r="F883" s="5"/>
    </row>
    <row r="884" spans="1:6" ht="15.75" customHeight="1">
      <c r="A884" s="5"/>
      <c r="B884" s="5"/>
      <c r="C884" s="5"/>
      <c r="D884" s="5"/>
      <c r="E884" s="5"/>
      <c r="F884" s="5"/>
    </row>
    <row r="885" spans="1:6" ht="15.75" customHeight="1">
      <c r="A885" s="5"/>
      <c r="B885" s="5"/>
      <c r="C885" s="5"/>
      <c r="D885" s="5"/>
      <c r="E885" s="5"/>
      <c r="F885" s="5"/>
    </row>
    <row r="886" spans="1:6" ht="15.75" customHeight="1">
      <c r="A886" s="5"/>
      <c r="B886" s="5"/>
      <c r="C886" s="5"/>
      <c r="D886" s="5"/>
      <c r="E886" s="5"/>
      <c r="F886" s="5"/>
    </row>
    <row r="887" spans="1:6" ht="15.75" customHeight="1">
      <c r="A887" s="5"/>
      <c r="B887" s="5"/>
      <c r="C887" s="5"/>
      <c r="D887" s="5"/>
      <c r="E887" s="5"/>
      <c r="F887" s="5"/>
    </row>
    <row r="888" spans="1:6" ht="15.75" customHeight="1">
      <c r="A888" s="5"/>
      <c r="B888" s="5"/>
      <c r="C888" s="5"/>
      <c r="D888" s="5"/>
      <c r="E888" s="5"/>
      <c r="F888" s="5"/>
    </row>
    <row r="889" spans="1:6" ht="15.75" customHeight="1">
      <c r="A889" s="5"/>
      <c r="B889" s="5"/>
      <c r="C889" s="5"/>
      <c r="D889" s="5"/>
      <c r="E889" s="5"/>
      <c r="F889" s="5"/>
    </row>
    <row r="890" spans="1:6" ht="15.75" customHeight="1">
      <c r="A890" s="5"/>
      <c r="B890" s="5"/>
      <c r="C890" s="5"/>
      <c r="D890" s="5"/>
      <c r="E890" s="5"/>
      <c r="F890" s="5"/>
    </row>
    <row r="891" spans="1:6" ht="15.75" customHeight="1">
      <c r="A891" s="5"/>
      <c r="B891" s="5"/>
      <c r="C891" s="5"/>
      <c r="D891" s="5"/>
      <c r="E891" s="5"/>
      <c r="F891" s="5"/>
    </row>
    <row r="892" spans="1:6" ht="15.75" customHeight="1">
      <c r="A892" s="5"/>
      <c r="B892" s="5"/>
      <c r="C892" s="5"/>
      <c r="D892" s="5"/>
      <c r="E892" s="5"/>
      <c r="F892" s="5"/>
    </row>
    <row r="893" spans="1:6" ht="15.75" customHeight="1">
      <c r="A893" s="5"/>
      <c r="B893" s="5"/>
      <c r="C893" s="5"/>
      <c r="D893" s="5"/>
      <c r="E893" s="5"/>
      <c r="F893" s="5"/>
    </row>
    <row r="894" spans="1:6" ht="15.75" customHeight="1">
      <c r="A894" s="5"/>
      <c r="B894" s="5"/>
      <c r="C894" s="5"/>
      <c r="D894" s="5"/>
      <c r="E894" s="5"/>
      <c r="F894" s="5"/>
    </row>
    <row r="895" spans="1:6" ht="15.75" customHeight="1">
      <c r="A895" s="5"/>
      <c r="B895" s="5"/>
      <c r="C895" s="5"/>
      <c r="D895" s="5"/>
      <c r="E895" s="5"/>
      <c r="F895" s="5"/>
    </row>
    <row r="896" spans="1:6" ht="15.75" customHeight="1">
      <c r="A896" s="5"/>
      <c r="B896" s="5"/>
      <c r="C896" s="5"/>
      <c r="D896" s="5"/>
      <c r="E896" s="5"/>
      <c r="F896" s="5"/>
    </row>
    <row r="897" spans="1:6" ht="15.75" customHeight="1">
      <c r="A897" s="5"/>
      <c r="B897" s="5"/>
      <c r="C897" s="5"/>
      <c r="D897" s="5"/>
      <c r="E897" s="5"/>
      <c r="F897" s="5"/>
    </row>
    <row r="898" spans="1:6" ht="15.75" customHeight="1">
      <c r="A898" s="5"/>
      <c r="B898" s="5"/>
      <c r="C898" s="5"/>
      <c r="D898" s="5"/>
      <c r="E898" s="5"/>
      <c r="F898" s="5"/>
    </row>
    <row r="899" spans="1:6" ht="15.75" customHeight="1">
      <c r="A899" s="5"/>
      <c r="B899" s="5"/>
      <c r="C899" s="5"/>
      <c r="D899" s="5"/>
      <c r="E899" s="5"/>
      <c r="F899" s="5"/>
    </row>
    <row r="900" spans="1:6" ht="15.75" customHeight="1">
      <c r="A900" s="5"/>
      <c r="B900" s="5"/>
      <c r="C900" s="5"/>
      <c r="D900" s="5"/>
      <c r="E900" s="5"/>
      <c r="F900" s="5"/>
    </row>
    <row r="901" spans="1:6" ht="15.75" customHeight="1">
      <c r="A901" s="5"/>
      <c r="B901" s="5"/>
      <c r="C901" s="5"/>
      <c r="D901" s="5"/>
      <c r="E901" s="5"/>
      <c r="F901" s="5"/>
    </row>
    <row r="902" spans="1:6" ht="15.75" customHeight="1">
      <c r="A902" s="5"/>
      <c r="B902" s="5"/>
      <c r="C902" s="5"/>
      <c r="D902" s="5"/>
      <c r="E902" s="5"/>
      <c r="F902" s="5"/>
    </row>
    <row r="903" spans="1:6" ht="15.75" customHeight="1">
      <c r="A903" s="5"/>
      <c r="B903" s="5"/>
      <c r="C903" s="5"/>
      <c r="D903" s="5"/>
      <c r="E903" s="5"/>
      <c r="F903" s="5"/>
    </row>
    <row r="904" spans="1:6" ht="15.75" customHeight="1">
      <c r="A904" s="5"/>
      <c r="B904" s="5"/>
      <c r="C904" s="5"/>
      <c r="D904" s="5"/>
      <c r="E904" s="5"/>
      <c r="F904" s="5"/>
    </row>
    <row r="905" spans="1:6" ht="15.75" customHeight="1">
      <c r="A905" s="5"/>
      <c r="B905" s="5"/>
      <c r="C905" s="5"/>
      <c r="D905" s="5"/>
      <c r="E905" s="5"/>
      <c r="F905" s="5"/>
    </row>
    <row r="906" spans="1:6" ht="15.75" customHeight="1">
      <c r="A906" s="5"/>
      <c r="B906" s="5"/>
      <c r="C906" s="5"/>
      <c r="D906" s="5"/>
      <c r="E906" s="5"/>
      <c r="F906" s="5"/>
    </row>
    <row r="907" spans="1:6" ht="15.75" customHeight="1">
      <c r="A907" s="5"/>
      <c r="B907" s="5"/>
      <c r="C907" s="5"/>
      <c r="D907" s="5"/>
      <c r="E907" s="5"/>
      <c r="F907" s="5"/>
    </row>
    <row r="908" spans="1:6" ht="15.75" customHeight="1">
      <c r="A908" s="5"/>
      <c r="B908" s="5"/>
      <c r="C908" s="5"/>
      <c r="D908" s="5"/>
      <c r="E908" s="5"/>
      <c r="F908" s="5"/>
    </row>
    <row r="909" spans="1:6" ht="15.75" customHeight="1">
      <c r="A909" s="5"/>
      <c r="B909" s="5"/>
      <c r="C909" s="5"/>
      <c r="D909" s="5"/>
      <c r="E909" s="5"/>
      <c r="F909" s="5"/>
    </row>
    <row r="910" spans="1:6" ht="15.75" customHeight="1">
      <c r="A910" s="5"/>
      <c r="B910" s="5"/>
      <c r="C910" s="5"/>
      <c r="D910" s="5"/>
      <c r="E910" s="5"/>
      <c r="F910" s="5"/>
    </row>
    <row r="911" spans="1:6" ht="15.75" customHeight="1">
      <c r="A911" s="5"/>
      <c r="B911" s="5"/>
      <c r="C911" s="5"/>
      <c r="D911" s="5"/>
      <c r="E911" s="5"/>
      <c r="F911" s="5"/>
    </row>
    <row r="912" spans="1:6" ht="15.75" customHeight="1">
      <c r="A912" s="5"/>
      <c r="B912" s="5"/>
      <c r="C912" s="5"/>
      <c r="D912" s="5"/>
      <c r="E912" s="5"/>
      <c r="F912" s="5"/>
    </row>
    <row r="913" spans="1:6" ht="15.75" customHeight="1">
      <c r="A913" s="5"/>
      <c r="B913" s="5"/>
      <c r="C913" s="5"/>
      <c r="D913" s="5"/>
      <c r="E913" s="5"/>
      <c r="F913" s="5"/>
    </row>
    <row r="914" spans="1:6" ht="15.75" customHeight="1">
      <c r="A914" s="5"/>
      <c r="B914" s="5"/>
      <c r="C914" s="5"/>
      <c r="D914" s="5"/>
      <c r="E914" s="5"/>
      <c r="F914" s="5"/>
    </row>
    <row r="915" spans="1:6" ht="15.75" customHeight="1">
      <c r="A915" s="5"/>
      <c r="B915" s="5"/>
      <c r="C915" s="5"/>
      <c r="D915" s="5"/>
      <c r="E915" s="5"/>
      <c r="F915" s="5"/>
    </row>
    <row r="916" spans="1:6" ht="15.75" customHeight="1">
      <c r="A916" s="5"/>
      <c r="B916" s="5"/>
      <c r="C916" s="5"/>
      <c r="D916" s="5"/>
      <c r="E916" s="5"/>
      <c r="F916" s="5"/>
    </row>
    <row r="917" spans="1:6" ht="15.75" customHeight="1">
      <c r="A917" s="5"/>
      <c r="B917" s="5"/>
      <c r="C917" s="5"/>
      <c r="D917" s="5"/>
      <c r="E917" s="5"/>
      <c r="F917" s="5"/>
    </row>
    <row r="918" spans="1:6" ht="15.75" customHeight="1">
      <c r="A918" s="5"/>
      <c r="B918" s="5"/>
      <c r="C918" s="5"/>
      <c r="D918" s="5"/>
      <c r="E918" s="5"/>
      <c r="F918" s="5"/>
    </row>
    <row r="919" spans="1:6" ht="15.75" customHeight="1">
      <c r="A919" s="5"/>
      <c r="B919" s="5"/>
      <c r="C919" s="5"/>
      <c r="D919" s="5"/>
      <c r="E919" s="5"/>
      <c r="F919" s="5"/>
    </row>
    <row r="920" spans="1:6" ht="15.75" customHeight="1">
      <c r="A920" s="5"/>
      <c r="B920" s="5"/>
      <c r="C920" s="5"/>
      <c r="D920" s="5"/>
      <c r="E920" s="5"/>
      <c r="F920" s="5"/>
    </row>
    <row r="921" spans="1:6" ht="15.75" customHeight="1">
      <c r="A921" s="5"/>
      <c r="B921" s="5"/>
      <c r="C921" s="5"/>
      <c r="D921" s="5"/>
      <c r="E921" s="5"/>
      <c r="F921" s="5"/>
    </row>
    <row r="922" spans="1:6" ht="15.75" customHeight="1">
      <c r="A922" s="5"/>
      <c r="B922" s="5"/>
      <c r="C922" s="5"/>
      <c r="D922" s="5"/>
      <c r="E922" s="5"/>
      <c r="F922" s="5"/>
    </row>
    <row r="923" spans="1:6" ht="15.75" customHeight="1">
      <c r="A923" s="5"/>
      <c r="B923" s="5"/>
      <c r="C923" s="5"/>
      <c r="D923" s="5"/>
      <c r="E923" s="5"/>
      <c r="F923" s="5"/>
    </row>
    <row r="924" spans="1:6" ht="15.75" customHeight="1">
      <c r="A924" s="5"/>
      <c r="B924" s="5"/>
      <c r="C924" s="5"/>
      <c r="D924" s="5"/>
      <c r="E924" s="5"/>
      <c r="F924" s="5"/>
    </row>
    <row r="925" spans="1:6" ht="15.75" customHeight="1">
      <c r="A925" s="5"/>
      <c r="B925" s="5"/>
      <c r="C925" s="5"/>
      <c r="D925" s="5"/>
      <c r="E925" s="5"/>
      <c r="F925" s="5"/>
    </row>
    <row r="926" spans="1:6" ht="15.75" customHeight="1">
      <c r="A926" s="5"/>
      <c r="B926" s="5"/>
      <c r="C926" s="5"/>
      <c r="D926" s="5"/>
      <c r="E926" s="5"/>
      <c r="F926" s="5"/>
    </row>
    <row r="927" spans="1:6" ht="15.75" customHeight="1">
      <c r="A927" s="5"/>
      <c r="B927" s="5"/>
      <c r="C927" s="5"/>
      <c r="D927" s="5"/>
      <c r="E927" s="5"/>
      <c r="F927" s="5"/>
    </row>
    <row r="928" spans="1:6" ht="15.75" customHeight="1">
      <c r="A928" s="5"/>
      <c r="B928" s="5"/>
      <c r="C928" s="5"/>
      <c r="D928" s="5"/>
      <c r="E928" s="5"/>
      <c r="F928" s="5"/>
    </row>
    <row r="929" spans="1:6" ht="15.75" customHeight="1">
      <c r="A929" s="5"/>
      <c r="B929" s="5"/>
      <c r="C929" s="5"/>
      <c r="D929" s="5"/>
      <c r="E929" s="5"/>
      <c r="F929" s="5"/>
    </row>
    <row r="930" spans="1:6" ht="15.75" customHeight="1">
      <c r="A930" s="5"/>
      <c r="B930" s="5"/>
      <c r="C930" s="5"/>
      <c r="D930" s="5"/>
      <c r="E930" s="5"/>
      <c r="F930" s="5"/>
    </row>
    <row r="931" spans="1:6" ht="15.75" customHeight="1">
      <c r="A931" s="5"/>
      <c r="B931" s="5"/>
      <c r="C931" s="5"/>
      <c r="D931" s="5"/>
      <c r="E931" s="5"/>
      <c r="F931" s="5"/>
    </row>
    <row r="932" spans="1:6" ht="15.75" customHeight="1">
      <c r="A932" s="5"/>
      <c r="B932" s="5"/>
      <c r="C932" s="5"/>
      <c r="D932" s="5"/>
      <c r="E932" s="5"/>
      <c r="F932" s="5"/>
    </row>
    <row r="933" spans="1:6" ht="15.75" customHeight="1">
      <c r="A933" s="5"/>
      <c r="B933" s="5"/>
      <c r="C933" s="5"/>
      <c r="D933" s="5"/>
      <c r="E933" s="5"/>
      <c r="F933" s="5"/>
    </row>
    <row r="934" spans="1:6" ht="15.75" customHeight="1">
      <c r="A934" s="5"/>
      <c r="B934" s="5"/>
      <c r="C934" s="5"/>
      <c r="D934" s="5"/>
      <c r="E934" s="5"/>
      <c r="F934" s="5"/>
    </row>
    <row r="935" spans="1:6" ht="15.75" customHeight="1">
      <c r="A935" s="5"/>
      <c r="B935" s="5"/>
      <c r="C935" s="5"/>
      <c r="D935" s="5"/>
      <c r="E935" s="5"/>
      <c r="F935" s="5"/>
    </row>
    <row r="936" spans="1:6" ht="15.75" customHeight="1">
      <c r="A936" s="5"/>
      <c r="B936" s="5"/>
      <c r="C936" s="5"/>
      <c r="D936" s="5"/>
      <c r="E936" s="5"/>
      <c r="F936" s="5"/>
    </row>
    <row r="937" spans="1:6" ht="15.75" customHeight="1">
      <c r="A937" s="5"/>
      <c r="B937" s="5"/>
      <c r="C937" s="5"/>
      <c r="D937" s="5"/>
      <c r="E937" s="5"/>
      <c r="F937" s="5"/>
    </row>
    <row r="938" spans="1:6" ht="15.75" customHeight="1">
      <c r="A938" s="5"/>
      <c r="B938" s="5"/>
      <c r="C938" s="5"/>
      <c r="D938" s="5"/>
      <c r="E938" s="5"/>
      <c r="F938" s="5"/>
    </row>
    <row r="939" spans="1:6" ht="15.75" customHeight="1">
      <c r="A939" s="5"/>
      <c r="B939" s="5"/>
      <c r="C939" s="5"/>
      <c r="D939" s="5"/>
      <c r="E939" s="5"/>
      <c r="F939" s="5"/>
    </row>
    <row r="940" spans="1:6" ht="15.75" customHeight="1">
      <c r="A940" s="5"/>
      <c r="B940" s="5"/>
      <c r="C940" s="5"/>
      <c r="D940" s="5"/>
      <c r="E940" s="5"/>
      <c r="F940" s="5"/>
    </row>
    <row r="941" spans="1:6" ht="15.75" customHeight="1">
      <c r="A941" s="5"/>
      <c r="B941" s="5"/>
      <c r="C941" s="5"/>
      <c r="D941" s="5"/>
      <c r="E941" s="5"/>
      <c r="F941" s="5"/>
    </row>
    <row r="942" spans="1:6" ht="15.75" customHeight="1">
      <c r="A942" s="5"/>
      <c r="B942" s="5"/>
      <c r="C942" s="5"/>
      <c r="D942" s="5"/>
      <c r="E942" s="5"/>
      <c r="F942" s="5"/>
    </row>
    <row r="943" spans="1:6" ht="15.75" customHeight="1">
      <c r="A943" s="5"/>
      <c r="B943" s="5"/>
      <c r="C943" s="5"/>
      <c r="D943" s="5"/>
      <c r="E943" s="5"/>
      <c r="F943" s="5"/>
    </row>
    <row r="944" spans="1:6" ht="15.75" customHeight="1">
      <c r="A944" s="5"/>
      <c r="B944" s="5"/>
      <c r="C944" s="5"/>
      <c r="D944" s="5"/>
      <c r="E944" s="5"/>
      <c r="F944" s="5"/>
    </row>
    <row r="945" spans="1:6" ht="15.75" customHeight="1">
      <c r="A945" s="5"/>
      <c r="B945" s="5"/>
      <c r="C945" s="5"/>
      <c r="D945" s="5"/>
      <c r="E945" s="5"/>
      <c r="F945" s="5"/>
    </row>
    <row r="946" spans="1:6" ht="15.75" customHeight="1">
      <c r="A946" s="5"/>
      <c r="B946" s="5"/>
      <c r="C946" s="5"/>
      <c r="D946" s="5"/>
      <c r="E946" s="5"/>
      <c r="F946" s="5"/>
    </row>
    <row r="947" spans="1:6" ht="15.75" customHeight="1">
      <c r="A947" s="5"/>
      <c r="B947" s="5"/>
      <c r="C947" s="5"/>
      <c r="D947" s="5"/>
      <c r="E947" s="5"/>
      <c r="F947" s="5"/>
    </row>
    <row r="948" spans="1:6" ht="15.75" customHeight="1">
      <c r="A948" s="5"/>
      <c r="B948" s="5"/>
      <c r="C948" s="5"/>
      <c r="D948" s="5"/>
      <c r="E948" s="5"/>
      <c r="F948" s="5"/>
    </row>
    <row r="949" spans="1:6" ht="15.75" customHeight="1">
      <c r="A949" s="5"/>
      <c r="B949" s="5"/>
      <c r="C949" s="5"/>
      <c r="D949" s="5"/>
      <c r="E949" s="5"/>
      <c r="F949" s="5"/>
    </row>
    <row r="950" spans="1:6" ht="15.75" customHeight="1">
      <c r="A950" s="5"/>
      <c r="B950" s="5"/>
      <c r="C950" s="5"/>
      <c r="D950" s="5"/>
      <c r="E950" s="5"/>
      <c r="F950" s="5"/>
    </row>
    <row r="951" spans="1:6" ht="15.75" customHeight="1">
      <c r="A951" s="5"/>
      <c r="B951" s="5"/>
      <c r="C951" s="5"/>
      <c r="D951" s="5"/>
      <c r="E951" s="5"/>
      <c r="F951" s="5"/>
    </row>
    <row r="952" spans="1:6" ht="15.75" customHeight="1">
      <c r="A952" s="5"/>
      <c r="B952" s="5"/>
      <c r="C952" s="5"/>
      <c r="D952" s="5"/>
      <c r="E952" s="5"/>
      <c r="F952" s="5"/>
    </row>
    <row r="953" spans="1:6" ht="15.75" customHeight="1">
      <c r="A953" s="5"/>
      <c r="B953" s="5"/>
      <c r="C953" s="5"/>
      <c r="D953" s="5"/>
      <c r="E953" s="5"/>
      <c r="F953" s="5"/>
    </row>
    <row r="954" spans="1:6" ht="15.75" customHeight="1">
      <c r="A954" s="5"/>
      <c r="B954" s="5"/>
      <c r="C954" s="5"/>
      <c r="D954" s="5"/>
      <c r="E954" s="5"/>
      <c r="F954" s="5"/>
    </row>
    <row r="955" spans="1:6" ht="15.75" customHeight="1">
      <c r="A955" s="5"/>
      <c r="B955" s="5"/>
      <c r="C955" s="5"/>
      <c r="D955" s="5"/>
      <c r="E955" s="5"/>
      <c r="F955" s="5"/>
    </row>
    <row r="956" spans="1:6" ht="15.75" customHeight="1">
      <c r="A956" s="5"/>
      <c r="B956" s="5"/>
      <c r="C956" s="5"/>
      <c r="D956" s="5"/>
      <c r="E956" s="5"/>
      <c r="F956" s="5"/>
    </row>
    <row r="957" spans="1:6" ht="15.75" customHeight="1">
      <c r="A957" s="5"/>
      <c r="B957" s="5"/>
      <c r="C957" s="5"/>
      <c r="D957" s="5"/>
      <c r="E957" s="5"/>
      <c r="F957" s="5"/>
    </row>
    <row r="958" spans="1:6" ht="15.75" customHeight="1">
      <c r="A958" s="5"/>
      <c r="B958" s="5"/>
      <c r="C958" s="5"/>
      <c r="D958" s="5"/>
      <c r="E958" s="5"/>
      <c r="F958" s="5"/>
    </row>
    <row r="959" spans="1:6" ht="15.75" customHeight="1">
      <c r="A959" s="5"/>
      <c r="B959" s="5"/>
      <c r="C959" s="5"/>
      <c r="D959" s="5"/>
      <c r="E959" s="5"/>
      <c r="F959" s="5"/>
    </row>
    <row r="960" spans="1:6" ht="15.75" customHeight="1">
      <c r="A960" s="5"/>
      <c r="B960" s="5"/>
      <c r="C960" s="5"/>
      <c r="D960" s="5"/>
      <c r="E960" s="5"/>
      <c r="F960" s="5"/>
    </row>
    <row r="961" spans="1:6" ht="15.75" customHeight="1">
      <c r="A961" s="5"/>
      <c r="B961" s="5"/>
      <c r="C961" s="5"/>
      <c r="D961" s="5"/>
      <c r="E961" s="5"/>
      <c r="F961" s="5"/>
    </row>
    <row r="962" spans="1:6" ht="15.75" customHeight="1">
      <c r="A962" s="5"/>
      <c r="B962" s="5"/>
      <c r="C962" s="5"/>
      <c r="D962" s="5"/>
      <c r="E962" s="5"/>
      <c r="F962" s="5"/>
    </row>
    <row r="963" spans="1:6" ht="15.75" customHeight="1">
      <c r="A963" s="5"/>
      <c r="B963" s="5"/>
      <c r="C963" s="5"/>
      <c r="D963" s="5"/>
      <c r="E963" s="5"/>
      <c r="F963" s="5"/>
    </row>
    <row r="964" spans="1:6" ht="15.75" customHeight="1">
      <c r="A964" s="5"/>
      <c r="B964" s="5"/>
      <c r="C964" s="5"/>
      <c r="D964" s="5"/>
      <c r="E964" s="5"/>
      <c r="F964" s="5"/>
    </row>
    <row r="965" spans="1:6" ht="15.75" customHeight="1">
      <c r="A965" s="5"/>
      <c r="B965" s="5"/>
      <c r="C965" s="5"/>
      <c r="D965" s="5"/>
      <c r="E965" s="5"/>
      <c r="F965" s="5"/>
    </row>
    <row r="966" spans="1:6" ht="15.75" customHeight="1">
      <c r="A966" s="5"/>
      <c r="B966" s="5"/>
      <c r="C966" s="5"/>
      <c r="D966" s="5"/>
      <c r="E966" s="5"/>
      <c r="F966" s="5"/>
    </row>
    <row r="967" spans="1:6" ht="15.75" customHeight="1">
      <c r="A967" s="5"/>
      <c r="B967" s="5"/>
      <c r="C967" s="5"/>
      <c r="D967" s="5"/>
      <c r="E967" s="5"/>
      <c r="F967" s="5"/>
    </row>
    <row r="968" spans="1:6" ht="15.75" customHeight="1">
      <c r="A968" s="5"/>
      <c r="B968" s="5"/>
      <c r="C968" s="5"/>
      <c r="D968" s="5"/>
      <c r="E968" s="5"/>
      <c r="F968" s="5"/>
    </row>
    <row r="969" spans="1:6" ht="15.75" customHeight="1">
      <c r="A969" s="5"/>
      <c r="B969" s="5"/>
      <c r="C969" s="5"/>
      <c r="D969" s="5"/>
      <c r="E969" s="5"/>
      <c r="F969" s="5"/>
    </row>
    <row r="970" spans="1:6" ht="15.75" customHeight="1">
      <c r="A970" s="5"/>
      <c r="B970" s="5"/>
      <c r="C970" s="5"/>
      <c r="D970" s="5"/>
      <c r="E970" s="5"/>
      <c r="F970" s="5"/>
    </row>
    <row r="971" spans="1:6" ht="15.75" customHeight="1">
      <c r="A971" s="5"/>
      <c r="B971" s="5"/>
      <c r="C971" s="5"/>
      <c r="D971" s="5"/>
      <c r="E971" s="5"/>
      <c r="F971" s="5"/>
    </row>
    <row r="972" spans="1:6" ht="15.75" customHeight="1">
      <c r="A972" s="5"/>
      <c r="B972" s="5"/>
      <c r="C972" s="5"/>
      <c r="D972" s="5"/>
      <c r="E972" s="5"/>
      <c r="F972" s="5"/>
    </row>
    <row r="973" spans="1:6" ht="15.75" customHeight="1">
      <c r="A973" s="5"/>
      <c r="B973" s="5"/>
      <c r="C973" s="5"/>
      <c r="D973" s="5"/>
      <c r="E973" s="5"/>
      <c r="F973" s="5"/>
    </row>
    <row r="974" spans="1:6" ht="15.75" customHeight="1">
      <c r="A974" s="5"/>
      <c r="B974" s="5"/>
      <c r="C974" s="5"/>
      <c r="D974" s="5"/>
      <c r="E974" s="5"/>
      <c r="F974" s="5"/>
    </row>
    <row r="975" spans="1:6" ht="15.75" customHeight="1">
      <c r="A975" s="5"/>
      <c r="B975" s="5"/>
      <c r="C975" s="5"/>
      <c r="D975" s="5"/>
      <c r="E975" s="5"/>
      <c r="F975" s="5"/>
    </row>
    <row r="976" spans="1:6" ht="15.75" customHeight="1">
      <c r="A976" s="5"/>
      <c r="B976" s="5"/>
      <c r="C976" s="5"/>
      <c r="D976" s="5"/>
      <c r="E976" s="5"/>
      <c r="F976" s="5"/>
    </row>
    <row r="977" spans="1:6" ht="15.75" customHeight="1">
      <c r="A977" s="5"/>
      <c r="B977" s="5"/>
      <c r="C977" s="5"/>
      <c r="D977" s="5"/>
      <c r="E977" s="5"/>
      <c r="F977" s="5"/>
    </row>
    <row r="978" spans="1:6" ht="15.75" customHeight="1">
      <c r="A978" s="5"/>
      <c r="B978" s="5"/>
      <c r="C978" s="5"/>
      <c r="D978" s="5"/>
      <c r="E978" s="5"/>
      <c r="F978" s="5"/>
    </row>
    <row r="979" spans="1:6" ht="15.75" customHeight="1">
      <c r="A979" s="5"/>
      <c r="B979" s="5"/>
      <c r="C979" s="5"/>
      <c r="D979" s="5"/>
      <c r="E979" s="5"/>
      <c r="F979" s="5"/>
    </row>
    <row r="980" spans="1:6" ht="15.75" customHeight="1">
      <c r="A980" s="5"/>
      <c r="B980" s="5"/>
      <c r="C980" s="5"/>
      <c r="D980" s="5"/>
      <c r="E980" s="5"/>
      <c r="F980" s="5"/>
    </row>
    <row r="981" spans="1:6" ht="15.75" customHeight="1">
      <c r="A981" s="5"/>
      <c r="B981" s="5"/>
      <c r="C981" s="5"/>
      <c r="D981" s="5"/>
      <c r="E981" s="5"/>
      <c r="F981" s="5"/>
    </row>
    <row r="982" spans="1:6" ht="15.75" customHeight="1">
      <c r="A982" s="5"/>
      <c r="B982" s="5"/>
      <c r="C982" s="5"/>
      <c r="D982" s="5"/>
      <c r="E982" s="5"/>
      <c r="F982" s="5"/>
    </row>
    <row r="983" spans="1:6" ht="15.75" customHeight="1">
      <c r="A983" s="5"/>
      <c r="B983" s="5"/>
      <c r="C983" s="5"/>
      <c r="D983" s="5"/>
      <c r="E983" s="5"/>
      <c r="F983" s="5"/>
    </row>
    <row r="984" spans="1:6" ht="15.75" customHeight="1">
      <c r="A984" s="5"/>
      <c r="B984" s="5"/>
      <c r="C984" s="5"/>
      <c r="D984" s="5"/>
      <c r="E984" s="5"/>
      <c r="F984" s="5"/>
    </row>
    <row r="985" spans="1:6" ht="15.75" customHeight="1">
      <c r="A985" s="5"/>
      <c r="B985" s="5"/>
      <c r="C985" s="5"/>
      <c r="D985" s="5"/>
      <c r="E985" s="5"/>
      <c r="F985" s="5"/>
    </row>
    <row r="986" spans="1:6" ht="15.75" customHeight="1">
      <c r="A986" s="5"/>
      <c r="B986" s="5"/>
      <c r="C986" s="5"/>
      <c r="D986" s="5"/>
      <c r="E986" s="5"/>
      <c r="F986" s="5"/>
    </row>
    <row r="987" spans="1:6" ht="15.75" customHeight="1">
      <c r="A987" s="5"/>
      <c r="B987" s="5"/>
      <c r="C987" s="5"/>
      <c r="D987" s="5"/>
      <c r="E987" s="5"/>
      <c r="F987" s="5"/>
    </row>
    <row r="988" spans="1:6" ht="15.75" customHeight="1">
      <c r="A988" s="5"/>
      <c r="B988" s="5"/>
      <c r="C988" s="5"/>
      <c r="D988" s="5"/>
      <c r="E988" s="5"/>
      <c r="F988" s="5"/>
    </row>
    <row r="989" spans="1:6" ht="15.75" customHeight="1">
      <c r="A989" s="5"/>
      <c r="B989" s="5"/>
      <c r="C989" s="5"/>
      <c r="D989" s="5"/>
      <c r="E989" s="5"/>
      <c r="F989" s="5"/>
    </row>
    <row r="990" spans="1:6" ht="15.75" customHeight="1">
      <c r="A990" s="5"/>
      <c r="B990" s="5"/>
      <c r="C990" s="5"/>
      <c r="D990" s="5"/>
      <c r="E990" s="5"/>
      <c r="F990" s="5"/>
    </row>
    <row r="991" spans="1:6" ht="15.75" customHeight="1">
      <c r="A991" s="5"/>
      <c r="B991" s="5"/>
      <c r="C991" s="5"/>
      <c r="D991" s="5"/>
      <c r="E991" s="5"/>
      <c r="F991" s="5"/>
    </row>
    <row r="992" spans="1:6" ht="15.75" customHeight="1">
      <c r="A992" s="5"/>
      <c r="B992" s="5"/>
      <c r="C992" s="5"/>
      <c r="D992" s="5"/>
      <c r="E992" s="5"/>
      <c r="F992" s="5"/>
    </row>
    <row r="993" spans="1:6" ht="15.75" customHeight="1">
      <c r="A993" s="5"/>
      <c r="B993" s="5"/>
      <c r="C993" s="5"/>
      <c r="D993" s="5"/>
      <c r="E993" s="5"/>
      <c r="F993" s="5"/>
    </row>
    <row r="994" spans="1:6" ht="15.75" customHeight="1">
      <c r="A994" s="5"/>
      <c r="B994" s="5"/>
      <c r="C994" s="5"/>
      <c r="D994" s="5"/>
      <c r="E994" s="5"/>
      <c r="F994" s="5"/>
    </row>
    <row r="995" spans="1:6" ht="15.75" customHeight="1">
      <c r="A995" s="5"/>
      <c r="B995" s="5"/>
      <c r="C995" s="5"/>
      <c r="D995" s="5"/>
      <c r="E995" s="5"/>
      <c r="F995" s="5"/>
    </row>
    <row r="996" spans="1:6" ht="15.75" customHeight="1">
      <c r="A996" s="5"/>
      <c r="B996" s="5"/>
      <c r="C996" s="5"/>
      <c r="D996" s="5"/>
      <c r="E996" s="5"/>
      <c r="F996" s="5"/>
    </row>
    <row r="997" spans="1:6" ht="15.75" customHeight="1">
      <c r="A997" s="5"/>
      <c r="B997" s="5"/>
      <c r="C997" s="5"/>
      <c r="D997" s="5"/>
      <c r="E997" s="5"/>
      <c r="F997" s="5"/>
    </row>
    <row r="998" spans="1:6" ht="15.75" customHeight="1">
      <c r="A998" s="5"/>
      <c r="B998" s="5"/>
      <c r="C998" s="5"/>
      <c r="D998" s="5"/>
      <c r="E998" s="5"/>
      <c r="F998" s="5"/>
    </row>
    <row r="999" spans="1:6" ht="15.75" customHeight="1">
      <c r="A999" s="5"/>
      <c r="B999" s="5"/>
      <c r="C999" s="5"/>
      <c r="D999" s="5"/>
      <c r="E999" s="5"/>
      <c r="F999" s="5"/>
    </row>
    <row r="1000" spans="1:6" ht="15.75" customHeight="1">
      <c r="A1000" s="5"/>
      <c r="B1000" s="5"/>
      <c r="C1000" s="5"/>
      <c r="D1000" s="5"/>
      <c r="E1000" s="5"/>
      <c r="F1000" s="5"/>
    </row>
  </sheetData>
  <pageMargins left="0.7" right="0.7" top="0.75" bottom="0.75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H15" zoomScaleNormal="100" workbookViewId="0">
      <selection activeCell="H15" sqref="H15"/>
    </sheetView>
  </sheetViews>
  <sheetFormatPr defaultColWidth="14.42578125" defaultRowHeight="15"/>
  <cols>
    <col min="1" max="1" width="26.140625" customWidth="1"/>
    <col min="2" max="2" width="25.140625" customWidth="1"/>
    <col min="3" max="4" width="15.28515625" customWidth="1"/>
    <col min="5" max="5" width="11.7109375" customWidth="1"/>
    <col min="6" max="6" width="20.42578125" customWidth="1"/>
    <col min="7" max="7" width="27.28515625" customWidth="1"/>
    <col min="8" max="8" width="26.85546875" customWidth="1"/>
    <col min="9" max="9" width="11.7109375" customWidth="1"/>
    <col min="10" max="10" width="32" customWidth="1"/>
    <col min="11" max="11" width="20.85546875" customWidth="1"/>
    <col min="12" max="26" width="11.7109375" customWidth="1"/>
  </cols>
  <sheetData>
    <row r="1" spans="1:26">
      <c r="A1" s="42" t="s">
        <v>1289</v>
      </c>
      <c r="B1" s="42" t="s">
        <v>1290</v>
      </c>
      <c r="C1" s="39">
        <v>43362</v>
      </c>
      <c r="D1" s="39">
        <v>44007</v>
      </c>
      <c r="E1" s="46">
        <f>D1-C1</f>
        <v>645</v>
      </c>
      <c r="F1" s="43" t="s">
        <v>0</v>
      </c>
      <c r="G1" s="46"/>
      <c r="H1" s="46"/>
      <c r="I1" s="37"/>
      <c r="J1" s="53" t="s">
        <v>1291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7" t="s">
        <v>1169</v>
      </c>
      <c r="B2" s="42" t="s">
        <v>1170</v>
      </c>
      <c r="C2" s="39">
        <v>43345</v>
      </c>
      <c r="D2" s="40">
        <v>43943</v>
      </c>
      <c r="E2" s="46">
        <f>D2-C2</f>
        <v>598</v>
      </c>
      <c r="F2" s="43" t="s">
        <v>0</v>
      </c>
      <c r="G2" s="46"/>
      <c r="H2" s="46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>
      <c r="A3" s="37" t="s">
        <v>1501</v>
      </c>
      <c r="B3" s="42" t="s">
        <v>1502</v>
      </c>
      <c r="C3" s="39">
        <v>43582</v>
      </c>
      <c r="D3" s="39">
        <v>44180</v>
      </c>
      <c r="E3" s="46">
        <f>D3-C3</f>
        <v>598</v>
      </c>
      <c r="F3" s="43" t="s">
        <v>0</v>
      </c>
      <c r="G3" s="46"/>
      <c r="H3" s="46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>
      <c r="A4" s="37" t="s">
        <v>1212</v>
      </c>
      <c r="B4" s="42" t="s">
        <v>1476</v>
      </c>
      <c r="C4" s="39">
        <v>43569</v>
      </c>
      <c r="D4" s="40">
        <v>44156</v>
      </c>
      <c r="E4" s="48">
        <f>D4-C4</f>
        <v>587</v>
      </c>
      <c r="F4" s="43" t="s">
        <v>0</v>
      </c>
      <c r="G4" s="45" t="s">
        <v>70</v>
      </c>
      <c r="H4" s="46"/>
      <c r="I4" s="37"/>
      <c r="J4" s="53" t="s">
        <v>1477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>
      <c r="A5" s="42" t="s">
        <v>1095</v>
      </c>
      <c r="B5" s="42" t="s">
        <v>1095</v>
      </c>
      <c r="C5" s="39">
        <v>43346</v>
      </c>
      <c r="D5" s="39">
        <v>43916</v>
      </c>
      <c r="E5" s="46">
        <f>D5-C5</f>
        <v>570</v>
      </c>
      <c r="F5" s="43" t="s">
        <v>0</v>
      </c>
      <c r="G5" s="45" t="s">
        <v>2893</v>
      </c>
      <c r="H5" s="45" t="s">
        <v>33</v>
      </c>
      <c r="I5" s="37"/>
      <c r="J5" s="53" t="s">
        <v>1096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>
      <c r="A6" s="37" t="s">
        <v>1414</v>
      </c>
      <c r="B6" s="42" t="s">
        <v>1415</v>
      </c>
      <c r="C6" s="39">
        <v>43546</v>
      </c>
      <c r="D6" s="39">
        <v>44116</v>
      </c>
      <c r="E6" s="46">
        <f>D6-C6</f>
        <v>570</v>
      </c>
      <c r="F6" s="43" t="s">
        <v>795</v>
      </c>
      <c r="G6" s="46"/>
      <c r="H6" s="46"/>
      <c r="I6" s="37"/>
      <c r="J6" s="53" t="s">
        <v>1416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>
      <c r="A7" s="37" t="s">
        <v>568</v>
      </c>
      <c r="B7" s="42" t="s">
        <v>1121</v>
      </c>
      <c r="C7" s="39">
        <v>43375</v>
      </c>
      <c r="D7" s="39">
        <v>43925</v>
      </c>
      <c r="E7" s="46">
        <f>D7-C7</f>
        <v>550</v>
      </c>
      <c r="F7" s="48" t="s">
        <v>422</v>
      </c>
      <c r="G7" s="46"/>
      <c r="H7" s="4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>
      <c r="A8" s="42" t="s">
        <v>2867</v>
      </c>
      <c r="B8" s="42" t="s">
        <v>1393</v>
      </c>
      <c r="C8" s="39">
        <v>43548</v>
      </c>
      <c r="D8" s="40">
        <v>44096</v>
      </c>
      <c r="E8" s="46">
        <f>D8-C8</f>
        <v>548</v>
      </c>
      <c r="F8" s="43" t="s">
        <v>0</v>
      </c>
      <c r="G8" s="46"/>
      <c r="H8" s="4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>
      <c r="A9" s="37" t="s">
        <v>1070</v>
      </c>
      <c r="B9" s="42" t="s">
        <v>1071</v>
      </c>
      <c r="C9" s="39">
        <v>43374</v>
      </c>
      <c r="D9" s="39">
        <v>43904</v>
      </c>
      <c r="E9" s="46">
        <f>D9-C9</f>
        <v>530</v>
      </c>
      <c r="F9" s="45" t="s">
        <v>445</v>
      </c>
      <c r="G9" s="45" t="s">
        <v>1</v>
      </c>
      <c r="H9" s="63"/>
      <c r="I9" s="37"/>
      <c r="J9" s="53" t="s">
        <v>1072</v>
      </c>
    </row>
    <row r="10" spans="1:26">
      <c r="A10" s="42" t="s">
        <v>1358</v>
      </c>
      <c r="B10" s="42" t="s">
        <v>1359</v>
      </c>
      <c r="C10" s="39">
        <v>43544</v>
      </c>
      <c r="D10" s="40">
        <v>44065</v>
      </c>
      <c r="E10" s="46">
        <f>D10-C10</f>
        <v>521</v>
      </c>
      <c r="F10" s="43" t="s">
        <v>524</v>
      </c>
      <c r="G10" s="45" t="s">
        <v>995</v>
      </c>
      <c r="H10" s="46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>
      <c r="A11" s="37" t="s">
        <v>2840</v>
      </c>
      <c r="B11" s="42" t="s">
        <v>1337</v>
      </c>
      <c r="C11" s="39">
        <v>43534</v>
      </c>
      <c r="D11" s="39">
        <v>44042</v>
      </c>
      <c r="E11" s="46">
        <f>D11-C11</f>
        <v>508</v>
      </c>
      <c r="F11" s="43" t="s">
        <v>0</v>
      </c>
      <c r="G11" s="45" t="s">
        <v>925</v>
      </c>
      <c r="H11" s="46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>
      <c r="A12" s="52" t="s">
        <v>681</v>
      </c>
      <c r="B12" s="52" t="s">
        <v>1206</v>
      </c>
      <c r="C12" s="39">
        <v>43453</v>
      </c>
      <c r="D12" s="39">
        <v>43958</v>
      </c>
      <c r="E12" s="46">
        <f>D12-C12</f>
        <v>505</v>
      </c>
      <c r="F12" s="43" t="s">
        <v>0</v>
      </c>
      <c r="G12" s="46"/>
      <c r="H12" s="46"/>
      <c r="I12" s="37"/>
      <c r="J12" s="53" t="s">
        <v>1207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>
      <c r="A13" s="57" t="s">
        <v>991</v>
      </c>
      <c r="B13" s="42" t="s">
        <v>1478</v>
      </c>
      <c r="C13" s="39">
        <v>43662</v>
      </c>
      <c r="D13" s="39">
        <v>44158</v>
      </c>
      <c r="E13" s="46">
        <f>D13-C13</f>
        <v>496</v>
      </c>
      <c r="F13" s="43" t="s">
        <v>54</v>
      </c>
      <c r="G13" s="45" t="s">
        <v>26</v>
      </c>
      <c r="H13" s="46"/>
      <c r="I13" s="37"/>
      <c r="J13" s="53" t="s">
        <v>1479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>
      <c r="A14" s="37" t="s">
        <v>641</v>
      </c>
      <c r="B14" s="42" t="s">
        <v>1021</v>
      </c>
      <c r="C14" s="39">
        <v>43398</v>
      </c>
      <c r="D14" s="39">
        <v>43878</v>
      </c>
      <c r="E14" s="46">
        <f>D14-C14</f>
        <v>480</v>
      </c>
      <c r="F14" s="43" t="s">
        <v>464</v>
      </c>
      <c r="G14" s="45" t="s">
        <v>26</v>
      </c>
      <c r="H14" s="46"/>
      <c r="I14" s="37"/>
      <c r="J14" s="53" t="s">
        <v>1022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>
      <c r="A15" s="57" t="s">
        <v>788</v>
      </c>
      <c r="B15" s="52" t="s">
        <v>1395</v>
      </c>
      <c r="C15" s="39">
        <v>43626</v>
      </c>
      <c r="D15" s="39">
        <v>44100</v>
      </c>
      <c r="E15" s="46">
        <f>D15-C15</f>
        <v>474</v>
      </c>
      <c r="F15" s="43" t="s">
        <v>54</v>
      </c>
      <c r="G15" s="46"/>
      <c r="H15" s="46"/>
      <c r="I15" s="37"/>
      <c r="J15" s="53" t="s">
        <v>1396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>
      <c r="A16" s="42" t="s">
        <v>14</v>
      </c>
      <c r="B16" s="38" t="s">
        <v>933</v>
      </c>
      <c r="C16" s="39">
        <v>43345</v>
      </c>
      <c r="D16" s="39">
        <v>43809</v>
      </c>
      <c r="E16" s="46">
        <f>D16-C16</f>
        <v>464</v>
      </c>
      <c r="F16" s="43" t="s">
        <v>0</v>
      </c>
      <c r="G16" s="45" t="s">
        <v>934</v>
      </c>
      <c r="H16" s="4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>
      <c r="A17" s="56" t="s">
        <v>2868</v>
      </c>
      <c r="B17" s="56" t="s">
        <v>985</v>
      </c>
      <c r="C17" s="61">
        <v>43388</v>
      </c>
      <c r="D17" s="61">
        <v>43848</v>
      </c>
      <c r="E17" s="55">
        <f>D17-C17</f>
        <v>460</v>
      </c>
      <c r="F17" s="62" t="s">
        <v>0</v>
      </c>
      <c r="G17" s="55" t="s">
        <v>1</v>
      </c>
      <c r="H17" s="55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>
      <c r="A18" s="37" t="s">
        <v>1390</v>
      </c>
      <c r="B18" s="42" t="s">
        <v>1391</v>
      </c>
      <c r="C18" s="39">
        <v>43638</v>
      </c>
      <c r="D18" s="39">
        <v>44093</v>
      </c>
      <c r="E18" s="48">
        <f>D18-C18</f>
        <v>455</v>
      </c>
      <c r="F18" s="43" t="s">
        <v>0</v>
      </c>
      <c r="G18" s="46"/>
      <c r="H18" s="46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>
      <c r="A19" s="38" t="s">
        <v>920</v>
      </c>
      <c r="B19" s="38" t="s">
        <v>920</v>
      </c>
      <c r="C19" s="39">
        <v>43362</v>
      </c>
      <c r="D19" s="39">
        <v>43802</v>
      </c>
      <c r="E19" s="46">
        <f>D19-C19</f>
        <v>440</v>
      </c>
      <c r="F19" s="43" t="s">
        <v>0</v>
      </c>
      <c r="G19" s="46"/>
      <c r="H19" s="46"/>
      <c r="I19" s="37"/>
      <c r="J19" s="37"/>
    </row>
    <row r="20" spans="1:26">
      <c r="A20" s="37" t="s">
        <v>1137</v>
      </c>
      <c r="B20" s="52" t="s">
        <v>1485</v>
      </c>
      <c r="C20" s="39">
        <v>43737</v>
      </c>
      <c r="D20" s="39">
        <v>44166</v>
      </c>
      <c r="E20" s="46">
        <f>D20-C20</f>
        <v>429</v>
      </c>
      <c r="F20" s="43" t="s">
        <v>884</v>
      </c>
      <c r="G20" s="45" t="s">
        <v>1</v>
      </c>
      <c r="H20" s="46"/>
      <c r="I20" s="37"/>
      <c r="J20" s="53" t="s">
        <v>1486</v>
      </c>
      <c r="K20" s="42" t="s">
        <v>1487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42" t="s">
        <v>723</v>
      </c>
      <c r="B21" s="42" t="s">
        <v>1340</v>
      </c>
      <c r="C21" s="39">
        <v>43618</v>
      </c>
      <c r="D21" s="40">
        <v>44044</v>
      </c>
      <c r="E21" s="46">
        <f>D21-C21</f>
        <v>426</v>
      </c>
      <c r="F21" s="43" t="s">
        <v>0</v>
      </c>
      <c r="G21" s="45" t="s">
        <v>26</v>
      </c>
      <c r="H21" s="46"/>
      <c r="I21" s="37"/>
      <c r="J21" s="53" t="s">
        <v>1341</v>
      </c>
      <c r="K21" s="42" t="s">
        <v>1342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42" t="s">
        <v>1153</v>
      </c>
      <c r="B22" s="42" t="s">
        <v>1154</v>
      </c>
      <c r="C22" s="39">
        <v>43527</v>
      </c>
      <c r="D22" s="40">
        <v>43937</v>
      </c>
      <c r="E22" s="48">
        <f>D22-C22</f>
        <v>410</v>
      </c>
      <c r="F22" s="43" t="s">
        <v>0</v>
      </c>
      <c r="G22" s="45" t="s">
        <v>942</v>
      </c>
      <c r="H22" s="4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42" t="s">
        <v>556</v>
      </c>
      <c r="B23" s="42" t="s">
        <v>1097</v>
      </c>
      <c r="C23" s="39">
        <v>43513</v>
      </c>
      <c r="D23" s="39">
        <v>43917</v>
      </c>
      <c r="E23" s="46">
        <f>D23-C23</f>
        <v>404</v>
      </c>
      <c r="F23" s="43" t="s">
        <v>0</v>
      </c>
      <c r="G23" s="46"/>
      <c r="H23" s="46"/>
      <c r="I23" s="37"/>
      <c r="J23" s="53" t="s">
        <v>1098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42" t="s">
        <v>1117</v>
      </c>
      <c r="B24" s="42" t="s">
        <v>1118</v>
      </c>
      <c r="C24" s="39">
        <v>43523</v>
      </c>
      <c r="D24" s="39">
        <v>43925</v>
      </c>
      <c r="E24" s="46">
        <f>D24-C24</f>
        <v>402</v>
      </c>
      <c r="F24" s="43" t="s">
        <v>0</v>
      </c>
      <c r="G24" s="45" t="s">
        <v>1119</v>
      </c>
      <c r="H24" s="46"/>
      <c r="I24" s="37"/>
      <c r="J24" s="53" t="s">
        <v>1120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37" t="s">
        <v>589</v>
      </c>
      <c r="B25" s="42" t="s">
        <v>603</v>
      </c>
      <c r="C25" s="39">
        <v>43596</v>
      </c>
      <c r="D25" s="40">
        <v>43995</v>
      </c>
      <c r="E25" s="46">
        <f>D25-C25</f>
        <v>399</v>
      </c>
      <c r="F25" s="43" t="s">
        <v>820</v>
      </c>
      <c r="G25" s="45" t="s">
        <v>604</v>
      </c>
      <c r="H25" s="46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65" t="s">
        <v>1084</v>
      </c>
      <c r="B26" s="42" t="s">
        <v>1495</v>
      </c>
      <c r="C26" s="39">
        <v>43778</v>
      </c>
      <c r="D26" s="39">
        <v>44177</v>
      </c>
      <c r="E26" s="46">
        <f>D26-C26</f>
        <v>399</v>
      </c>
      <c r="F26" s="43" t="s">
        <v>0</v>
      </c>
      <c r="G26" s="45" t="s">
        <v>336</v>
      </c>
      <c r="H26" s="46"/>
      <c r="I26" s="37"/>
      <c r="J26" s="53" t="s">
        <v>1496</v>
      </c>
      <c r="K26" s="42" t="s">
        <v>1497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37" t="s">
        <v>1226</v>
      </c>
      <c r="B27" s="42" t="s">
        <v>1227</v>
      </c>
      <c r="C27" s="39">
        <v>43565</v>
      </c>
      <c r="D27" s="39">
        <v>43960</v>
      </c>
      <c r="E27" s="46">
        <f>D27-C27</f>
        <v>395</v>
      </c>
      <c r="F27" s="43" t="s">
        <v>0</v>
      </c>
      <c r="G27" s="46"/>
      <c r="H27" s="46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37" t="s">
        <v>1230</v>
      </c>
      <c r="B28" s="42" t="s">
        <v>1231</v>
      </c>
      <c r="C28" s="39">
        <v>43578</v>
      </c>
      <c r="D28" s="39">
        <v>43967</v>
      </c>
      <c r="E28" s="46">
        <f>D28-C28</f>
        <v>389</v>
      </c>
      <c r="F28" s="43" t="s">
        <v>0</v>
      </c>
      <c r="G28" s="45" t="s">
        <v>1232</v>
      </c>
      <c r="H28" s="46"/>
      <c r="I28" s="37"/>
      <c r="J28" s="53" t="s">
        <v>1233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37" t="s">
        <v>901</v>
      </c>
      <c r="B29" s="38" t="s">
        <v>539</v>
      </c>
      <c r="C29" s="39">
        <v>43416</v>
      </c>
      <c r="D29" s="39">
        <v>43787</v>
      </c>
      <c r="E29" s="46">
        <f>D29-C29</f>
        <v>371</v>
      </c>
      <c r="F29" s="48" t="s">
        <v>31</v>
      </c>
      <c r="G29" s="45" t="s">
        <v>43</v>
      </c>
      <c r="H29" s="46"/>
      <c r="I29" s="37"/>
      <c r="J29" s="37"/>
    </row>
    <row r="30" spans="1:26" ht="15.75" customHeight="1">
      <c r="A30" s="37" t="s">
        <v>928</v>
      </c>
      <c r="B30" s="42" t="s">
        <v>1203</v>
      </c>
      <c r="C30" s="39">
        <v>43586</v>
      </c>
      <c r="D30" s="39">
        <v>43957</v>
      </c>
      <c r="E30" s="46">
        <f>D30-C30</f>
        <v>371</v>
      </c>
      <c r="F30" s="43" t="s">
        <v>54</v>
      </c>
      <c r="G30" s="45" t="s">
        <v>1</v>
      </c>
      <c r="H30" s="46"/>
      <c r="I30" s="37"/>
      <c r="J30" s="53" t="s">
        <v>1204</v>
      </c>
      <c r="K30" s="42" t="s">
        <v>1205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42" t="s">
        <v>1246</v>
      </c>
      <c r="B31" s="42" t="s">
        <v>1247</v>
      </c>
      <c r="C31" s="39">
        <v>43614</v>
      </c>
      <c r="D31" s="39">
        <v>43981</v>
      </c>
      <c r="E31" s="48">
        <f>D31-C31</f>
        <v>367</v>
      </c>
      <c r="F31" s="43" t="s">
        <v>0</v>
      </c>
      <c r="G31" s="45" t="s">
        <v>43</v>
      </c>
      <c r="H31" s="46"/>
      <c r="I31" s="37"/>
      <c r="J31" s="53" t="s">
        <v>1248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>
      <c r="A32" s="57" t="s">
        <v>1334</v>
      </c>
      <c r="B32" s="42" t="s">
        <v>1335</v>
      </c>
      <c r="C32" s="39">
        <v>43675</v>
      </c>
      <c r="D32" s="39">
        <v>44038</v>
      </c>
      <c r="E32" s="46">
        <f>D32-C32</f>
        <v>363</v>
      </c>
      <c r="F32" s="48" t="s">
        <v>2840</v>
      </c>
      <c r="G32" s="46"/>
      <c r="H32" s="46"/>
      <c r="I32" s="37"/>
      <c r="J32" s="53" t="s">
        <v>1336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56" t="s">
        <v>977</v>
      </c>
      <c r="B33" s="56" t="s">
        <v>978</v>
      </c>
      <c r="C33" s="61">
        <v>43488</v>
      </c>
      <c r="D33" s="61">
        <v>43841</v>
      </c>
      <c r="E33" s="46">
        <f>D33-C33</f>
        <v>353</v>
      </c>
      <c r="F33" s="62" t="s">
        <v>0</v>
      </c>
      <c r="G33" s="55" t="s">
        <v>312</v>
      </c>
    </row>
    <row r="34" spans="1:26" ht="15.75" customHeight="1">
      <c r="A34" s="57" t="s">
        <v>1371</v>
      </c>
      <c r="B34" s="52" t="s">
        <v>1372</v>
      </c>
      <c r="C34" s="39">
        <v>43726</v>
      </c>
      <c r="D34" s="39">
        <v>44079</v>
      </c>
      <c r="E34" s="48">
        <f>D34-C34</f>
        <v>353</v>
      </c>
      <c r="F34" s="43" t="s">
        <v>0</v>
      </c>
      <c r="G34" s="46"/>
      <c r="H34" s="46"/>
      <c r="I34" s="37"/>
      <c r="J34" s="53" t="s">
        <v>1373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37" t="s">
        <v>827</v>
      </c>
      <c r="B35" s="38" t="s">
        <v>828</v>
      </c>
      <c r="C35" s="39">
        <v>43380</v>
      </c>
      <c r="D35" s="39">
        <v>43731</v>
      </c>
      <c r="E35" s="46">
        <f>D35-C35</f>
        <v>351</v>
      </c>
      <c r="F35" s="43" t="s">
        <v>0</v>
      </c>
      <c r="G35" s="45" t="s">
        <v>829</v>
      </c>
      <c r="H35" s="46"/>
      <c r="I35" s="37"/>
      <c r="J35" s="53" t="s">
        <v>830</v>
      </c>
    </row>
    <row r="36" spans="1:26" ht="15.75" customHeight="1">
      <c r="A36" s="57" t="s">
        <v>983</v>
      </c>
      <c r="B36" s="42" t="s">
        <v>1243</v>
      </c>
      <c r="C36" s="39">
        <v>43634</v>
      </c>
      <c r="D36" s="39">
        <v>43981</v>
      </c>
      <c r="E36" s="48">
        <f>D36-C36</f>
        <v>347</v>
      </c>
      <c r="F36" s="43" t="s">
        <v>0</v>
      </c>
      <c r="G36" s="45" t="s">
        <v>1244</v>
      </c>
      <c r="H36" s="45" t="s">
        <v>817</v>
      </c>
      <c r="I36" s="37"/>
      <c r="J36" s="53" t="s">
        <v>1245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42" t="s">
        <v>1050</v>
      </c>
      <c r="B37" s="42" t="s">
        <v>1051</v>
      </c>
      <c r="C37" s="39">
        <v>43544</v>
      </c>
      <c r="D37" s="40">
        <v>43890</v>
      </c>
      <c r="E37" s="46">
        <f>D37-C37</f>
        <v>346</v>
      </c>
      <c r="F37" s="43" t="s">
        <v>0</v>
      </c>
      <c r="G37" s="45" t="s">
        <v>628</v>
      </c>
      <c r="H37" s="4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42" t="s">
        <v>1192</v>
      </c>
      <c r="B38" s="42" t="s">
        <v>510</v>
      </c>
      <c r="C38" s="39">
        <v>43606</v>
      </c>
      <c r="D38" s="39">
        <v>43950</v>
      </c>
      <c r="E38" s="46">
        <f>D38-C38</f>
        <v>344</v>
      </c>
      <c r="F38" s="43" t="s">
        <v>0</v>
      </c>
      <c r="G38" s="45" t="s">
        <v>512</v>
      </c>
      <c r="H38" s="46"/>
      <c r="I38" s="37"/>
      <c r="J38" s="53" t="s">
        <v>513</v>
      </c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42" t="s">
        <v>707</v>
      </c>
      <c r="B39" s="38" t="s">
        <v>791</v>
      </c>
      <c r="C39" s="39">
        <v>43361</v>
      </c>
      <c r="D39" s="39">
        <v>43702</v>
      </c>
      <c r="E39" s="46">
        <f>D39-C39</f>
        <v>341</v>
      </c>
      <c r="F39" s="43" t="s">
        <v>0</v>
      </c>
      <c r="G39" s="45" t="s">
        <v>792</v>
      </c>
      <c r="H39" s="46"/>
      <c r="I39" s="37"/>
      <c r="J39" s="53" t="s">
        <v>793</v>
      </c>
    </row>
    <row r="40" spans="1:26" ht="15.75" customHeight="1">
      <c r="A40" s="42" t="s">
        <v>1490</v>
      </c>
      <c r="B40" s="42" t="s">
        <v>1490</v>
      </c>
      <c r="C40" s="39">
        <v>43836</v>
      </c>
      <c r="D40" s="40">
        <v>44169</v>
      </c>
      <c r="E40" s="48">
        <f>D40-C40</f>
        <v>333</v>
      </c>
      <c r="F40" s="43" t="s">
        <v>0</v>
      </c>
      <c r="G40" s="46"/>
      <c r="H40" s="46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.75" customHeight="1">
      <c r="A41" s="42" t="s">
        <v>1327</v>
      </c>
      <c r="B41" s="42" t="s">
        <v>1331</v>
      </c>
      <c r="C41" s="39">
        <v>43703</v>
      </c>
      <c r="D41" s="39">
        <v>44033</v>
      </c>
      <c r="E41" s="46">
        <f>D41-C41</f>
        <v>330</v>
      </c>
      <c r="F41" s="43" t="s">
        <v>54</v>
      </c>
      <c r="G41" s="46"/>
      <c r="H41" s="46"/>
      <c r="I41" s="37"/>
      <c r="J41" s="53" t="s">
        <v>1332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42" t="s">
        <v>745</v>
      </c>
      <c r="B42" s="38" t="s">
        <v>746</v>
      </c>
      <c r="C42" s="39">
        <v>43345</v>
      </c>
      <c r="D42" s="39">
        <v>43673</v>
      </c>
      <c r="E42" s="46">
        <f>D42-C42</f>
        <v>328</v>
      </c>
      <c r="F42" s="43" t="s">
        <v>0</v>
      </c>
      <c r="G42" s="44"/>
      <c r="H42" s="44"/>
      <c r="I42" s="1"/>
      <c r="J42" s="1"/>
    </row>
    <row r="43" spans="1:26" ht="15.75" customHeight="1">
      <c r="A43" s="37" t="s">
        <v>816</v>
      </c>
      <c r="B43" s="42" t="s">
        <v>699</v>
      </c>
      <c r="C43" s="39">
        <v>43629</v>
      </c>
      <c r="D43" s="39">
        <v>43951</v>
      </c>
      <c r="E43" s="48">
        <f>D43-C43</f>
        <v>322</v>
      </c>
      <c r="F43" s="46" t="s">
        <v>794</v>
      </c>
      <c r="G43" s="46"/>
      <c r="H43" s="46"/>
      <c r="I43" s="37"/>
      <c r="J43" s="53" t="s">
        <v>1193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42" t="s">
        <v>1310</v>
      </c>
      <c r="B44" s="42" t="s">
        <v>1310</v>
      </c>
      <c r="C44" s="39">
        <v>43702</v>
      </c>
      <c r="D44" s="40">
        <v>44016</v>
      </c>
      <c r="E44" s="48">
        <f>D44-C44</f>
        <v>314</v>
      </c>
      <c r="F44" s="43" t="s">
        <v>54</v>
      </c>
      <c r="G44" s="46"/>
      <c r="H44" s="46"/>
      <c r="I44" s="37"/>
      <c r="J44" s="53" t="s">
        <v>1311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57" t="s">
        <v>595</v>
      </c>
      <c r="B45" s="42" t="s">
        <v>1180</v>
      </c>
      <c r="C45" s="39">
        <v>43646</v>
      </c>
      <c r="D45" s="40">
        <v>43946</v>
      </c>
      <c r="E45" s="48">
        <f>D45-C45</f>
        <v>300</v>
      </c>
      <c r="F45" s="43" t="s">
        <v>0</v>
      </c>
      <c r="G45" s="37"/>
      <c r="H45" s="46"/>
      <c r="I45" s="37"/>
      <c r="J45" s="53" t="s">
        <v>1181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42" t="s">
        <v>970</v>
      </c>
      <c r="B46" s="42" t="s">
        <v>971</v>
      </c>
      <c r="C46" s="39">
        <v>43537</v>
      </c>
      <c r="D46" s="66">
        <v>43834</v>
      </c>
      <c r="E46" s="46">
        <f>D46-C46</f>
        <v>297</v>
      </c>
      <c r="F46" s="43" t="s">
        <v>0</v>
      </c>
      <c r="G46" s="45" t="s">
        <v>972</v>
      </c>
      <c r="H46" s="3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7" t="s">
        <v>939</v>
      </c>
      <c r="B47" s="52" t="s">
        <v>1338</v>
      </c>
      <c r="C47" s="39">
        <v>43749</v>
      </c>
      <c r="D47" s="40">
        <v>44044</v>
      </c>
      <c r="E47" s="48">
        <f>D47-C47</f>
        <v>295</v>
      </c>
      <c r="F47" s="48" t="s">
        <v>1137</v>
      </c>
      <c r="G47" s="37"/>
      <c r="H47" s="46"/>
      <c r="I47" s="37"/>
      <c r="J47" s="53" t="s">
        <v>1339</v>
      </c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7" t="s">
        <v>1146</v>
      </c>
      <c r="B48" s="57" t="s">
        <v>1147</v>
      </c>
      <c r="C48" s="39">
        <v>43646</v>
      </c>
      <c r="D48" s="39">
        <v>43936</v>
      </c>
      <c r="E48" s="46">
        <f>D48-C48</f>
        <v>290</v>
      </c>
      <c r="F48" s="43" t="s">
        <v>0</v>
      </c>
      <c r="G48" s="45" t="s">
        <v>1148</v>
      </c>
      <c r="H48" s="46"/>
      <c r="I48" s="37"/>
      <c r="J48" s="53" t="s">
        <v>1149</v>
      </c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7" t="s">
        <v>847</v>
      </c>
      <c r="B49" s="38" t="s">
        <v>848</v>
      </c>
      <c r="C49" s="39">
        <v>43459</v>
      </c>
      <c r="D49" s="39">
        <v>43738</v>
      </c>
      <c r="E49" s="46">
        <f>D49-C49</f>
        <v>279</v>
      </c>
      <c r="F49" s="43" t="s">
        <v>0</v>
      </c>
      <c r="G49" s="46"/>
      <c r="H49" s="46"/>
      <c r="I49" s="37"/>
      <c r="J49" s="37"/>
    </row>
    <row r="50" spans="1:26" ht="15.75" customHeight="1">
      <c r="A50" s="50" t="s">
        <v>269</v>
      </c>
      <c r="B50" s="50" t="s">
        <v>270</v>
      </c>
      <c r="C50" s="66">
        <v>43555</v>
      </c>
      <c r="D50" s="66">
        <v>43834</v>
      </c>
      <c r="E50" s="46">
        <f>D50-C50</f>
        <v>279</v>
      </c>
      <c r="F50" s="67" t="s">
        <v>0</v>
      </c>
    </row>
    <row r="51" spans="1:26" ht="15.75" customHeight="1">
      <c r="A51" s="37" t="s">
        <v>1272</v>
      </c>
      <c r="B51" s="52" t="s">
        <v>1273</v>
      </c>
      <c r="C51" s="39">
        <v>43716</v>
      </c>
      <c r="D51" s="40">
        <v>43995</v>
      </c>
      <c r="E51" s="48">
        <f>D51-C51</f>
        <v>279</v>
      </c>
      <c r="F51" s="43" t="s">
        <v>853</v>
      </c>
      <c r="G51" s="45" t="s">
        <v>995</v>
      </c>
      <c r="H51" s="46"/>
      <c r="I51" s="37"/>
      <c r="J51" s="53" t="s">
        <v>1274</v>
      </c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42" t="s">
        <v>1413</v>
      </c>
      <c r="B52" s="42" t="s">
        <v>1472</v>
      </c>
      <c r="C52" s="39">
        <v>43876</v>
      </c>
      <c r="D52" s="40">
        <v>44155</v>
      </c>
      <c r="E52" s="48">
        <f>D52-C52</f>
        <v>279</v>
      </c>
      <c r="F52" s="43" t="s">
        <v>0</v>
      </c>
      <c r="G52" s="45" t="s">
        <v>1</v>
      </c>
      <c r="H52" s="46"/>
      <c r="I52" s="37"/>
      <c r="J52" s="53" t="s">
        <v>1473</v>
      </c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7" t="s">
        <v>1196</v>
      </c>
      <c r="B53" s="42" t="s">
        <v>1197</v>
      </c>
      <c r="C53" s="39">
        <v>43678</v>
      </c>
      <c r="D53" s="39">
        <v>43952</v>
      </c>
      <c r="E53" s="46">
        <f>D53-C53</f>
        <v>274</v>
      </c>
      <c r="F53" s="43" t="s">
        <v>0</v>
      </c>
      <c r="G53" s="46"/>
      <c r="H53" s="46"/>
      <c r="I53" s="37"/>
      <c r="J53" s="53" t="s">
        <v>1198</v>
      </c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57" t="s">
        <v>1189</v>
      </c>
      <c r="B54" s="42" t="s">
        <v>1190</v>
      </c>
      <c r="C54" s="39">
        <v>43678</v>
      </c>
      <c r="D54" s="40">
        <v>43949</v>
      </c>
      <c r="E54" s="46">
        <f>D54-C54</f>
        <v>271</v>
      </c>
      <c r="F54" s="43" t="s">
        <v>0</v>
      </c>
      <c r="G54" s="46"/>
      <c r="H54" s="46"/>
      <c r="I54" s="37"/>
      <c r="J54" s="53" t="s">
        <v>1191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42" t="s">
        <v>1468</v>
      </c>
      <c r="B55" s="42" t="s">
        <v>1469</v>
      </c>
      <c r="C55" s="39">
        <v>43884</v>
      </c>
      <c r="D55" s="40">
        <v>44155</v>
      </c>
      <c r="E55" s="48">
        <f>D55-C55</f>
        <v>271</v>
      </c>
      <c r="F55" s="43" t="s">
        <v>0</v>
      </c>
      <c r="G55" s="45" t="s">
        <v>1470</v>
      </c>
      <c r="H55" s="46"/>
      <c r="I55" s="37"/>
      <c r="J55" s="53" t="s">
        <v>1471</v>
      </c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42" t="s">
        <v>2866</v>
      </c>
      <c r="B56" s="38" t="s">
        <v>741</v>
      </c>
      <c r="C56" s="39">
        <v>43398</v>
      </c>
      <c r="D56" s="39">
        <v>43666</v>
      </c>
      <c r="E56" s="46">
        <f>D56-C56</f>
        <v>268</v>
      </c>
      <c r="F56" s="43" t="s">
        <v>464</v>
      </c>
      <c r="G56" s="45" t="s">
        <v>33</v>
      </c>
      <c r="H56" s="46" t="s">
        <v>455</v>
      </c>
      <c r="I56" s="37"/>
      <c r="J56" s="37"/>
    </row>
    <row r="57" spans="1:26" ht="15.75" customHeight="1">
      <c r="A57" s="65" t="s">
        <v>1350</v>
      </c>
      <c r="B57" s="42" t="s">
        <v>1351</v>
      </c>
      <c r="C57" s="39">
        <v>43784</v>
      </c>
      <c r="D57" s="39">
        <v>44052</v>
      </c>
      <c r="E57" s="46">
        <f>D57-C57</f>
        <v>268</v>
      </c>
      <c r="F57" s="43" t="s">
        <v>54</v>
      </c>
      <c r="G57" s="45" t="s">
        <v>33</v>
      </c>
      <c r="H57" s="46"/>
      <c r="I57" s="37"/>
      <c r="J57" s="37"/>
      <c r="K57" s="42" t="s">
        <v>1352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7" t="s">
        <v>359</v>
      </c>
      <c r="B58" s="38" t="s">
        <v>360</v>
      </c>
      <c r="C58" s="39">
        <v>43352</v>
      </c>
      <c r="D58" s="39">
        <v>43619</v>
      </c>
      <c r="E58" s="46">
        <f>D58-C58</f>
        <v>267</v>
      </c>
      <c r="F58" s="43" t="s">
        <v>0</v>
      </c>
      <c r="G58" s="45" t="s">
        <v>33</v>
      </c>
      <c r="H58" s="46"/>
      <c r="I58" s="37"/>
      <c r="J58" s="37"/>
    </row>
    <row r="59" spans="1:26" ht="15.75" customHeight="1">
      <c r="A59" s="42" t="s">
        <v>825</v>
      </c>
      <c r="B59" s="42" t="s">
        <v>951</v>
      </c>
      <c r="C59" s="39">
        <v>43548</v>
      </c>
      <c r="D59" s="39">
        <v>43814</v>
      </c>
      <c r="E59" s="46">
        <f>D59-C59</f>
        <v>266</v>
      </c>
      <c r="F59" s="48" t="s">
        <v>647</v>
      </c>
      <c r="G59" s="45" t="s">
        <v>826</v>
      </c>
      <c r="H59" s="46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42" t="s">
        <v>810</v>
      </c>
      <c r="B60" s="38" t="s">
        <v>839</v>
      </c>
      <c r="C60" s="39">
        <v>43471</v>
      </c>
      <c r="D60" s="39">
        <v>43736</v>
      </c>
      <c r="E60" s="46">
        <f>D60-C60</f>
        <v>265</v>
      </c>
      <c r="F60" s="45" t="s">
        <v>481</v>
      </c>
      <c r="G60" s="45" t="s">
        <v>33</v>
      </c>
      <c r="H60" s="46"/>
      <c r="I60" s="37"/>
      <c r="J60" s="37"/>
    </row>
    <row r="61" spans="1:26" ht="15.75" customHeight="1">
      <c r="A61" s="42" t="s">
        <v>998</v>
      </c>
      <c r="B61" s="42" t="s">
        <v>999</v>
      </c>
      <c r="C61" s="39">
        <v>43595</v>
      </c>
      <c r="D61" s="39">
        <v>43859</v>
      </c>
      <c r="E61" s="46">
        <f>D61-C61</f>
        <v>264</v>
      </c>
      <c r="F61" s="48" t="s">
        <v>928</v>
      </c>
      <c r="G61" s="45" t="s">
        <v>1</v>
      </c>
      <c r="H61" s="46"/>
      <c r="I61" s="37"/>
      <c r="J61" s="53" t="s">
        <v>1000</v>
      </c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57" t="s">
        <v>1141</v>
      </c>
      <c r="B62" s="42" t="s">
        <v>884</v>
      </c>
      <c r="C62" s="39">
        <v>43669</v>
      </c>
      <c r="D62" s="39">
        <v>43933</v>
      </c>
      <c r="E62" s="46">
        <f>D62-C62</f>
        <v>264</v>
      </c>
      <c r="F62" s="43" t="s">
        <v>859</v>
      </c>
      <c r="G62" s="46"/>
      <c r="H62" s="46"/>
      <c r="I62" s="37"/>
      <c r="J62" s="53" t="s">
        <v>1142</v>
      </c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7" t="s">
        <v>592</v>
      </c>
      <c r="B63" s="38" t="s">
        <v>837</v>
      </c>
      <c r="C63" s="39">
        <v>43473</v>
      </c>
      <c r="D63" s="39">
        <v>43736</v>
      </c>
      <c r="E63" s="46">
        <f>D63-C63</f>
        <v>263</v>
      </c>
      <c r="F63" s="43" t="s">
        <v>0</v>
      </c>
      <c r="G63" s="45" t="s">
        <v>838</v>
      </c>
      <c r="H63" s="46"/>
      <c r="I63" s="37"/>
      <c r="J63" s="37"/>
    </row>
    <row r="64" spans="1:26" ht="15.75" customHeight="1">
      <c r="A64" s="42" t="s">
        <v>1394</v>
      </c>
      <c r="B64" s="42" t="s">
        <v>1394</v>
      </c>
      <c r="C64" s="39">
        <v>43841</v>
      </c>
      <c r="D64" s="39">
        <v>44100</v>
      </c>
      <c r="E64" s="46">
        <f>D64-C64</f>
        <v>259</v>
      </c>
      <c r="F64" s="43" t="s">
        <v>1350</v>
      </c>
      <c r="G64" s="46"/>
      <c r="H64" s="46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7" t="s">
        <v>2853</v>
      </c>
      <c r="B65" s="42" t="s">
        <v>349</v>
      </c>
      <c r="C65" s="39">
        <v>43919</v>
      </c>
      <c r="D65" s="40">
        <v>44176</v>
      </c>
      <c r="E65" s="48">
        <f>D65-C65</f>
        <v>257</v>
      </c>
      <c r="F65" s="43" t="s">
        <v>0</v>
      </c>
      <c r="G65" s="45" t="s">
        <v>1491</v>
      </c>
      <c r="H65" s="46"/>
      <c r="I65" s="77"/>
      <c r="J65" s="53" t="s">
        <v>348</v>
      </c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5.75" customHeight="1">
      <c r="A66" s="37" t="s">
        <v>1322</v>
      </c>
      <c r="B66" s="42" t="s">
        <v>1323</v>
      </c>
      <c r="C66" s="39">
        <v>43767</v>
      </c>
      <c r="D66" s="39">
        <v>44023</v>
      </c>
      <c r="E66" s="46">
        <f>D66-C66</f>
        <v>256</v>
      </c>
      <c r="F66" s="43" t="s">
        <v>0</v>
      </c>
      <c r="G66" s="46"/>
      <c r="H66" s="46"/>
      <c r="I66" s="37"/>
      <c r="J66" s="53" t="s">
        <v>1324</v>
      </c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42" t="s">
        <v>916</v>
      </c>
      <c r="B67" s="38" t="s">
        <v>917</v>
      </c>
      <c r="C67" s="39">
        <v>43548</v>
      </c>
      <c r="D67" s="39">
        <v>43800</v>
      </c>
      <c r="E67" s="46">
        <f>D67-C67</f>
        <v>252</v>
      </c>
      <c r="F67" s="48" t="s">
        <v>918</v>
      </c>
      <c r="G67" s="45" t="s">
        <v>919</v>
      </c>
      <c r="H67" s="46"/>
      <c r="I67" s="37"/>
      <c r="J67" s="37"/>
    </row>
    <row r="68" spans="1:26" ht="15.75" customHeight="1">
      <c r="A68" s="37" t="s">
        <v>877</v>
      </c>
      <c r="B68" s="38" t="s">
        <v>890</v>
      </c>
      <c r="C68" s="39">
        <v>43521</v>
      </c>
      <c r="D68" s="39">
        <v>43772</v>
      </c>
      <c r="E68" s="46">
        <f>D68-C68</f>
        <v>251</v>
      </c>
      <c r="F68" s="48" t="s">
        <v>589</v>
      </c>
      <c r="G68" s="44"/>
      <c r="H68" s="44"/>
      <c r="I68" s="1"/>
      <c r="J68" s="1"/>
    </row>
    <row r="69" spans="1:26" ht="15.75" customHeight="1">
      <c r="A69" s="37" t="s">
        <v>100</v>
      </c>
      <c r="B69" s="52" t="s">
        <v>1280</v>
      </c>
      <c r="C69" s="39">
        <v>43752</v>
      </c>
      <c r="D69" s="39">
        <v>44002</v>
      </c>
      <c r="E69" s="46">
        <f>D69-C69</f>
        <v>250</v>
      </c>
      <c r="F69" s="43" t="s">
        <v>884</v>
      </c>
      <c r="G69" s="45" t="s">
        <v>995</v>
      </c>
      <c r="H69" s="46"/>
      <c r="I69" s="37"/>
      <c r="J69" s="53" t="s">
        <v>115</v>
      </c>
      <c r="K69" s="52" t="s">
        <v>1281</v>
      </c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42" t="s">
        <v>686</v>
      </c>
      <c r="B70" s="38" t="s">
        <v>913</v>
      </c>
      <c r="C70" s="39">
        <v>43544</v>
      </c>
      <c r="D70" s="39">
        <v>43792</v>
      </c>
      <c r="E70" s="46">
        <f>D70-C70</f>
        <v>248</v>
      </c>
      <c r="F70" s="43" t="s">
        <v>524</v>
      </c>
      <c r="G70" s="46"/>
      <c r="H70" s="46"/>
      <c r="I70" s="37"/>
      <c r="J70" s="37"/>
    </row>
    <row r="71" spans="1:26" ht="15.75" customHeight="1">
      <c r="A71" s="56" t="s">
        <v>637</v>
      </c>
      <c r="B71" s="56" t="s">
        <v>638</v>
      </c>
      <c r="C71" s="61">
        <v>43601</v>
      </c>
      <c r="D71" s="61">
        <v>43848</v>
      </c>
      <c r="E71" s="55">
        <f>D71-C71</f>
        <v>247</v>
      </c>
      <c r="F71" s="62" t="s">
        <v>0</v>
      </c>
      <c r="G71" s="55"/>
      <c r="H71" s="55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customHeight="1">
      <c r="A72" s="57" t="s">
        <v>1234</v>
      </c>
      <c r="B72" s="52" t="s">
        <v>1234</v>
      </c>
      <c r="C72" s="39">
        <v>43722</v>
      </c>
      <c r="D72" s="40">
        <v>43969</v>
      </c>
      <c r="E72" s="46">
        <f>D72-C72</f>
        <v>247</v>
      </c>
      <c r="F72" s="43" t="s">
        <v>0</v>
      </c>
      <c r="G72" s="45" t="s">
        <v>942</v>
      </c>
      <c r="H72" s="46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7" t="s">
        <v>702</v>
      </c>
      <c r="B73" s="38" t="s">
        <v>905</v>
      </c>
      <c r="C73" s="39">
        <v>43544</v>
      </c>
      <c r="D73" s="39">
        <v>43790</v>
      </c>
      <c r="E73" s="46">
        <f>D73-C73</f>
        <v>246</v>
      </c>
      <c r="F73" s="43" t="s">
        <v>0</v>
      </c>
      <c r="G73" s="64" t="s">
        <v>33</v>
      </c>
      <c r="H73" s="44"/>
      <c r="I73" s="1"/>
      <c r="J73" s="1"/>
    </row>
    <row r="74" spans="1:26" ht="15.75" customHeight="1">
      <c r="A74" s="42" t="s">
        <v>906</v>
      </c>
      <c r="B74" s="38" t="s">
        <v>907</v>
      </c>
      <c r="C74" s="39">
        <v>43544</v>
      </c>
      <c r="D74" s="39">
        <v>43790</v>
      </c>
      <c r="E74" s="46">
        <f>D74-C74</f>
        <v>246</v>
      </c>
      <c r="F74" s="43" t="s">
        <v>0</v>
      </c>
      <c r="G74" s="45" t="s">
        <v>33</v>
      </c>
      <c r="H74" s="46"/>
      <c r="I74" s="37"/>
      <c r="J74" s="37"/>
    </row>
    <row r="75" spans="1:26" ht="15.75" customHeight="1">
      <c r="A75" s="37" t="s">
        <v>1258</v>
      </c>
      <c r="B75" s="52" t="s">
        <v>1259</v>
      </c>
      <c r="C75" s="39">
        <v>43743</v>
      </c>
      <c r="D75" s="39">
        <v>43988</v>
      </c>
      <c r="E75" s="46">
        <f>D75-C75</f>
        <v>245</v>
      </c>
      <c r="F75" s="43" t="s">
        <v>0</v>
      </c>
      <c r="G75" s="46"/>
      <c r="H75" s="46"/>
      <c r="I75" s="37"/>
      <c r="J75" s="53" t="s">
        <v>1260</v>
      </c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42" t="s">
        <v>694</v>
      </c>
      <c r="B76" s="38" t="s">
        <v>695</v>
      </c>
      <c r="C76" s="39">
        <v>43386</v>
      </c>
      <c r="D76" s="39">
        <v>43625</v>
      </c>
      <c r="E76" s="46">
        <f>D76-C76</f>
        <v>239</v>
      </c>
      <c r="F76" s="46" t="s">
        <v>498</v>
      </c>
      <c r="G76" s="45" t="s">
        <v>26</v>
      </c>
      <c r="H76" s="44"/>
      <c r="I76" s="1"/>
      <c r="J76" s="3" t="s">
        <v>696</v>
      </c>
    </row>
    <row r="77" spans="1:26" ht="15.75" customHeight="1">
      <c r="A77" s="37" t="s">
        <v>1353</v>
      </c>
      <c r="B77" s="42" t="s">
        <v>1354</v>
      </c>
      <c r="C77" s="39">
        <v>43829</v>
      </c>
      <c r="D77" s="40">
        <v>44058</v>
      </c>
      <c r="E77" s="48">
        <f>D77-C77</f>
        <v>229</v>
      </c>
      <c r="F77" s="43" t="s">
        <v>0</v>
      </c>
      <c r="G77" s="45" t="s">
        <v>26</v>
      </c>
      <c r="H77" s="46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42" t="s">
        <v>1430</v>
      </c>
      <c r="B78" s="42" t="s">
        <v>1431</v>
      </c>
      <c r="C78" s="39">
        <v>43899</v>
      </c>
      <c r="D78" s="40">
        <v>44128</v>
      </c>
      <c r="E78" s="48">
        <f>D78-C78</f>
        <v>229</v>
      </c>
      <c r="F78" s="45" t="s">
        <v>0</v>
      </c>
      <c r="G78" s="45" t="s">
        <v>33</v>
      </c>
      <c r="H78" s="46"/>
      <c r="I78" s="37"/>
      <c r="J78" s="53" t="s">
        <v>1432</v>
      </c>
      <c r="K78" s="74" t="s">
        <v>1433</v>
      </c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37" t="s">
        <v>565</v>
      </c>
      <c r="B79" s="38" t="s">
        <v>627</v>
      </c>
      <c r="C79" s="39">
        <v>43354</v>
      </c>
      <c r="D79" s="39">
        <v>43582</v>
      </c>
      <c r="E79" s="46">
        <f>D79-C79</f>
        <v>228</v>
      </c>
      <c r="F79" s="45" t="s">
        <v>601</v>
      </c>
      <c r="G79" s="45" t="s">
        <v>628</v>
      </c>
      <c r="H79" s="46"/>
      <c r="I79" s="37"/>
      <c r="J79" s="37"/>
    </row>
    <row r="80" spans="1:26" ht="15.75" customHeight="1">
      <c r="A80" s="42" t="s">
        <v>881</v>
      </c>
      <c r="B80" s="42" t="s">
        <v>955</v>
      </c>
      <c r="C80" s="39">
        <v>43594</v>
      </c>
      <c r="D80" s="39">
        <v>43820</v>
      </c>
      <c r="E80" s="46">
        <f>D80-C80</f>
        <v>226</v>
      </c>
      <c r="F80" s="48" t="s">
        <v>847</v>
      </c>
      <c r="G80" s="45" t="s">
        <v>956</v>
      </c>
      <c r="H80" s="46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52" t="s">
        <v>1145</v>
      </c>
      <c r="B81" s="52" t="s">
        <v>1145</v>
      </c>
      <c r="C81" s="39">
        <v>43711</v>
      </c>
      <c r="D81" s="39">
        <v>43936</v>
      </c>
      <c r="E81" s="46">
        <f>D81-C81</f>
        <v>225</v>
      </c>
      <c r="F81" s="43" t="s">
        <v>723</v>
      </c>
      <c r="G81" s="46"/>
      <c r="H81" s="46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42" t="s">
        <v>601</v>
      </c>
      <c r="B82" s="38" t="s">
        <v>602</v>
      </c>
      <c r="C82" s="39">
        <v>43346</v>
      </c>
      <c r="D82" s="39">
        <v>43570</v>
      </c>
      <c r="E82" s="46">
        <f>D82-C82</f>
        <v>224</v>
      </c>
      <c r="F82" s="46"/>
      <c r="G82" s="45" t="s">
        <v>33</v>
      </c>
      <c r="H82" s="46"/>
      <c r="I82" s="37"/>
      <c r="J82" s="37"/>
    </row>
    <row r="83" spans="1:26" ht="15.75" customHeight="1">
      <c r="A83" s="37" t="s">
        <v>1447</v>
      </c>
      <c r="B83" s="42" t="s">
        <v>1448</v>
      </c>
      <c r="C83" s="39">
        <v>43918</v>
      </c>
      <c r="D83" s="40">
        <v>44142</v>
      </c>
      <c r="E83" s="48">
        <f>D83-C83</f>
        <v>224</v>
      </c>
      <c r="F83" s="48" t="s">
        <v>2864</v>
      </c>
      <c r="G83" s="46"/>
      <c r="H83" s="45" t="s">
        <v>1450</v>
      </c>
      <c r="I83" s="37"/>
      <c r="J83" s="53" t="s">
        <v>1451</v>
      </c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57" t="s">
        <v>1018</v>
      </c>
      <c r="B84" s="42" t="s">
        <v>1018</v>
      </c>
      <c r="C84" s="39">
        <v>43653</v>
      </c>
      <c r="D84" s="40">
        <v>43876</v>
      </c>
      <c r="E84" s="48">
        <f>D84-C84</f>
        <v>223</v>
      </c>
      <c r="F84" s="43" t="s">
        <v>686</v>
      </c>
      <c r="G84" s="44"/>
      <c r="H84" s="4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7" t="s">
        <v>1009</v>
      </c>
      <c r="B85" s="42" t="s">
        <v>1036</v>
      </c>
      <c r="C85" s="39">
        <v>43660</v>
      </c>
      <c r="D85" s="40">
        <v>43883</v>
      </c>
      <c r="E85" s="46">
        <f>D85-C85</f>
        <v>223</v>
      </c>
      <c r="F85" s="45" t="s">
        <v>1037</v>
      </c>
      <c r="G85" s="45" t="s">
        <v>1</v>
      </c>
      <c r="H85" s="46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42" t="s">
        <v>1114</v>
      </c>
      <c r="B86" s="42" t="s">
        <v>1115</v>
      </c>
      <c r="C86" s="39">
        <v>43702</v>
      </c>
      <c r="D86" s="39">
        <v>43925</v>
      </c>
      <c r="E86" s="46">
        <f>D86-C86</f>
        <v>223</v>
      </c>
      <c r="F86" s="43" t="s">
        <v>1018</v>
      </c>
      <c r="G86" s="46"/>
      <c r="H86" s="46"/>
      <c r="I86" s="37"/>
      <c r="J86" s="53" t="s">
        <v>1116</v>
      </c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7" t="s">
        <v>619</v>
      </c>
      <c r="B87" s="38" t="s">
        <v>620</v>
      </c>
      <c r="C87" s="39">
        <v>43857</v>
      </c>
      <c r="D87" s="39">
        <v>44079</v>
      </c>
      <c r="E87" s="46">
        <f>D87-C87</f>
        <v>222</v>
      </c>
      <c r="F87" s="43" t="s">
        <v>0</v>
      </c>
      <c r="G87" s="45" t="s">
        <v>1369</v>
      </c>
      <c r="H87" s="46"/>
      <c r="I87" s="37"/>
      <c r="J87" s="53" t="s">
        <v>1370</v>
      </c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42" t="s">
        <v>810</v>
      </c>
      <c r="B88" s="42" t="s">
        <v>839</v>
      </c>
      <c r="C88" s="39">
        <v>43770</v>
      </c>
      <c r="D88" s="40">
        <v>43988</v>
      </c>
      <c r="E88" s="48">
        <f>D88-C88</f>
        <v>218</v>
      </c>
      <c r="F88" s="43" t="s">
        <v>0</v>
      </c>
      <c r="G88" s="45" t="s">
        <v>33</v>
      </c>
      <c r="H88" s="46"/>
      <c r="I88" s="37"/>
      <c r="J88" s="53" t="s">
        <v>1257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7" t="s">
        <v>654</v>
      </c>
      <c r="B89" s="38" t="s">
        <v>655</v>
      </c>
      <c r="C89" s="39">
        <v>43381</v>
      </c>
      <c r="D89" s="39">
        <v>43596</v>
      </c>
      <c r="E89" s="46">
        <f>D89-C89</f>
        <v>215</v>
      </c>
      <c r="F89" s="43" t="s">
        <v>0</v>
      </c>
      <c r="G89" s="45" t="s">
        <v>106</v>
      </c>
      <c r="H89" s="46"/>
      <c r="I89" s="37"/>
      <c r="J89" s="37"/>
    </row>
    <row r="90" spans="1:26" ht="15.75" customHeight="1">
      <c r="A90" s="37" t="s">
        <v>639</v>
      </c>
      <c r="B90" s="42" t="s">
        <v>640</v>
      </c>
      <c r="C90" s="39">
        <v>43627</v>
      </c>
      <c r="D90" s="61">
        <v>43841</v>
      </c>
      <c r="E90" s="55">
        <f>D90-C90</f>
        <v>214</v>
      </c>
      <c r="F90" s="43" t="s">
        <v>0</v>
      </c>
      <c r="G90" s="46"/>
      <c r="H90" s="46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7" t="s">
        <v>1379</v>
      </c>
      <c r="B91" s="42" t="s">
        <v>1380</v>
      </c>
      <c r="C91" s="39">
        <v>43870</v>
      </c>
      <c r="D91" s="40">
        <v>44080</v>
      </c>
      <c r="E91" s="48">
        <f>D91-C91</f>
        <v>210</v>
      </c>
      <c r="F91" s="43" t="s">
        <v>0</v>
      </c>
      <c r="G91" s="45" t="s">
        <v>70</v>
      </c>
      <c r="H91" s="46"/>
      <c r="I91" s="37"/>
      <c r="J91" s="53" t="s">
        <v>1381</v>
      </c>
      <c r="K91" s="42" t="s">
        <v>1382</v>
      </c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56" t="s">
        <v>813</v>
      </c>
      <c r="B92" s="56" t="s">
        <v>982</v>
      </c>
      <c r="C92" s="61">
        <v>43640</v>
      </c>
      <c r="D92" s="61">
        <v>43848</v>
      </c>
      <c r="E92" s="55">
        <f>D92-C92</f>
        <v>208</v>
      </c>
      <c r="F92" s="62" t="s">
        <v>983</v>
      </c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customHeight="1">
      <c r="A93" s="37" t="s">
        <v>1420</v>
      </c>
      <c r="B93" s="42" t="s">
        <v>1421</v>
      </c>
      <c r="C93" s="39">
        <v>43913</v>
      </c>
      <c r="D93" s="40">
        <v>44121</v>
      </c>
      <c r="E93" s="48">
        <f>D93-C93</f>
        <v>208</v>
      </c>
      <c r="F93" s="43" t="s">
        <v>0</v>
      </c>
      <c r="G93" s="45" t="s">
        <v>312</v>
      </c>
      <c r="H93" s="46"/>
      <c r="I93" s="37"/>
      <c r="J93" s="53" t="s">
        <v>1422</v>
      </c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42" t="s">
        <v>965</v>
      </c>
      <c r="B94" s="42" t="s">
        <v>966</v>
      </c>
      <c r="C94" s="39">
        <v>43620</v>
      </c>
      <c r="D94" s="39">
        <v>43827</v>
      </c>
      <c r="E94" s="46">
        <f>D94-C94</f>
        <v>207</v>
      </c>
      <c r="F94" s="43" t="s">
        <v>0</v>
      </c>
      <c r="G94" s="46"/>
      <c r="H94" s="46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42" t="s">
        <v>1367</v>
      </c>
      <c r="B95" s="42" t="s">
        <v>1368</v>
      </c>
      <c r="C95" s="39">
        <v>43870</v>
      </c>
      <c r="D95" s="40">
        <v>44077</v>
      </c>
      <c r="E95" s="48">
        <f>D95-C95</f>
        <v>207</v>
      </c>
      <c r="F95" s="43" t="s">
        <v>0</v>
      </c>
      <c r="G95" s="45" t="s">
        <v>70</v>
      </c>
      <c r="H95" s="46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37" t="s">
        <v>1364</v>
      </c>
      <c r="B96" s="42" t="s">
        <v>1365</v>
      </c>
      <c r="C96" s="39">
        <v>43870</v>
      </c>
      <c r="D96" s="40">
        <v>44076</v>
      </c>
      <c r="E96" s="48">
        <f>D96-C96</f>
        <v>206</v>
      </c>
      <c r="F96" s="43" t="s">
        <v>0</v>
      </c>
      <c r="G96" s="45" t="s">
        <v>312</v>
      </c>
      <c r="H96" s="46"/>
      <c r="I96" s="37"/>
      <c r="J96" s="53" t="s">
        <v>1366</v>
      </c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37" t="s">
        <v>31</v>
      </c>
      <c r="B97" s="38" t="s">
        <v>32</v>
      </c>
      <c r="C97" s="39">
        <v>43368</v>
      </c>
      <c r="D97" s="39">
        <v>43567</v>
      </c>
      <c r="E97" s="46">
        <f>D97-C97</f>
        <v>199</v>
      </c>
      <c r="F97" s="43" t="s">
        <v>0</v>
      </c>
      <c r="G97" s="46"/>
      <c r="H97" s="46"/>
      <c r="I97" s="37"/>
      <c r="J97" s="37"/>
    </row>
    <row r="98" spans="1:26" ht="15.75" customHeight="1">
      <c r="A98" s="42" t="s">
        <v>656</v>
      </c>
      <c r="B98" s="38" t="s">
        <v>657</v>
      </c>
      <c r="C98" s="39">
        <v>43398</v>
      </c>
      <c r="D98" s="39">
        <v>43597</v>
      </c>
      <c r="E98" s="46">
        <f>D98-C98</f>
        <v>199</v>
      </c>
      <c r="F98" s="43" t="s">
        <v>464</v>
      </c>
      <c r="G98" s="45" t="s">
        <v>33</v>
      </c>
      <c r="H98" s="46"/>
      <c r="I98" s="37"/>
      <c r="J98" s="37"/>
    </row>
    <row r="99" spans="1:26" ht="15.75" customHeight="1">
      <c r="A99" s="42" t="s">
        <v>1499</v>
      </c>
      <c r="B99" s="42" t="s">
        <v>1500</v>
      </c>
      <c r="C99" s="39">
        <v>43979</v>
      </c>
      <c r="D99" s="40">
        <v>44178</v>
      </c>
      <c r="E99" s="48">
        <f>D99-C99</f>
        <v>199</v>
      </c>
      <c r="F99" s="48" t="s">
        <v>1093</v>
      </c>
      <c r="G99" s="46"/>
      <c r="H99" s="46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5.75" customHeight="1">
      <c r="A100" s="37" t="s">
        <v>861</v>
      </c>
      <c r="B100" s="38" t="s">
        <v>862</v>
      </c>
      <c r="C100" s="39">
        <v>43548</v>
      </c>
      <c r="D100" s="39">
        <v>43745</v>
      </c>
      <c r="E100" s="46">
        <f>D100-C100</f>
        <v>197</v>
      </c>
      <c r="F100" s="43" t="s">
        <v>0</v>
      </c>
      <c r="G100" s="46"/>
      <c r="H100" s="46"/>
      <c r="I100" s="37"/>
      <c r="J100" s="37"/>
    </row>
    <row r="101" spans="1:26" ht="15.75" customHeight="1">
      <c r="A101" s="42" t="s">
        <v>1333</v>
      </c>
      <c r="B101" s="42" t="s">
        <v>1333</v>
      </c>
      <c r="C101" s="39">
        <v>43841</v>
      </c>
      <c r="D101" s="39">
        <v>44038</v>
      </c>
      <c r="E101" s="48">
        <f>D101-C101</f>
        <v>197</v>
      </c>
      <c r="F101" s="48" t="s">
        <v>1137</v>
      </c>
      <c r="G101" s="46"/>
      <c r="H101" s="46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42" t="s">
        <v>945</v>
      </c>
      <c r="B102" s="38" t="s">
        <v>946</v>
      </c>
      <c r="C102" s="39">
        <v>43620</v>
      </c>
      <c r="D102" s="39">
        <v>43813</v>
      </c>
      <c r="E102" s="46">
        <f>D102-C102</f>
        <v>193</v>
      </c>
      <c r="F102" s="43" t="s">
        <v>0</v>
      </c>
      <c r="G102" s="45" t="s">
        <v>26</v>
      </c>
      <c r="H102" s="46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7" t="s">
        <v>1075</v>
      </c>
      <c r="B103" s="52" t="s">
        <v>1076</v>
      </c>
      <c r="C103" s="39">
        <v>43712</v>
      </c>
      <c r="D103" s="39">
        <v>43905</v>
      </c>
      <c r="E103" s="46">
        <f>D103-C103</f>
        <v>193</v>
      </c>
      <c r="F103" s="43" t="s">
        <v>19</v>
      </c>
      <c r="G103" s="45" t="s">
        <v>1077</v>
      </c>
      <c r="H103" s="46"/>
      <c r="I103" s="37"/>
      <c r="J103" s="53" t="s">
        <v>1078</v>
      </c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65" t="s">
        <v>1316</v>
      </c>
      <c r="B104" s="42" t="s">
        <v>1317</v>
      </c>
      <c r="C104" s="39">
        <v>43825</v>
      </c>
      <c r="D104" s="40">
        <v>44017</v>
      </c>
      <c r="E104" s="48">
        <f>D104-C104</f>
        <v>192</v>
      </c>
      <c r="F104" s="43" t="s">
        <v>0</v>
      </c>
      <c r="G104" s="45" t="s">
        <v>33</v>
      </c>
      <c r="H104" s="46"/>
      <c r="I104" s="37"/>
      <c r="J104" s="53" t="s">
        <v>1318</v>
      </c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42" t="s">
        <v>474</v>
      </c>
      <c r="B105" s="38" t="s">
        <v>630</v>
      </c>
      <c r="C105" s="39">
        <v>43396</v>
      </c>
      <c r="D105" s="39">
        <v>43584</v>
      </c>
      <c r="E105" s="46">
        <f>D105-C105</f>
        <v>188</v>
      </c>
      <c r="F105" s="43" t="s">
        <v>601</v>
      </c>
      <c r="G105" s="45" t="s">
        <v>471</v>
      </c>
      <c r="H105" s="46"/>
      <c r="I105" s="37"/>
      <c r="J105" s="37"/>
    </row>
    <row r="106" spans="1:26" ht="15.75" customHeight="1">
      <c r="A106" s="37" t="s">
        <v>301</v>
      </c>
      <c r="B106" s="38" t="s">
        <v>303</v>
      </c>
      <c r="C106" s="39">
        <v>43522</v>
      </c>
      <c r="D106" s="40">
        <v>43710</v>
      </c>
      <c r="E106" s="48">
        <f>D106-C106</f>
        <v>188</v>
      </c>
      <c r="F106" s="45" t="s">
        <v>2854</v>
      </c>
      <c r="G106" s="46"/>
      <c r="H106" s="46"/>
      <c r="I106" s="37"/>
      <c r="J106" s="37"/>
    </row>
    <row r="107" spans="1:26" ht="15.75" customHeight="1">
      <c r="A107" s="37" t="s">
        <v>803</v>
      </c>
      <c r="B107" s="38" t="s">
        <v>804</v>
      </c>
      <c r="C107" s="39">
        <v>43524</v>
      </c>
      <c r="D107" s="39">
        <v>43712</v>
      </c>
      <c r="E107" s="46">
        <f>D107-C107</f>
        <v>188</v>
      </c>
      <c r="F107" s="43" t="s">
        <v>0</v>
      </c>
      <c r="G107" s="45" t="s">
        <v>805</v>
      </c>
      <c r="H107" s="46"/>
      <c r="I107" s="37"/>
      <c r="J107" s="37"/>
    </row>
    <row r="108" spans="1:26" ht="15.75" customHeight="1">
      <c r="A108" s="37" t="s">
        <v>1286</v>
      </c>
      <c r="B108" s="42" t="s">
        <v>1287</v>
      </c>
      <c r="C108" s="39">
        <v>43817</v>
      </c>
      <c r="D108" s="39">
        <v>44004</v>
      </c>
      <c r="E108" s="48">
        <f>D108-C108</f>
        <v>187</v>
      </c>
      <c r="F108" s="48" t="s">
        <v>1212</v>
      </c>
      <c r="G108" s="46"/>
      <c r="H108" s="46"/>
      <c r="I108" s="37"/>
      <c r="J108" s="53" t="s">
        <v>1288</v>
      </c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7" t="s">
        <v>531</v>
      </c>
      <c r="B109" s="38" t="s">
        <v>532</v>
      </c>
      <c r="C109" s="39">
        <v>43345</v>
      </c>
      <c r="D109" s="39">
        <v>43529</v>
      </c>
      <c r="E109" s="46">
        <f>D109-C109</f>
        <v>184</v>
      </c>
      <c r="F109" s="46"/>
      <c r="H109" s="46" t="s">
        <v>533</v>
      </c>
      <c r="I109" s="37"/>
      <c r="J109" s="37"/>
    </row>
    <row r="110" spans="1:26" ht="15.75" customHeight="1">
      <c r="A110" s="42" t="s">
        <v>549</v>
      </c>
      <c r="B110" s="38" t="s">
        <v>549</v>
      </c>
      <c r="C110" s="39">
        <v>43477</v>
      </c>
      <c r="D110" s="39">
        <v>43659</v>
      </c>
      <c r="E110" s="46">
        <f>D110-C110</f>
        <v>182</v>
      </c>
      <c r="F110" s="45" t="s">
        <v>481</v>
      </c>
      <c r="G110" s="46"/>
      <c r="H110" s="46"/>
      <c r="I110" s="37"/>
      <c r="J110" s="37"/>
    </row>
    <row r="111" spans="1:26" ht="15.75" customHeight="1">
      <c r="A111" s="37" t="s">
        <v>1101</v>
      </c>
      <c r="B111" s="52" t="s">
        <v>1102</v>
      </c>
      <c r="C111" s="39">
        <v>43741</v>
      </c>
      <c r="D111" s="39">
        <v>43922</v>
      </c>
      <c r="E111" s="46">
        <f>D111-C111</f>
        <v>181</v>
      </c>
      <c r="F111" s="43" t="s">
        <v>0</v>
      </c>
      <c r="G111" s="46"/>
      <c r="H111" s="46"/>
      <c r="I111" s="37"/>
      <c r="J111" s="53" t="s">
        <v>1104</v>
      </c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7" t="s">
        <v>931</v>
      </c>
      <c r="B112" s="38" t="s">
        <v>932</v>
      </c>
      <c r="C112" s="39">
        <v>43626</v>
      </c>
      <c r="D112" s="39">
        <v>43806</v>
      </c>
      <c r="E112" s="46">
        <f>D112-C112</f>
        <v>180</v>
      </c>
      <c r="F112" s="43" t="s">
        <v>54</v>
      </c>
      <c r="G112" s="45" t="s">
        <v>312</v>
      </c>
      <c r="H112" s="46"/>
      <c r="I112" s="37"/>
      <c r="J112" s="37"/>
    </row>
    <row r="113" spans="1:26" ht="15.75" customHeight="1">
      <c r="A113" s="57" t="s">
        <v>963</v>
      </c>
      <c r="B113" s="42" t="s">
        <v>964</v>
      </c>
      <c r="C113" s="39">
        <v>43647</v>
      </c>
      <c r="D113" s="39">
        <v>43827</v>
      </c>
      <c r="E113" s="46">
        <f>D113-C113</f>
        <v>180</v>
      </c>
      <c r="F113" s="43" t="s">
        <v>726</v>
      </c>
      <c r="G113" s="46"/>
      <c r="H113" s="46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7" t="s">
        <v>1222</v>
      </c>
      <c r="B114" s="42" t="s">
        <v>1223</v>
      </c>
      <c r="C114" s="39">
        <v>43780</v>
      </c>
      <c r="D114" s="39">
        <v>43960</v>
      </c>
      <c r="E114" s="46">
        <f>D114-C114</f>
        <v>180</v>
      </c>
      <c r="F114" s="43" t="s">
        <v>1224</v>
      </c>
      <c r="G114" s="45" t="s">
        <v>33</v>
      </c>
      <c r="H114" s="46"/>
      <c r="I114" s="37"/>
      <c r="J114" s="53" t="s">
        <v>1225</v>
      </c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7" t="s">
        <v>921</v>
      </c>
      <c r="B115" s="51" t="s">
        <v>922</v>
      </c>
      <c r="C115" s="39">
        <v>43626</v>
      </c>
      <c r="D115" s="39">
        <v>43805</v>
      </c>
      <c r="E115" s="46">
        <f>D115-C115</f>
        <v>179</v>
      </c>
      <c r="F115" s="43" t="s">
        <v>54</v>
      </c>
      <c r="G115" s="45" t="s">
        <v>33</v>
      </c>
      <c r="H115" s="46"/>
      <c r="I115" s="37"/>
      <c r="J115" s="37"/>
    </row>
    <row r="116" spans="1:26" ht="15.75" customHeight="1">
      <c r="A116" s="37" t="s">
        <v>624</v>
      </c>
      <c r="B116" s="42" t="s">
        <v>625</v>
      </c>
      <c r="C116" s="39">
        <v>43649</v>
      </c>
      <c r="D116" s="39">
        <v>43827</v>
      </c>
      <c r="E116" s="46">
        <f>D116-C116</f>
        <v>178</v>
      </c>
      <c r="F116" s="43" t="s">
        <v>0</v>
      </c>
      <c r="G116" s="45" t="s">
        <v>33</v>
      </c>
      <c r="H116" s="46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7" t="s">
        <v>519</v>
      </c>
      <c r="B117" s="38" t="s">
        <v>520</v>
      </c>
      <c r="C117" s="39">
        <v>43345</v>
      </c>
      <c r="D117" s="39">
        <v>43522</v>
      </c>
      <c r="E117" s="46">
        <f>D117-C117</f>
        <v>177</v>
      </c>
      <c r="F117" s="46"/>
      <c r="G117" s="45" t="s">
        <v>1</v>
      </c>
      <c r="H117" s="45" t="s">
        <v>521</v>
      </c>
      <c r="I117" s="37"/>
      <c r="J117" s="37"/>
    </row>
    <row r="118" spans="1:26" ht="15.75" customHeight="1">
      <c r="A118" s="37" t="s">
        <v>529</v>
      </c>
      <c r="B118" s="38" t="s">
        <v>530</v>
      </c>
      <c r="C118" s="39">
        <v>43350</v>
      </c>
      <c r="D118" s="39">
        <v>43526</v>
      </c>
      <c r="E118" s="48">
        <f>D118-C118</f>
        <v>176</v>
      </c>
      <c r="F118" s="46"/>
      <c r="G118" s="46"/>
      <c r="H118" s="46"/>
      <c r="I118" s="37"/>
      <c r="J118" s="37"/>
    </row>
    <row r="119" spans="1:26" ht="15.75" customHeight="1">
      <c r="A119" s="42" t="s">
        <v>527</v>
      </c>
      <c r="B119" s="38" t="s">
        <v>528</v>
      </c>
      <c r="C119" s="39">
        <v>43352</v>
      </c>
      <c r="D119" s="39">
        <v>43526</v>
      </c>
      <c r="E119" s="48">
        <f>D119-C119</f>
        <v>174</v>
      </c>
      <c r="F119" s="43" t="s">
        <v>0</v>
      </c>
      <c r="G119" s="46"/>
      <c r="H119" s="46"/>
      <c r="I119" s="37"/>
      <c r="J119" s="37"/>
    </row>
    <row r="120" spans="1:26" ht="15.75" customHeight="1">
      <c r="A120" s="37" t="s">
        <v>1417</v>
      </c>
      <c r="B120" s="42" t="s">
        <v>1418</v>
      </c>
      <c r="C120" s="39">
        <v>43947</v>
      </c>
      <c r="D120" s="40">
        <v>44121</v>
      </c>
      <c r="E120" s="48">
        <f>D120-C120</f>
        <v>174</v>
      </c>
      <c r="F120" s="43" t="s">
        <v>0</v>
      </c>
      <c r="G120" s="46"/>
      <c r="H120" s="45" t="s">
        <v>90</v>
      </c>
      <c r="I120" s="37"/>
      <c r="J120" s="37"/>
      <c r="K120" s="37" t="s">
        <v>1419</v>
      </c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7" t="s">
        <v>1402</v>
      </c>
      <c r="B121" s="73" t="s">
        <v>1403</v>
      </c>
      <c r="C121" s="39">
        <v>43935</v>
      </c>
      <c r="D121" s="40">
        <v>44107</v>
      </c>
      <c r="E121" s="46">
        <f>D121-C121</f>
        <v>172</v>
      </c>
      <c r="F121" s="43" t="s">
        <v>0</v>
      </c>
      <c r="G121" s="46"/>
      <c r="H121" s="46"/>
      <c r="I121" s="37"/>
      <c r="J121" s="37"/>
      <c r="K121" s="42" t="s">
        <v>1404</v>
      </c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7" t="s">
        <v>1328</v>
      </c>
      <c r="B122" s="42" t="s">
        <v>1329</v>
      </c>
      <c r="C122" s="39">
        <v>43862</v>
      </c>
      <c r="D122" s="39">
        <v>44033</v>
      </c>
      <c r="E122" s="48">
        <f>D122-C122</f>
        <v>171</v>
      </c>
      <c r="F122" s="43" t="s">
        <v>0</v>
      </c>
      <c r="G122" s="45" t="s">
        <v>33</v>
      </c>
      <c r="H122" s="46"/>
      <c r="I122" s="37"/>
      <c r="J122" s="53" t="s">
        <v>1330</v>
      </c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7" t="s">
        <v>1294</v>
      </c>
      <c r="B123" s="42" t="s">
        <v>1377</v>
      </c>
      <c r="C123" s="39">
        <v>43910</v>
      </c>
      <c r="D123" s="40">
        <v>44080</v>
      </c>
      <c r="E123" s="46">
        <f>D123-C123</f>
        <v>170</v>
      </c>
      <c r="F123" s="48" t="s">
        <v>1105</v>
      </c>
      <c r="G123" s="45" t="s">
        <v>33</v>
      </c>
      <c r="H123" s="46"/>
      <c r="I123" s="37"/>
      <c r="J123" s="53" t="s">
        <v>1378</v>
      </c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7" t="s">
        <v>989</v>
      </c>
      <c r="B124" s="42" t="s">
        <v>990</v>
      </c>
      <c r="C124" s="39">
        <v>43685</v>
      </c>
      <c r="D124" s="39">
        <v>43854</v>
      </c>
      <c r="E124" s="46">
        <f>D124-C124</f>
        <v>169</v>
      </c>
      <c r="F124" s="43" t="s">
        <v>991</v>
      </c>
      <c r="G124" s="46"/>
      <c r="H124" s="46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42" t="s">
        <v>859</v>
      </c>
      <c r="B125" s="38" t="s">
        <v>860</v>
      </c>
      <c r="C125" s="39">
        <v>43576</v>
      </c>
      <c r="D125" s="39">
        <v>43744</v>
      </c>
      <c r="E125" s="46">
        <f>D125-C125</f>
        <v>168</v>
      </c>
      <c r="F125" s="43" t="s">
        <v>54</v>
      </c>
      <c r="G125" s="45" t="s">
        <v>1</v>
      </c>
      <c r="H125" s="46"/>
      <c r="I125" s="37"/>
      <c r="J125" s="37"/>
    </row>
    <row r="126" spans="1:26" ht="15.75" customHeight="1">
      <c r="A126" s="37" t="s">
        <v>888</v>
      </c>
      <c r="B126" s="38" t="s">
        <v>889</v>
      </c>
      <c r="C126" s="39">
        <v>43603</v>
      </c>
      <c r="D126" s="39">
        <v>43771</v>
      </c>
      <c r="E126" s="46">
        <f>D126-C126</f>
        <v>168</v>
      </c>
      <c r="F126" s="43" t="s">
        <v>54</v>
      </c>
      <c r="G126" s="45" t="s">
        <v>43</v>
      </c>
      <c r="H126" s="45" t="s">
        <v>817</v>
      </c>
      <c r="I126" s="37"/>
      <c r="J126" s="37"/>
    </row>
    <row r="127" spans="1:26" ht="15.75" customHeight="1">
      <c r="A127" s="42" t="s">
        <v>514</v>
      </c>
      <c r="B127" s="38" t="s">
        <v>514</v>
      </c>
      <c r="C127" s="39">
        <v>43346</v>
      </c>
      <c r="D127" s="39">
        <v>43512</v>
      </c>
      <c r="E127" s="46">
        <f>D127-C127</f>
        <v>166</v>
      </c>
      <c r="F127" s="46"/>
      <c r="G127" s="46"/>
      <c r="H127" s="46"/>
      <c r="I127" s="37"/>
      <c r="J127" s="37"/>
    </row>
    <row r="128" spans="1:26" ht="15.75" customHeight="1">
      <c r="A128" s="42" t="s">
        <v>580</v>
      </c>
      <c r="B128" s="38" t="s">
        <v>581</v>
      </c>
      <c r="C128" s="39">
        <v>43386</v>
      </c>
      <c r="D128" s="40">
        <v>43551</v>
      </c>
      <c r="E128" s="46">
        <f>D128-C128</f>
        <v>165</v>
      </c>
      <c r="F128" s="46" t="s">
        <v>498</v>
      </c>
      <c r="G128" s="54" t="s">
        <v>582</v>
      </c>
      <c r="H128" s="46"/>
      <c r="I128" s="37"/>
      <c r="J128" s="37"/>
    </row>
    <row r="129" spans="1:26" ht="15.75" customHeight="1">
      <c r="A129" s="42" t="s">
        <v>869</v>
      </c>
      <c r="B129" s="38" t="s">
        <v>869</v>
      </c>
      <c r="C129" s="39">
        <v>43620</v>
      </c>
      <c r="D129" s="39">
        <v>43785</v>
      </c>
      <c r="E129" s="46">
        <f>D129-C129</f>
        <v>165</v>
      </c>
      <c r="F129" s="43" t="s">
        <v>0</v>
      </c>
      <c r="G129" s="46"/>
      <c r="H129" s="46"/>
      <c r="I129" s="37"/>
      <c r="J129" s="37"/>
    </row>
    <row r="130" spans="1:26" ht="15.75" customHeight="1">
      <c r="A130" s="37" t="s">
        <v>543</v>
      </c>
      <c r="B130" s="38" t="s">
        <v>464</v>
      </c>
      <c r="C130" s="39">
        <v>43368</v>
      </c>
      <c r="D130" s="39">
        <v>43532</v>
      </c>
      <c r="E130" s="46">
        <f>D130-C130</f>
        <v>164</v>
      </c>
      <c r="F130" s="46" t="s">
        <v>544</v>
      </c>
      <c r="G130" s="46"/>
      <c r="H130" s="46"/>
      <c r="I130" s="37"/>
      <c r="J130" s="37"/>
    </row>
    <row r="131" spans="1:26" ht="15.75" customHeight="1">
      <c r="A131" s="37" t="s">
        <v>770</v>
      </c>
      <c r="B131" s="38" t="s">
        <v>908</v>
      </c>
      <c r="C131" s="39">
        <v>43627</v>
      </c>
      <c r="D131" s="39">
        <v>43791</v>
      </c>
      <c r="E131" s="46">
        <f>D131-C131</f>
        <v>164</v>
      </c>
      <c r="F131" s="43" t="s">
        <v>54</v>
      </c>
      <c r="G131" s="45" t="s">
        <v>1</v>
      </c>
      <c r="H131" s="44"/>
      <c r="I131" s="1"/>
      <c r="J131" s="1"/>
    </row>
    <row r="132" spans="1:26" ht="15.75" customHeight="1">
      <c r="A132" s="42" t="s">
        <v>1454</v>
      </c>
      <c r="B132" s="42" t="s">
        <v>1455</v>
      </c>
      <c r="C132" s="39">
        <v>43987</v>
      </c>
      <c r="D132" s="40">
        <v>44151</v>
      </c>
      <c r="E132" s="48">
        <f>D132-C132</f>
        <v>164</v>
      </c>
      <c r="F132" s="43" t="s">
        <v>0</v>
      </c>
      <c r="G132" s="45" t="s">
        <v>995</v>
      </c>
      <c r="H132" s="46"/>
      <c r="I132" s="37"/>
      <c r="J132" s="37"/>
      <c r="K132" s="42" t="s">
        <v>1456</v>
      </c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42" t="s">
        <v>500</v>
      </c>
      <c r="B133" s="38" t="s">
        <v>500</v>
      </c>
      <c r="C133" s="39">
        <v>43345</v>
      </c>
      <c r="D133" s="39">
        <v>43508</v>
      </c>
      <c r="E133" s="46">
        <f>D133-C133</f>
        <v>163</v>
      </c>
      <c r="F133" s="46"/>
      <c r="G133" s="45" t="s">
        <v>501</v>
      </c>
      <c r="H133" s="46"/>
      <c r="I133" s="37"/>
      <c r="J133" s="53" t="s">
        <v>502</v>
      </c>
    </row>
    <row r="134" spans="1:26" ht="15.75" customHeight="1">
      <c r="A134" s="37" t="s">
        <v>561</v>
      </c>
      <c r="B134" s="38" t="s">
        <v>562</v>
      </c>
      <c r="C134" s="39">
        <v>43379</v>
      </c>
      <c r="D134" s="39">
        <v>43540</v>
      </c>
      <c r="E134" s="46">
        <f>D134-C134</f>
        <v>161</v>
      </c>
      <c r="F134" s="43" t="s">
        <v>0</v>
      </c>
      <c r="G134" s="45" t="s">
        <v>70</v>
      </c>
      <c r="H134" s="46" t="s">
        <v>455</v>
      </c>
      <c r="I134" s="37"/>
      <c r="J134" s="37"/>
    </row>
    <row r="135" spans="1:26" ht="15.75" customHeight="1">
      <c r="A135" s="37" t="s">
        <v>624</v>
      </c>
      <c r="B135" s="38" t="s">
        <v>625</v>
      </c>
      <c r="C135" s="39">
        <v>43421</v>
      </c>
      <c r="D135" s="39">
        <v>43582</v>
      </c>
      <c r="E135" s="46">
        <f>D135-C135</f>
        <v>161</v>
      </c>
      <c r="F135" s="43" t="s">
        <v>475</v>
      </c>
      <c r="G135" s="45" t="s">
        <v>33</v>
      </c>
      <c r="H135" s="46"/>
      <c r="I135" s="37"/>
      <c r="J135" s="53" t="s">
        <v>626</v>
      </c>
    </row>
    <row r="136" spans="1:26" ht="15.75" customHeight="1">
      <c r="A136" s="37" t="s">
        <v>498</v>
      </c>
      <c r="B136" s="38" t="s">
        <v>499</v>
      </c>
      <c r="C136" s="39">
        <v>43346</v>
      </c>
      <c r="D136" s="39">
        <v>43506</v>
      </c>
      <c r="E136" s="46">
        <f>D136-C136</f>
        <v>160</v>
      </c>
      <c r="F136" s="46"/>
      <c r="G136" s="46"/>
      <c r="H136" s="46"/>
      <c r="I136" s="37"/>
      <c r="J136" s="37"/>
    </row>
    <row r="137" spans="1:26" ht="15.75" customHeight="1">
      <c r="A137" s="37" t="s">
        <v>943</v>
      </c>
      <c r="B137" s="38" t="s">
        <v>944</v>
      </c>
      <c r="C137" s="39">
        <v>43653</v>
      </c>
      <c r="D137" s="39">
        <v>43813</v>
      </c>
      <c r="E137" s="46">
        <f>D137-C137</f>
        <v>160</v>
      </c>
      <c r="F137" s="43" t="s">
        <v>0</v>
      </c>
      <c r="G137" s="46"/>
      <c r="H137" s="46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57" t="s">
        <v>734</v>
      </c>
      <c r="B138" s="42" t="s">
        <v>953</v>
      </c>
      <c r="C138" s="39">
        <v>43662</v>
      </c>
      <c r="D138" s="39">
        <v>43820</v>
      </c>
      <c r="E138" s="46">
        <f>D138-C138</f>
        <v>158</v>
      </c>
      <c r="F138" s="43" t="s">
        <v>54</v>
      </c>
      <c r="G138" s="45" t="s">
        <v>33</v>
      </c>
      <c r="H138" s="45" t="s">
        <v>954</v>
      </c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7" t="s">
        <v>1319</v>
      </c>
      <c r="B139" s="42" t="s">
        <v>1320</v>
      </c>
      <c r="C139" s="39">
        <v>43865</v>
      </c>
      <c r="D139" s="39">
        <v>44023</v>
      </c>
      <c r="E139" s="48">
        <f>D139-C139</f>
        <v>158</v>
      </c>
      <c r="F139" s="43" t="s">
        <v>0</v>
      </c>
      <c r="G139" s="45" t="s">
        <v>70</v>
      </c>
      <c r="H139" s="46"/>
      <c r="I139" s="37"/>
      <c r="J139" s="53" t="s">
        <v>1321</v>
      </c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42" t="s">
        <v>730</v>
      </c>
      <c r="B140" s="38" t="s">
        <v>731</v>
      </c>
      <c r="C140" s="39">
        <v>43502</v>
      </c>
      <c r="D140" s="39">
        <v>43659</v>
      </c>
      <c r="E140" s="46">
        <f>D140-C140</f>
        <v>157</v>
      </c>
      <c r="F140" s="43" t="s">
        <v>0</v>
      </c>
      <c r="G140" s="45" t="s">
        <v>33</v>
      </c>
      <c r="H140" s="46"/>
      <c r="I140" s="37"/>
      <c r="J140" s="37"/>
    </row>
    <row r="141" spans="1:26" ht="15.75" customHeight="1">
      <c r="A141" s="37" t="s">
        <v>1093</v>
      </c>
      <c r="B141" s="42" t="s">
        <v>1269</v>
      </c>
      <c r="C141" s="39">
        <v>43838</v>
      </c>
      <c r="D141" s="40">
        <v>43995</v>
      </c>
      <c r="E141" s="48">
        <f>D141-C141</f>
        <v>157</v>
      </c>
      <c r="F141" s="43" t="s">
        <v>0</v>
      </c>
      <c r="G141" s="46"/>
      <c r="H141" s="46"/>
      <c r="I141" s="37"/>
      <c r="J141" s="53" t="s">
        <v>1270</v>
      </c>
      <c r="K141" s="42" t="s">
        <v>1271</v>
      </c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7" t="s">
        <v>2863</v>
      </c>
      <c r="B142" s="38" t="s">
        <v>392</v>
      </c>
      <c r="C142" s="39">
        <v>43488</v>
      </c>
      <c r="D142" s="39">
        <v>43643</v>
      </c>
      <c r="E142" s="46">
        <f>D142-C142</f>
        <v>155</v>
      </c>
      <c r="F142" s="43" t="s">
        <v>0</v>
      </c>
      <c r="G142" s="45" t="s">
        <v>709</v>
      </c>
      <c r="H142" s="44"/>
      <c r="I142" s="1"/>
      <c r="J142" s="1"/>
    </row>
    <row r="143" spans="1:26" ht="15.75" customHeight="1">
      <c r="A143" s="37" t="s">
        <v>1434</v>
      </c>
      <c r="B143" s="42" t="s">
        <v>1435</v>
      </c>
      <c r="C143" s="39">
        <v>43979</v>
      </c>
      <c r="D143" s="40">
        <v>44134</v>
      </c>
      <c r="E143" s="48">
        <f>D143-C143</f>
        <v>155</v>
      </c>
      <c r="F143" s="48" t="s">
        <v>1436</v>
      </c>
      <c r="G143" s="45" t="s">
        <v>33</v>
      </c>
      <c r="H143" s="46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69" t="s">
        <v>975</v>
      </c>
      <c r="B144" s="56" t="s">
        <v>976</v>
      </c>
      <c r="C144" s="61">
        <v>43688</v>
      </c>
      <c r="D144" s="61">
        <v>43841</v>
      </c>
      <c r="E144" s="46">
        <f>D144-C144</f>
        <v>153</v>
      </c>
      <c r="F144" s="62" t="s">
        <v>0</v>
      </c>
      <c r="G144" s="55" t="s">
        <v>336</v>
      </c>
      <c r="H144" s="55" t="s">
        <v>954</v>
      </c>
    </row>
    <row r="145" spans="1:26" ht="15.75" customHeight="1">
      <c r="A145" s="37" t="s">
        <v>1013</v>
      </c>
      <c r="B145" s="42" t="s">
        <v>1014</v>
      </c>
      <c r="C145" s="39">
        <v>44032</v>
      </c>
      <c r="D145" s="40">
        <v>44185</v>
      </c>
      <c r="E145" s="48">
        <f>D145-C145</f>
        <v>153</v>
      </c>
      <c r="F145" s="43" t="s">
        <v>0</v>
      </c>
      <c r="G145" s="46"/>
      <c r="H145" s="45" t="s">
        <v>1450</v>
      </c>
      <c r="I145" s="77"/>
      <c r="J145" s="77"/>
      <c r="K145" s="42" t="s">
        <v>1503</v>
      </c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5.75" customHeight="1">
      <c r="A146" s="42" t="s">
        <v>54</v>
      </c>
      <c r="B146" s="38" t="s">
        <v>771</v>
      </c>
      <c r="C146" s="39">
        <v>43544</v>
      </c>
      <c r="D146" s="39">
        <v>43695</v>
      </c>
      <c r="E146" s="46">
        <f>D146-C146</f>
        <v>151</v>
      </c>
      <c r="F146" s="43" t="s">
        <v>0</v>
      </c>
      <c r="H146" s="45" t="s">
        <v>2862</v>
      </c>
      <c r="I146" s="37"/>
      <c r="J146" s="37"/>
    </row>
    <row r="147" spans="1:26" ht="15.75" customHeight="1">
      <c r="A147" s="37" t="s">
        <v>1034</v>
      </c>
      <c r="B147" s="42" t="s">
        <v>1035</v>
      </c>
      <c r="C147" s="39">
        <v>43732</v>
      </c>
      <c r="D147" s="40">
        <v>43883</v>
      </c>
      <c r="E147" s="46">
        <f>D147-C147</f>
        <v>151</v>
      </c>
      <c r="F147" s="48" t="s">
        <v>854</v>
      </c>
      <c r="G147" s="46"/>
      <c r="H147" s="46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7" t="s">
        <v>1465</v>
      </c>
      <c r="B148" s="42" t="s">
        <v>1466</v>
      </c>
      <c r="C148" s="39">
        <v>44004</v>
      </c>
      <c r="D148" s="40">
        <v>44155</v>
      </c>
      <c r="E148" s="48">
        <f>D148-C148</f>
        <v>151</v>
      </c>
      <c r="F148" s="43" t="s">
        <v>1413</v>
      </c>
      <c r="G148" s="45" t="s">
        <v>1</v>
      </c>
      <c r="H148" s="46"/>
      <c r="I148" s="37"/>
      <c r="J148" s="37"/>
      <c r="K148" s="42" t="s">
        <v>1467</v>
      </c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42" t="s">
        <v>653</v>
      </c>
      <c r="B149" s="38" t="s">
        <v>653</v>
      </c>
      <c r="C149" s="39">
        <v>43449</v>
      </c>
      <c r="D149" s="39">
        <v>43596</v>
      </c>
      <c r="E149" s="46">
        <f>D149-C149</f>
        <v>147</v>
      </c>
      <c r="F149" s="45" t="s">
        <v>511</v>
      </c>
      <c r="G149" s="46"/>
      <c r="H149" s="46"/>
      <c r="I149" s="37"/>
      <c r="J149" s="37"/>
    </row>
    <row r="150" spans="1:26" ht="15.75" customHeight="1">
      <c r="A150" s="37" t="s">
        <v>1254</v>
      </c>
      <c r="B150" s="42" t="s">
        <v>1255</v>
      </c>
      <c r="C150" s="39">
        <v>43843</v>
      </c>
      <c r="D150" s="40">
        <v>43988</v>
      </c>
      <c r="E150" s="48">
        <f>D150-C150</f>
        <v>145</v>
      </c>
      <c r="F150" s="43" t="s">
        <v>0</v>
      </c>
      <c r="G150" s="46"/>
      <c r="H150" s="46"/>
      <c r="I150" s="37"/>
      <c r="J150" s="53" t="s">
        <v>1256</v>
      </c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7" t="s">
        <v>949</v>
      </c>
      <c r="B151" s="42" t="s">
        <v>950</v>
      </c>
      <c r="C151" s="39">
        <v>43670</v>
      </c>
      <c r="D151" s="39">
        <v>43814</v>
      </c>
      <c r="E151" s="46">
        <f>D151-C151</f>
        <v>144</v>
      </c>
      <c r="F151" s="43" t="s">
        <v>0</v>
      </c>
      <c r="G151" s="45" t="s">
        <v>1</v>
      </c>
      <c r="H151" s="46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7" t="s">
        <v>1266</v>
      </c>
      <c r="B152" s="42" t="s">
        <v>1267</v>
      </c>
      <c r="C152" s="39">
        <v>43852</v>
      </c>
      <c r="D152" s="40">
        <v>43995</v>
      </c>
      <c r="E152" s="48">
        <f>D152-C152</f>
        <v>143</v>
      </c>
      <c r="F152" s="48" t="s">
        <v>1027</v>
      </c>
      <c r="G152" s="46"/>
      <c r="H152" s="46"/>
      <c r="I152" s="37"/>
      <c r="J152" s="53" t="s">
        <v>1268</v>
      </c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42" t="s">
        <v>506</v>
      </c>
      <c r="B153" s="38" t="s">
        <v>509</v>
      </c>
      <c r="C153" s="39">
        <v>43664</v>
      </c>
      <c r="D153" s="39">
        <v>43806</v>
      </c>
      <c r="E153" s="46">
        <f>D153-C153</f>
        <v>142</v>
      </c>
      <c r="F153" s="43" t="s">
        <v>0</v>
      </c>
      <c r="G153" s="45" t="s">
        <v>26</v>
      </c>
      <c r="H153" s="46"/>
      <c r="I153" s="37"/>
      <c r="J153" s="37"/>
    </row>
    <row r="154" spans="1:26" ht="15.75" customHeight="1">
      <c r="A154" s="52" t="s">
        <v>1001</v>
      </c>
      <c r="B154" s="52" t="s">
        <v>1002</v>
      </c>
      <c r="C154" s="39">
        <v>43720</v>
      </c>
      <c r="D154" s="39">
        <v>43861</v>
      </c>
      <c r="E154" s="46">
        <f>D154-C154</f>
        <v>141</v>
      </c>
      <c r="F154" s="48" t="s">
        <v>641</v>
      </c>
      <c r="G154" s="45" t="s">
        <v>942</v>
      </c>
      <c r="H154" s="46"/>
      <c r="I154" s="37"/>
      <c r="J154" s="53" t="s">
        <v>1003</v>
      </c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7" t="s">
        <v>368</v>
      </c>
      <c r="B155" s="42" t="s">
        <v>1249</v>
      </c>
      <c r="C155" s="39">
        <v>43842</v>
      </c>
      <c r="D155" s="40">
        <v>43982</v>
      </c>
      <c r="E155" s="48">
        <f>D155-C155</f>
        <v>140</v>
      </c>
      <c r="F155" s="43" t="s">
        <v>0</v>
      </c>
      <c r="G155" s="46"/>
      <c r="H155" s="46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42" t="s">
        <v>445</v>
      </c>
      <c r="B156" s="38" t="s">
        <v>486</v>
      </c>
      <c r="C156" s="39">
        <v>43352</v>
      </c>
      <c r="D156" s="39">
        <v>43491</v>
      </c>
      <c r="E156" s="46">
        <f>D156-C156</f>
        <v>139</v>
      </c>
      <c r="F156" s="43" t="s">
        <v>0</v>
      </c>
      <c r="G156" s="45" t="s">
        <v>487</v>
      </c>
      <c r="H156" s="44"/>
      <c r="I156" s="1"/>
      <c r="J156" s="1"/>
    </row>
    <row r="157" spans="1:26" ht="15.75" customHeight="1">
      <c r="A157" s="57" t="s">
        <v>960</v>
      </c>
      <c r="B157" s="42" t="s">
        <v>961</v>
      </c>
      <c r="C157" s="39">
        <v>43684</v>
      </c>
      <c r="D157" s="39">
        <v>43821</v>
      </c>
      <c r="E157" s="46">
        <f>D157-C157</f>
        <v>137</v>
      </c>
      <c r="F157" s="43" t="s">
        <v>715</v>
      </c>
      <c r="G157" s="44"/>
      <c r="H157" s="4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42" t="s">
        <v>500</v>
      </c>
      <c r="B158" s="38" t="s">
        <v>500</v>
      </c>
      <c r="C158" s="39">
        <v>43817</v>
      </c>
      <c r="D158" s="40">
        <v>43953</v>
      </c>
      <c r="E158" s="48">
        <f>D158-C158</f>
        <v>136</v>
      </c>
      <c r="F158" s="43" t="s">
        <v>0</v>
      </c>
      <c r="G158" s="45" t="s">
        <v>501</v>
      </c>
      <c r="H158" s="46"/>
      <c r="I158" s="37"/>
      <c r="J158" s="53" t="s">
        <v>502</v>
      </c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42" t="s">
        <v>665</v>
      </c>
      <c r="B159" s="38" t="s">
        <v>666</v>
      </c>
      <c r="C159" s="39">
        <v>43469</v>
      </c>
      <c r="D159" s="39">
        <v>43603</v>
      </c>
      <c r="E159" s="46">
        <f>D159-C159</f>
        <v>134</v>
      </c>
      <c r="F159" s="43" t="s">
        <v>0</v>
      </c>
      <c r="G159" s="44"/>
      <c r="H159" s="44"/>
      <c r="I159" s="1"/>
      <c r="J159" s="3" t="s">
        <v>667</v>
      </c>
    </row>
    <row r="160" spans="1:26" ht="15.75" customHeight="1">
      <c r="A160" s="42" t="s">
        <v>742</v>
      </c>
      <c r="B160" s="38" t="s">
        <v>743</v>
      </c>
      <c r="C160" s="39">
        <v>43539</v>
      </c>
      <c r="D160" s="39">
        <v>43673</v>
      </c>
      <c r="E160" s="46">
        <f>D160-C160</f>
        <v>134</v>
      </c>
      <c r="F160" s="48" t="s">
        <v>641</v>
      </c>
      <c r="G160" s="46"/>
      <c r="H160" s="46"/>
      <c r="I160" s="37"/>
      <c r="J160" s="37"/>
    </row>
    <row r="161" spans="1:26" ht="15.75" customHeight="1">
      <c r="A161" s="42" t="s">
        <v>617</v>
      </c>
      <c r="B161" s="38" t="s">
        <v>618</v>
      </c>
      <c r="C161" s="39">
        <v>43442</v>
      </c>
      <c r="D161" s="39">
        <v>43575</v>
      </c>
      <c r="E161" s="46">
        <f>D161-C161</f>
        <v>133</v>
      </c>
      <c r="F161" s="45" t="s">
        <v>2854</v>
      </c>
      <c r="G161" s="45" t="s">
        <v>33</v>
      </c>
      <c r="H161" s="46"/>
      <c r="I161" s="37"/>
      <c r="J161" s="37"/>
    </row>
    <row r="162" spans="1:26" ht="15.75" customHeight="1">
      <c r="A162" s="42" t="s">
        <v>715</v>
      </c>
      <c r="B162" s="38" t="s">
        <v>716</v>
      </c>
      <c r="C162" s="39">
        <v>43512</v>
      </c>
      <c r="D162" s="39">
        <v>43645</v>
      </c>
      <c r="E162" s="46">
        <f>D162-C162</f>
        <v>133</v>
      </c>
      <c r="F162" s="48" t="s">
        <v>624</v>
      </c>
      <c r="G162" s="46"/>
      <c r="H162" s="46"/>
      <c r="I162" s="37"/>
      <c r="J162" s="37"/>
    </row>
    <row r="163" spans="1:26" ht="15.75" customHeight="1">
      <c r="A163" s="42" t="s">
        <v>1408</v>
      </c>
      <c r="B163" s="38" t="s">
        <v>725</v>
      </c>
      <c r="C163" s="39">
        <v>43976</v>
      </c>
      <c r="D163" s="40">
        <v>44108</v>
      </c>
      <c r="E163" s="48">
        <f>D163-C163</f>
        <v>132</v>
      </c>
      <c r="F163" s="43" t="s">
        <v>0</v>
      </c>
      <c r="G163" s="43" t="s">
        <v>471</v>
      </c>
      <c r="H163" s="46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42" t="s">
        <v>1192</v>
      </c>
      <c r="B164" s="42" t="s">
        <v>1444</v>
      </c>
      <c r="C164" s="39">
        <v>44003</v>
      </c>
      <c r="D164" s="39">
        <v>44135</v>
      </c>
      <c r="E164" s="46">
        <f>D164-C164</f>
        <v>132</v>
      </c>
      <c r="F164" s="43" t="s">
        <v>0</v>
      </c>
      <c r="G164" s="45" t="s">
        <v>512</v>
      </c>
      <c r="H164" s="46"/>
      <c r="I164" s="37"/>
      <c r="J164" s="53" t="s">
        <v>513</v>
      </c>
      <c r="K164" s="42" t="s">
        <v>510</v>
      </c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57" t="s">
        <v>867</v>
      </c>
      <c r="B165" s="38" t="s">
        <v>868</v>
      </c>
      <c r="C165" s="39">
        <v>44018</v>
      </c>
      <c r="D165" s="40">
        <v>44150</v>
      </c>
      <c r="E165" s="48">
        <f>D165-C165</f>
        <v>132</v>
      </c>
      <c r="F165" s="43" t="s">
        <v>0</v>
      </c>
      <c r="G165" s="46"/>
      <c r="H165" s="46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7" t="s">
        <v>1056</v>
      </c>
      <c r="B166" s="42" t="s">
        <v>1057</v>
      </c>
      <c r="C166" s="39">
        <v>43766</v>
      </c>
      <c r="D166" s="39">
        <v>43897</v>
      </c>
      <c r="E166" s="46">
        <f>D166-C166</f>
        <v>131</v>
      </c>
      <c r="F166" s="48" t="s">
        <v>641</v>
      </c>
      <c r="G166" s="46"/>
      <c r="H166" s="46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7" t="s">
        <v>988</v>
      </c>
      <c r="B167" s="42" t="s">
        <v>1085</v>
      </c>
      <c r="C167" s="39">
        <v>43780</v>
      </c>
      <c r="D167" s="40">
        <v>43911</v>
      </c>
      <c r="E167" s="48">
        <f>D167-C167</f>
        <v>131</v>
      </c>
      <c r="F167" s="43" t="s">
        <v>0</v>
      </c>
      <c r="G167" s="46"/>
      <c r="H167" s="46"/>
      <c r="I167" s="37"/>
      <c r="J167" s="53" t="s">
        <v>1086</v>
      </c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42" t="s">
        <v>968</v>
      </c>
      <c r="B168" s="42" t="s">
        <v>969</v>
      </c>
      <c r="C168" s="39">
        <v>43705</v>
      </c>
      <c r="D168" s="39">
        <v>43834</v>
      </c>
      <c r="E168" s="46">
        <f>D168-C168</f>
        <v>129</v>
      </c>
      <c r="F168" s="43" t="s">
        <v>0</v>
      </c>
      <c r="G168" s="46"/>
      <c r="H168" s="46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42" t="s">
        <v>1298</v>
      </c>
      <c r="B169" s="42" t="s">
        <v>1299</v>
      </c>
      <c r="C169" s="39">
        <v>43883</v>
      </c>
      <c r="D169" s="40">
        <v>44009</v>
      </c>
      <c r="E169" s="46">
        <f>D169-C169</f>
        <v>126</v>
      </c>
      <c r="F169" s="46" t="s">
        <v>100</v>
      </c>
      <c r="G169" s="46"/>
      <c r="H169" s="46"/>
      <c r="I169" s="37"/>
      <c r="J169" s="53" t="s">
        <v>1300</v>
      </c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57" t="s">
        <v>885</v>
      </c>
      <c r="B170" s="38" t="s">
        <v>886</v>
      </c>
      <c r="C170" s="39">
        <v>43646</v>
      </c>
      <c r="D170" s="39">
        <v>43771</v>
      </c>
      <c r="E170" s="46">
        <f>D170-C170</f>
        <v>125</v>
      </c>
      <c r="F170" s="63" t="s">
        <v>887</v>
      </c>
      <c r="G170" s="46"/>
      <c r="H170" s="46"/>
      <c r="I170" s="37"/>
      <c r="J170" s="37"/>
    </row>
    <row r="171" spans="1:26" ht="15.75" customHeight="1">
      <c r="A171" s="37" t="s">
        <v>949</v>
      </c>
      <c r="B171" s="42" t="s">
        <v>950</v>
      </c>
      <c r="C171" s="39">
        <v>43879</v>
      </c>
      <c r="D171" s="39">
        <v>44004</v>
      </c>
      <c r="E171" s="46">
        <f>D171-C171</f>
        <v>125</v>
      </c>
      <c r="F171" s="43" t="s">
        <v>0</v>
      </c>
      <c r="G171" s="45" t="s">
        <v>1</v>
      </c>
      <c r="H171" s="46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59" t="s">
        <v>973</v>
      </c>
      <c r="B172" s="70" t="s">
        <v>974</v>
      </c>
      <c r="C172" s="61">
        <v>43717</v>
      </c>
      <c r="D172" s="61">
        <v>43841</v>
      </c>
      <c r="E172" s="46">
        <f>D172-C172</f>
        <v>124</v>
      </c>
      <c r="F172" s="62" t="s">
        <v>975</v>
      </c>
      <c r="G172" s="55" t="s">
        <v>805</v>
      </c>
    </row>
    <row r="173" spans="1:26" ht="15.75" customHeight="1">
      <c r="A173" s="42" t="s">
        <v>856</v>
      </c>
      <c r="B173" s="38" t="s">
        <v>857</v>
      </c>
      <c r="C173" s="39">
        <v>43620</v>
      </c>
      <c r="D173" s="39">
        <v>43743</v>
      </c>
      <c r="E173" s="46">
        <f>D173-C173</f>
        <v>123</v>
      </c>
      <c r="F173" s="45" t="s">
        <v>726</v>
      </c>
      <c r="G173" s="45" t="s">
        <v>858</v>
      </c>
      <c r="H173" s="46"/>
      <c r="I173" s="37"/>
      <c r="J173" s="37"/>
    </row>
    <row r="174" spans="1:26" ht="15.75" customHeight="1">
      <c r="A174" s="42" t="s">
        <v>705</v>
      </c>
      <c r="B174" s="38" t="s">
        <v>706</v>
      </c>
      <c r="C174" s="39">
        <v>43690</v>
      </c>
      <c r="D174" s="39">
        <v>43813</v>
      </c>
      <c r="E174" s="46">
        <f>D174-C174</f>
        <v>123</v>
      </c>
      <c r="F174" s="43" t="s">
        <v>0</v>
      </c>
      <c r="G174" s="45" t="s">
        <v>942</v>
      </c>
      <c r="H174" s="46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7" t="s">
        <v>737</v>
      </c>
      <c r="B175" s="38" t="s">
        <v>738</v>
      </c>
      <c r="C175" s="39">
        <v>43544</v>
      </c>
      <c r="D175" s="39">
        <v>43666</v>
      </c>
      <c r="E175" s="46">
        <f>D175-C175</f>
        <v>122</v>
      </c>
      <c r="F175" s="43" t="s">
        <v>524</v>
      </c>
      <c r="G175" s="45" t="s">
        <v>1</v>
      </c>
      <c r="H175" s="45" t="s">
        <v>739</v>
      </c>
      <c r="I175" s="37"/>
      <c r="J175" s="37"/>
    </row>
    <row r="176" spans="1:26" ht="15.75" customHeight="1">
      <c r="A176" s="42" t="s">
        <v>1178</v>
      </c>
      <c r="B176" s="42" t="s">
        <v>1179</v>
      </c>
      <c r="C176" s="39">
        <v>43824</v>
      </c>
      <c r="D176" s="40">
        <v>43946</v>
      </c>
      <c r="E176" s="48">
        <f>D176-C176</f>
        <v>122</v>
      </c>
      <c r="F176" s="43" t="s">
        <v>0</v>
      </c>
      <c r="G176" s="46"/>
      <c r="H176" s="46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42" t="s">
        <v>637</v>
      </c>
      <c r="B177" s="42" t="s">
        <v>1348</v>
      </c>
      <c r="C177" s="39">
        <v>43929</v>
      </c>
      <c r="D177" s="40">
        <v>44051</v>
      </c>
      <c r="E177" s="46">
        <f>D177-C177</f>
        <v>122</v>
      </c>
      <c r="F177" s="43" t="s">
        <v>0</v>
      </c>
      <c r="G177" s="46"/>
      <c r="H177" s="46"/>
      <c r="I177" s="37"/>
      <c r="J177" s="53" t="s">
        <v>1349</v>
      </c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42" t="s">
        <v>477</v>
      </c>
      <c r="B178" s="38" t="s">
        <v>478</v>
      </c>
      <c r="C178" s="39">
        <v>43352</v>
      </c>
      <c r="D178" s="39">
        <v>43472</v>
      </c>
      <c r="E178" s="46">
        <f>D178-C178</f>
        <v>120</v>
      </c>
      <c r="F178" s="46"/>
      <c r="G178" s="43" t="s">
        <v>1</v>
      </c>
      <c r="H178" s="49"/>
      <c r="I178" s="50"/>
      <c r="J178" s="50"/>
    </row>
    <row r="179" spans="1:26" ht="15.75" customHeight="1">
      <c r="A179" s="42" t="s">
        <v>54</v>
      </c>
      <c r="B179" s="42" t="s">
        <v>771</v>
      </c>
      <c r="C179" s="39">
        <v>43701</v>
      </c>
      <c r="D179" s="39">
        <v>43821</v>
      </c>
      <c r="E179" s="46">
        <f>D179-C179</f>
        <v>120</v>
      </c>
      <c r="F179" s="43" t="s">
        <v>810</v>
      </c>
      <c r="G179" s="45" t="s">
        <v>70</v>
      </c>
      <c r="H179" s="46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42" t="s">
        <v>1219</v>
      </c>
      <c r="B180" s="42" t="s">
        <v>1220</v>
      </c>
      <c r="C180" s="39">
        <v>43840</v>
      </c>
      <c r="D180" s="39">
        <v>43960</v>
      </c>
      <c r="E180" s="46">
        <f>D180-C180</f>
        <v>120</v>
      </c>
      <c r="F180" s="43" t="s">
        <v>0</v>
      </c>
      <c r="G180" s="45" t="s">
        <v>312</v>
      </c>
      <c r="H180" s="45" t="s">
        <v>954</v>
      </c>
      <c r="I180" s="37"/>
      <c r="J180" s="53" t="s">
        <v>1221</v>
      </c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7" t="s">
        <v>469</v>
      </c>
      <c r="B181" s="38" t="s">
        <v>470</v>
      </c>
      <c r="C181" s="39">
        <v>43345</v>
      </c>
      <c r="D181" s="39">
        <v>43461</v>
      </c>
      <c r="E181" s="48">
        <f>D181-C181</f>
        <v>116</v>
      </c>
      <c r="F181" s="46"/>
      <c r="G181" s="43" t="s">
        <v>471</v>
      </c>
      <c r="H181" s="46"/>
      <c r="I181" s="37"/>
      <c r="J181" s="37"/>
    </row>
    <row r="182" spans="1:26" ht="15.75" customHeight="1">
      <c r="A182" s="42" t="s">
        <v>764</v>
      </c>
      <c r="B182" s="38" t="s">
        <v>765</v>
      </c>
      <c r="C182" s="39">
        <v>43578</v>
      </c>
      <c r="D182" s="39">
        <v>43694</v>
      </c>
      <c r="E182" s="46">
        <f>D182-C182</f>
        <v>116</v>
      </c>
      <c r="F182" s="43" t="s">
        <v>0</v>
      </c>
      <c r="G182" s="45" t="s">
        <v>487</v>
      </c>
      <c r="H182" s="55"/>
      <c r="I182" s="56"/>
      <c r="J182" s="56"/>
    </row>
    <row r="183" spans="1:26" ht="15.75" customHeight="1">
      <c r="A183" s="37" t="s">
        <v>929</v>
      </c>
      <c r="B183" s="38" t="s">
        <v>930</v>
      </c>
      <c r="C183" s="39">
        <v>43690</v>
      </c>
      <c r="D183" s="39">
        <v>43806</v>
      </c>
      <c r="E183" s="46">
        <f>D183-C183</f>
        <v>116</v>
      </c>
      <c r="F183" s="43" t="s">
        <v>48</v>
      </c>
      <c r="G183" s="45" t="s">
        <v>26</v>
      </c>
      <c r="H183" s="44"/>
      <c r="I183" s="1"/>
      <c r="J183" s="1"/>
    </row>
    <row r="184" spans="1:26" ht="15.75" customHeight="1">
      <c r="A184" s="37" t="s">
        <v>1272</v>
      </c>
      <c r="B184" s="52" t="s">
        <v>1273</v>
      </c>
      <c r="C184" s="39">
        <v>44067</v>
      </c>
      <c r="D184" s="40">
        <v>44183</v>
      </c>
      <c r="E184" s="46">
        <f>D184-C184</f>
        <v>116</v>
      </c>
      <c r="F184" s="43" t="s">
        <v>0</v>
      </c>
      <c r="G184" s="45" t="s">
        <v>995</v>
      </c>
      <c r="H184" s="46"/>
      <c r="I184" s="37"/>
      <c r="J184" s="53" t="s">
        <v>1274</v>
      </c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5.75" customHeight="1">
      <c r="A185" s="37" t="s">
        <v>490</v>
      </c>
      <c r="B185" s="38" t="s">
        <v>583</v>
      </c>
      <c r="C185" s="39">
        <v>43441</v>
      </c>
      <c r="D185" s="39">
        <v>43556</v>
      </c>
      <c r="E185" s="46">
        <f>D185-C185</f>
        <v>115</v>
      </c>
      <c r="F185" s="43" t="s">
        <v>584</v>
      </c>
      <c r="G185" s="45" t="s">
        <v>1</v>
      </c>
      <c r="H185" s="46"/>
      <c r="I185" s="37"/>
      <c r="J185" s="53" t="s">
        <v>585</v>
      </c>
    </row>
    <row r="186" spans="1:26" ht="15.75" customHeight="1">
      <c r="A186" s="57" t="s">
        <v>911</v>
      </c>
      <c r="B186" s="38" t="s">
        <v>912</v>
      </c>
      <c r="C186" s="39">
        <v>43677</v>
      </c>
      <c r="D186" s="39">
        <v>43792</v>
      </c>
      <c r="E186" s="46">
        <f>D186-C186</f>
        <v>115</v>
      </c>
      <c r="F186" s="43" t="s">
        <v>0</v>
      </c>
      <c r="G186" s="46"/>
      <c r="H186" s="46"/>
      <c r="I186" s="37"/>
      <c r="J186" s="37"/>
    </row>
    <row r="187" spans="1:26" ht="15.75" customHeight="1">
      <c r="A187" s="42" t="s">
        <v>730</v>
      </c>
      <c r="B187" s="38" t="s">
        <v>731</v>
      </c>
      <c r="C187" s="39">
        <v>43992</v>
      </c>
      <c r="D187" s="40">
        <v>44107</v>
      </c>
      <c r="E187" s="46">
        <f>D187-C187</f>
        <v>115</v>
      </c>
      <c r="F187" s="43" t="s">
        <v>0</v>
      </c>
      <c r="G187" s="45" t="s">
        <v>33</v>
      </c>
      <c r="H187" s="46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42" t="s">
        <v>782</v>
      </c>
      <c r="B188" s="38" t="s">
        <v>802</v>
      </c>
      <c r="C188" s="39">
        <v>43598</v>
      </c>
      <c r="D188" s="39">
        <v>43712</v>
      </c>
      <c r="E188" s="46">
        <f>D188-C188</f>
        <v>114</v>
      </c>
      <c r="F188" s="43" t="s">
        <v>646</v>
      </c>
      <c r="G188" s="45" t="s">
        <v>2894</v>
      </c>
      <c r="H188" s="46"/>
      <c r="I188" s="37"/>
      <c r="J188" s="37"/>
    </row>
    <row r="189" spans="1:26" ht="15.75" customHeight="1">
      <c r="A189" s="37" t="s">
        <v>784</v>
      </c>
      <c r="B189" s="38" t="s">
        <v>785</v>
      </c>
      <c r="C189" s="39">
        <v>43587</v>
      </c>
      <c r="D189" s="39">
        <v>43700</v>
      </c>
      <c r="E189" s="46">
        <f>D189-C189</f>
        <v>113</v>
      </c>
      <c r="F189" s="43" t="s">
        <v>0</v>
      </c>
      <c r="G189" s="46"/>
      <c r="H189" s="46"/>
      <c r="I189" s="37"/>
      <c r="J189" s="37"/>
    </row>
    <row r="190" spans="1:26" ht="15.75" customHeight="1">
      <c r="A190" s="42" t="s">
        <v>968</v>
      </c>
      <c r="B190" s="42" t="s">
        <v>969</v>
      </c>
      <c r="C190" s="39">
        <v>43980</v>
      </c>
      <c r="D190" s="39">
        <v>44093</v>
      </c>
      <c r="E190" s="46">
        <f>D190-C190</f>
        <v>113</v>
      </c>
      <c r="F190" s="43" t="s">
        <v>0</v>
      </c>
      <c r="G190" s="46"/>
      <c r="H190" s="46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42" t="s">
        <v>393</v>
      </c>
      <c r="B191" s="38" t="s">
        <v>394</v>
      </c>
      <c r="C191" s="39">
        <v>43414</v>
      </c>
      <c r="D191" s="39">
        <v>43526</v>
      </c>
      <c r="E191" s="48">
        <f>D191-C191</f>
        <v>112</v>
      </c>
      <c r="F191" s="43" t="s">
        <v>0</v>
      </c>
      <c r="G191" s="45" t="s">
        <v>312</v>
      </c>
      <c r="H191" s="46"/>
      <c r="I191" s="37"/>
      <c r="J191" s="37"/>
    </row>
    <row r="192" spans="1:26" ht="15.75" customHeight="1">
      <c r="A192" s="42" t="s">
        <v>1428</v>
      </c>
      <c r="B192" s="42" t="s">
        <v>1429</v>
      </c>
      <c r="C192" s="39">
        <v>44016</v>
      </c>
      <c r="D192" s="40">
        <v>44128</v>
      </c>
      <c r="E192" s="48">
        <f>D192-C192</f>
        <v>112</v>
      </c>
      <c r="F192" s="45" t="s">
        <v>81</v>
      </c>
      <c r="G192" s="46"/>
      <c r="H192" s="46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7" t="s">
        <v>2859</v>
      </c>
      <c r="B193" s="38" t="s">
        <v>757</v>
      </c>
      <c r="C193" s="39">
        <v>43579</v>
      </c>
      <c r="D193" s="39">
        <v>43689</v>
      </c>
      <c r="E193" s="46">
        <f>D193-C193</f>
        <v>110</v>
      </c>
      <c r="F193" s="43" t="s">
        <v>0</v>
      </c>
      <c r="G193" s="45" t="s">
        <v>487</v>
      </c>
      <c r="H193" s="46" t="s">
        <v>455</v>
      </c>
      <c r="I193" s="37"/>
      <c r="J193" s="37"/>
    </row>
    <row r="194" spans="1:26" ht="15.75" customHeight="1">
      <c r="A194" s="37" t="s">
        <v>926</v>
      </c>
      <c r="B194" s="38" t="s">
        <v>927</v>
      </c>
      <c r="C194" s="39">
        <v>43696</v>
      </c>
      <c r="D194" s="39">
        <v>43806</v>
      </c>
      <c r="E194" s="46">
        <f>D194-C194</f>
        <v>110</v>
      </c>
      <c r="F194" s="48" t="s">
        <v>928</v>
      </c>
      <c r="G194" s="46"/>
      <c r="H194" s="46"/>
      <c r="I194" s="37"/>
      <c r="J194" s="37"/>
    </row>
    <row r="195" spans="1:26" ht="15.75" customHeight="1">
      <c r="A195" s="37" t="s">
        <v>607</v>
      </c>
      <c r="B195" s="51" t="s">
        <v>608</v>
      </c>
      <c r="C195" s="39">
        <v>43463</v>
      </c>
      <c r="D195" s="39">
        <v>43572</v>
      </c>
      <c r="E195" s="46">
        <f>D195-C195</f>
        <v>109</v>
      </c>
      <c r="F195" s="43" t="s">
        <v>0</v>
      </c>
      <c r="G195" s="45" t="s">
        <v>1</v>
      </c>
      <c r="H195" s="46"/>
      <c r="I195" s="37"/>
      <c r="J195" s="53" t="s">
        <v>609</v>
      </c>
    </row>
    <row r="196" spans="1:26" ht="15.75" customHeight="1">
      <c r="A196" s="42" t="s">
        <v>719</v>
      </c>
      <c r="B196" s="38" t="s">
        <v>719</v>
      </c>
      <c r="C196" s="39">
        <v>43548</v>
      </c>
      <c r="D196" s="39">
        <v>43657</v>
      </c>
      <c r="E196" s="46">
        <f>D196-C196</f>
        <v>109</v>
      </c>
      <c r="F196" s="46" t="s">
        <v>647</v>
      </c>
      <c r="G196" s="45" t="s">
        <v>720</v>
      </c>
      <c r="H196" s="46"/>
      <c r="I196" s="37"/>
      <c r="J196" s="37"/>
    </row>
    <row r="197" spans="1:26" ht="15.75" customHeight="1">
      <c r="A197" s="37" t="s">
        <v>873</v>
      </c>
      <c r="B197" s="38" t="s">
        <v>874</v>
      </c>
      <c r="C197" s="39">
        <v>43651</v>
      </c>
      <c r="D197" s="39">
        <v>43760</v>
      </c>
      <c r="E197" s="46">
        <f>D197-C197</f>
        <v>109</v>
      </c>
      <c r="F197" s="43" t="s">
        <v>0</v>
      </c>
      <c r="G197" s="45" t="s">
        <v>1</v>
      </c>
      <c r="H197" s="46"/>
      <c r="I197" s="37"/>
      <c r="J197" s="37"/>
    </row>
    <row r="198" spans="1:26" ht="15.75" customHeight="1">
      <c r="A198" s="37" t="s">
        <v>754</v>
      </c>
      <c r="B198" s="42" t="s">
        <v>755</v>
      </c>
      <c r="C198" s="39">
        <v>43753</v>
      </c>
      <c r="D198" s="39">
        <v>43862</v>
      </c>
      <c r="E198" s="46">
        <f>D198-C198</f>
        <v>109</v>
      </c>
      <c r="F198" s="43" t="s">
        <v>0</v>
      </c>
      <c r="G198" s="46"/>
      <c r="H198" s="46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7" t="s">
        <v>979</v>
      </c>
      <c r="B199" s="52" t="s">
        <v>980</v>
      </c>
      <c r="C199" s="39">
        <v>43737</v>
      </c>
      <c r="D199" s="39">
        <v>43845</v>
      </c>
      <c r="E199" s="55">
        <f>D199-C199</f>
        <v>108</v>
      </c>
      <c r="F199" s="43" t="s">
        <v>981</v>
      </c>
    </row>
    <row r="200" spans="1:26" ht="15.75" customHeight="1">
      <c r="A200" s="42" t="s">
        <v>941</v>
      </c>
      <c r="B200" s="42" t="s">
        <v>941</v>
      </c>
      <c r="C200" s="39">
        <v>43706</v>
      </c>
      <c r="D200" s="39">
        <v>43813</v>
      </c>
      <c r="E200" s="46">
        <f>D200-C200</f>
        <v>107</v>
      </c>
      <c r="F200" s="43" t="s">
        <v>0</v>
      </c>
      <c r="G200" s="45" t="s">
        <v>1</v>
      </c>
      <c r="H200" s="46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7" t="s">
        <v>559</v>
      </c>
      <c r="B201" s="38" t="s">
        <v>560</v>
      </c>
      <c r="C201" s="39">
        <v>43434</v>
      </c>
      <c r="D201" s="39">
        <v>43540</v>
      </c>
      <c r="E201" s="46">
        <f>D201-C201</f>
        <v>106</v>
      </c>
      <c r="F201" s="43" t="s">
        <v>0</v>
      </c>
      <c r="G201" s="46"/>
      <c r="H201" s="46"/>
      <c r="I201" s="37"/>
      <c r="J201" s="37"/>
    </row>
    <row r="202" spans="1:26" ht="15.75" customHeight="1">
      <c r="A202" s="37" t="s">
        <v>1457</v>
      </c>
      <c r="B202" s="42" t="s">
        <v>1458</v>
      </c>
      <c r="C202" s="39">
        <v>44048</v>
      </c>
      <c r="D202" s="40">
        <v>44154</v>
      </c>
      <c r="E202" s="48">
        <f>D202-C202</f>
        <v>106</v>
      </c>
      <c r="F202" s="43" t="s">
        <v>0</v>
      </c>
      <c r="G202" s="45" t="s">
        <v>316</v>
      </c>
      <c r="H202" s="45" t="s">
        <v>1450</v>
      </c>
      <c r="I202" s="37"/>
      <c r="J202" s="37"/>
      <c r="K202" s="42" t="s">
        <v>1459</v>
      </c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42" t="s">
        <v>1162</v>
      </c>
      <c r="B203" s="42" t="s">
        <v>1163</v>
      </c>
      <c r="C203" s="39">
        <v>43834</v>
      </c>
      <c r="D203" s="40">
        <v>43939</v>
      </c>
      <c r="E203" s="48">
        <f>D203-C203</f>
        <v>105</v>
      </c>
      <c r="F203" s="43" t="s">
        <v>0</v>
      </c>
      <c r="G203" s="46"/>
      <c r="H203" s="46"/>
      <c r="I203" s="37"/>
      <c r="J203" s="53" t="s">
        <v>1164</v>
      </c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7" t="s">
        <v>1105</v>
      </c>
      <c r="B204" s="42" t="s">
        <v>1106</v>
      </c>
      <c r="C204" s="39">
        <v>44002</v>
      </c>
      <c r="D204" s="40">
        <v>44107</v>
      </c>
      <c r="E204" s="46">
        <f>D204-C204</f>
        <v>105</v>
      </c>
      <c r="F204" s="43" t="s">
        <v>0</v>
      </c>
      <c r="G204" s="46"/>
      <c r="H204" s="46"/>
      <c r="I204" s="37"/>
      <c r="J204" s="53" t="s">
        <v>1107</v>
      </c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57" t="s">
        <v>867</v>
      </c>
      <c r="B205" s="38" t="s">
        <v>868</v>
      </c>
      <c r="C205" s="39">
        <v>43646</v>
      </c>
      <c r="D205" s="39">
        <v>43750</v>
      </c>
      <c r="E205" s="46">
        <f>D205-C205</f>
        <v>104</v>
      </c>
      <c r="F205" s="63" t="s">
        <v>869</v>
      </c>
      <c r="G205" s="46"/>
      <c r="H205" s="46"/>
      <c r="I205" s="37"/>
      <c r="J205" s="37"/>
    </row>
    <row r="206" spans="1:26" ht="15.75" customHeight="1">
      <c r="A206" s="42" t="s">
        <v>923</v>
      </c>
      <c r="B206" s="38" t="s">
        <v>924</v>
      </c>
      <c r="C206" s="39">
        <v>43702</v>
      </c>
      <c r="D206" s="39">
        <v>43806</v>
      </c>
      <c r="E206" s="46">
        <f>D206-C206</f>
        <v>104</v>
      </c>
      <c r="F206" s="43" t="s">
        <v>0</v>
      </c>
      <c r="G206" s="45" t="s">
        <v>925</v>
      </c>
      <c r="H206" s="46"/>
      <c r="I206" s="37"/>
      <c r="J206" s="37"/>
    </row>
    <row r="207" spans="1:26" ht="15.75" customHeight="1">
      <c r="A207" s="42" t="s">
        <v>923</v>
      </c>
      <c r="B207" s="38" t="s">
        <v>924</v>
      </c>
      <c r="C207" s="39">
        <v>43830</v>
      </c>
      <c r="D207" s="39">
        <v>43933</v>
      </c>
      <c r="E207" s="46">
        <f>D207-C207</f>
        <v>103</v>
      </c>
      <c r="F207" s="43" t="s">
        <v>0</v>
      </c>
      <c r="G207" s="45" t="s">
        <v>33</v>
      </c>
      <c r="H207" s="46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52" t="s">
        <v>1001</v>
      </c>
      <c r="B208" s="52" t="s">
        <v>1002</v>
      </c>
      <c r="C208" s="39">
        <v>43866</v>
      </c>
      <c r="D208" s="40">
        <v>43969</v>
      </c>
      <c r="E208" s="48">
        <f>D208-C208</f>
        <v>103</v>
      </c>
      <c r="F208" s="43" t="s">
        <v>0</v>
      </c>
      <c r="G208" s="46"/>
      <c r="H208" s="46"/>
      <c r="I208" s="37"/>
      <c r="J208" s="53" t="s">
        <v>1003</v>
      </c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42" t="s">
        <v>1426</v>
      </c>
      <c r="B209" s="42" t="s">
        <v>1427</v>
      </c>
      <c r="C209" s="39">
        <v>44025</v>
      </c>
      <c r="D209" s="40">
        <v>44128</v>
      </c>
      <c r="E209" s="48">
        <f>D209-C209</f>
        <v>103</v>
      </c>
      <c r="F209" s="43" t="s">
        <v>1413</v>
      </c>
      <c r="G209" s="46"/>
      <c r="H209" s="46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42" t="s">
        <v>1441</v>
      </c>
      <c r="B210" s="42" t="s">
        <v>1442</v>
      </c>
      <c r="C210" s="39">
        <v>44032</v>
      </c>
      <c r="D210" s="39">
        <v>44135</v>
      </c>
      <c r="E210" s="48">
        <f>D210-C210</f>
        <v>103</v>
      </c>
      <c r="F210" s="43" t="s">
        <v>1192</v>
      </c>
      <c r="G210" s="46"/>
      <c r="H210" s="46"/>
      <c r="I210" s="37"/>
      <c r="J210" s="37"/>
      <c r="K210" s="42" t="s">
        <v>1443</v>
      </c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7" t="s">
        <v>589</v>
      </c>
      <c r="B211" s="38" t="s">
        <v>603</v>
      </c>
      <c r="C211" s="39">
        <v>43469</v>
      </c>
      <c r="D211" s="39">
        <v>43571</v>
      </c>
      <c r="E211" s="46">
        <f>D211-C211</f>
        <v>102</v>
      </c>
      <c r="F211" s="43" t="s">
        <v>505</v>
      </c>
      <c r="G211" s="45" t="s">
        <v>604</v>
      </c>
      <c r="H211" s="46"/>
      <c r="I211" s="37"/>
      <c r="J211" s="37"/>
    </row>
    <row r="212" spans="1:26" ht="15.75" customHeight="1">
      <c r="A212" s="42" t="s">
        <v>1423</v>
      </c>
      <c r="B212" s="42" t="s">
        <v>1424</v>
      </c>
      <c r="C212" s="39">
        <v>44024</v>
      </c>
      <c r="D212" s="40">
        <v>44126</v>
      </c>
      <c r="E212" s="48">
        <f>D212-C212</f>
        <v>102</v>
      </c>
      <c r="F212" s="43" t="s">
        <v>0</v>
      </c>
      <c r="G212" s="46"/>
      <c r="H212" s="46"/>
      <c r="I212" s="37"/>
      <c r="J212" s="37"/>
      <c r="K212" s="74" t="s">
        <v>1425</v>
      </c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7" t="s">
        <v>1127</v>
      </c>
      <c r="B213" s="42" t="s">
        <v>1128</v>
      </c>
      <c r="C213" s="39">
        <v>43827</v>
      </c>
      <c r="D213" s="39">
        <v>43928</v>
      </c>
      <c r="E213" s="46">
        <f>D213-C213</f>
        <v>101</v>
      </c>
      <c r="F213" s="45" t="s">
        <v>1129</v>
      </c>
      <c r="G213" s="45" t="s">
        <v>33</v>
      </c>
      <c r="H213" s="46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7" t="s">
        <v>1325</v>
      </c>
      <c r="B214" s="42" t="s">
        <v>1326</v>
      </c>
      <c r="C214" s="39">
        <v>43929</v>
      </c>
      <c r="D214" s="40">
        <v>44030</v>
      </c>
      <c r="E214" s="48">
        <f>D214-C214</f>
        <v>101</v>
      </c>
      <c r="F214" s="43" t="s">
        <v>1327</v>
      </c>
      <c r="G214" s="45" t="s">
        <v>33</v>
      </c>
      <c r="H214" s="46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42" t="s">
        <v>898</v>
      </c>
      <c r="B215" s="38" t="s">
        <v>904</v>
      </c>
      <c r="C215" s="39">
        <v>43690</v>
      </c>
      <c r="D215" s="39">
        <v>43790</v>
      </c>
      <c r="E215" s="46">
        <f>D215-C215</f>
        <v>100</v>
      </c>
      <c r="F215" s="43" t="s">
        <v>0</v>
      </c>
      <c r="G215" s="45" t="s">
        <v>70</v>
      </c>
      <c r="H215" s="46"/>
      <c r="I215" s="37"/>
      <c r="J215" s="37"/>
    </row>
    <row r="216" spans="1:26" ht="15.75" customHeight="1">
      <c r="A216" s="37" t="s">
        <v>1383</v>
      </c>
      <c r="B216" s="42" t="s">
        <v>1384</v>
      </c>
      <c r="C216" s="39">
        <v>43986</v>
      </c>
      <c r="D216" s="40">
        <v>44086</v>
      </c>
      <c r="E216" s="48">
        <f>D216-C216</f>
        <v>100</v>
      </c>
      <c r="F216" s="48" t="s">
        <v>174</v>
      </c>
      <c r="G216" s="46"/>
      <c r="H216" s="46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42" t="s">
        <v>970</v>
      </c>
      <c r="B217" s="42" t="s">
        <v>971</v>
      </c>
      <c r="C217" s="39">
        <v>43834</v>
      </c>
      <c r="D217" s="39">
        <v>43933</v>
      </c>
      <c r="E217" s="46">
        <f>D217-C217</f>
        <v>99</v>
      </c>
      <c r="F217" s="45" t="s">
        <v>998</v>
      </c>
      <c r="G217" s="45" t="s">
        <v>972</v>
      </c>
      <c r="H217" s="46"/>
      <c r="I217" s="37"/>
      <c r="J217" s="53" t="s">
        <v>1140</v>
      </c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42" t="s">
        <v>1017</v>
      </c>
      <c r="B218" s="42" t="s">
        <v>1113</v>
      </c>
      <c r="C218" s="39">
        <v>43827</v>
      </c>
      <c r="D218" s="39">
        <v>43925</v>
      </c>
      <c r="E218" s="46">
        <f>D218-C218</f>
        <v>98</v>
      </c>
      <c r="F218" s="43" t="s">
        <v>810</v>
      </c>
      <c r="G218" s="45" t="s">
        <v>1</v>
      </c>
      <c r="H218" s="46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42" t="s">
        <v>467</v>
      </c>
      <c r="B219" s="38" t="s">
        <v>468</v>
      </c>
      <c r="C219" s="39">
        <v>43364</v>
      </c>
      <c r="D219" s="39">
        <v>43461</v>
      </c>
      <c r="E219" s="48">
        <f>D219-C219</f>
        <v>97</v>
      </c>
      <c r="F219" s="43" t="s">
        <v>0</v>
      </c>
      <c r="G219" s="45" t="s">
        <v>33</v>
      </c>
      <c r="H219" s="44"/>
      <c r="I219" s="1"/>
      <c r="J219" s="1"/>
    </row>
    <row r="220" spans="1:26" ht="15.75" customHeight="1">
      <c r="A220" s="65" t="s">
        <v>1006</v>
      </c>
      <c r="B220" s="42" t="s">
        <v>1068</v>
      </c>
      <c r="C220" s="39">
        <v>43807</v>
      </c>
      <c r="D220" s="39">
        <v>43904</v>
      </c>
      <c r="E220" s="48">
        <f>D220-C220</f>
        <v>97</v>
      </c>
      <c r="F220" s="43" t="s">
        <v>0</v>
      </c>
      <c r="G220" s="45" t="s">
        <v>33</v>
      </c>
      <c r="H220" s="46"/>
      <c r="I220" s="37"/>
      <c r="J220" s="53" t="s">
        <v>1069</v>
      </c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42" t="s">
        <v>1282</v>
      </c>
      <c r="B221" s="42" t="s">
        <v>1283</v>
      </c>
      <c r="C221" s="39">
        <v>43906</v>
      </c>
      <c r="D221" s="40">
        <v>44003</v>
      </c>
      <c r="E221" s="48">
        <f>D221-C221</f>
        <v>97</v>
      </c>
      <c r="F221" s="46" t="s">
        <v>1284</v>
      </c>
      <c r="G221" s="45" t="s">
        <v>33</v>
      </c>
      <c r="H221" s="46"/>
      <c r="I221" s="37"/>
      <c r="J221" s="53" t="s">
        <v>1285</v>
      </c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7" t="s">
        <v>1312</v>
      </c>
      <c r="B222" s="42" t="s">
        <v>1313</v>
      </c>
      <c r="C222" s="39">
        <v>43920</v>
      </c>
      <c r="D222" s="40">
        <v>44017</v>
      </c>
      <c r="E222" s="46">
        <f>D222-C222</f>
        <v>97</v>
      </c>
      <c r="F222" s="46" t="s">
        <v>104</v>
      </c>
      <c r="G222" s="45" t="s">
        <v>33</v>
      </c>
      <c r="H222" s="46"/>
      <c r="I222" s="37"/>
      <c r="J222" s="53" t="s">
        <v>1315</v>
      </c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42" t="s">
        <v>1150</v>
      </c>
      <c r="B223" s="42" t="s">
        <v>1151</v>
      </c>
      <c r="C223" s="39">
        <v>43841</v>
      </c>
      <c r="D223" s="40">
        <v>43937</v>
      </c>
      <c r="E223" s="48">
        <f>D223-C223</f>
        <v>96</v>
      </c>
      <c r="F223" s="43" t="s">
        <v>0</v>
      </c>
      <c r="G223" s="45" t="s">
        <v>43</v>
      </c>
      <c r="H223" s="46"/>
      <c r="I223" s="37"/>
      <c r="J223" s="53" t="s">
        <v>1152</v>
      </c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42" t="s">
        <v>511</v>
      </c>
      <c r="B224" s="38" t="s">
        <v>466</v>
      </c>
      <c r="C224" s="39">
        <v>43436</v>
      </c>
      <c r="D224" s="39">
        <v>43531</v>
      </c>
      <c r="E224" s="46">
        <f>D224-C224</f>
        <v>95</v>
      </c>
      <c r="F224" s="43" t="s">
        <v>539</v>
      </c>
      <c r="G224" s="46"/>
      <c r="H224" s="46"/>
      <c r="I224" s="37"/>
      <c r="J224" s="53" t="s">
        <v>540</v>
      </c>
    </row>
    <row r="225" spans="1:26" ht="15.75" customHeight="1">
      <c r="A225" s="37" t="s">
        <v>1292</v>
      </c>
      <c r="B225" s="42" t="s">
        <v>1293</v>
      </c>
      <c r="C225" s="39">
        <v>43913</v>
      </c>
      <c r="D225" s="40">
        <v>44008</v>
      </c>
      <c r="E225" s="48">
        <f>D225-C225</f>
        <v>95</v>
      </c>
      <c r="F225" s="46" t="s">
        <v>1294</v>
      </c>
      <c r="G225" s="46"/>
      <c r="H225" s="46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7" t="s">
        <v>515</v>
      </c>
      <c r="B226" s="38" t="s">
        <v>516</v>
      </c>
      <c r="C226" s="39">
        <v>43423</v>
      </c>
      <c r="D226" s="39">
        <v>43517</v>
      </c>
      <c r="E226" s="46">
        <f>D226-C226</f>
        <v>94</v>
      </c>
      <c r="F226" s="43" t="s">
        <v>0</v>
      </c>
      <c r="H226" s="45" t="s">
        <v>517</v>
      </c>
      <c r="I226" s="37"/>
      <c r="J226" s="37"/>
    </row>
    <row r="227" spans="1:26" ht="15.75" customHeight="1">
      <c r="A227" s="37" t="s">
        <v>1187</v>
      </c>
      <c r="B227" s="42" t="s">
        <v>1188</v>
      </c>
      <c r="C227" s="39">
        <v>43855</v>
      </c>
      <c r="D227" s="40">
        <v>43949</v>
      </c>
      <c r="E227" s="48">
        <f>D227-C227</f>
        <v>94</v>
      </c>
      <c r="F227" s="48" t="s">
        <v>174</v>
      </c>
      <c r="G227" s="46"/>
      <c r="H227" s="46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42" t="s">
        <v>705</v>
      </c>
      <c r="B228" s="38" t="s">
        <v>706</v>
      </c>
      <c r="C228" s="39">
        <v>43545</v>
      </c>
      <c r="D228" s="39">
        <v>43638</v>
      </c>
      <c r="E228" s="46">
        <f>D228-C228</f>
        <v>93</v>
      </c>
      <c r="F228" s="43" t="s">
        <v>0</v>
      </c>
      <c r="G228" s="46"/>
      <c r="H228" s="46"/>
      <c r="I228" s="37"/>
      <c r="J228" s="37"/>
    </row>
    <row r="229" spans="1:26" ht="15.75" customHeight="1">
      <c r="A229" s="37" t="s">
        <v>926</v>
      </c>
      <c r="B229" s="38" t="s">
        <v>927</v>
      </c>
      <c r="C229" s="39">
        <v>43839</v>
      </c>
      <c r="D229" s="39">
        <v>43932</v>
      </c>
      <c r="E229" s="46">
        <f>D229-C229</f>
        <v>93</v>
      </c>
      <c r="F229" s="43" t="s">
        <v>0</v>
      </c>
      <c r="G229" s="45" t="s">
        <v>1</v>
      </c>
      <c r="H229" s="46"/>
      <c r="I229" s="37"/>
      <c r="J229" s="53" t="s">
        <v>1139</v>
      </c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42" t="s">
        <v>760</v>
      </c>
      <c r="B230" s="38" t="s">
        <v>761</v>
      </c>
      <c r="C230" s="39">
        <v>43602</v>
      </c>
      <c r="D230" s="39">
        <v>43694</v>
      </c>
      <c r="E230" s="46">
        <f>D230-C230</f>
        <v>92</v>
      </c>
      <c r="F230" s="43" t="s">
        <v>0</v>
      </c>
      <c r="G230" s="46"/>
      <c r="H230" s="45" t="s">
        <v>762</v>
      </c>
      <c r="I230" s="37"/>
      <c r="J230" s="37"/>
    </row>
    <row r="231" spans="1:26" ht="15.75" customHeight="1">
      <c r="A231" s="42" t="s">
        <v>25</v>
      </c>
      <c r="B231" s="38" t="s">
        <v>504</v>
      </c>
      <c r="C231" s="39">
        <v>43840</v>
      </c>
      <c r="D231" s="39">
        <v>43932</v>
      </c>
      <c r="E231" s="46">
        <f>D231-C231</f>
        <v>92</v>
      </c>
      <c r="F231" s="43" t="s">
        <v>0</v>
      </c>
      <c r="G231" s="45" t="s">
        <v>33</v>
      </c>
      <c r="H231" s="46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7" t="s">
        <v>104</v>
      </c>
      <c r="B232" s="42" t="s">
        <v>105</v>
      </c>
      <c r="C232" s="39">
        <v>43867</v>
      </c>
      <c r="D232" s="39">
        <v>43959</v>
      </c>
      <c r="E232" s="48">
        <f>D232-C232</f>
        <v>92</v>
      </c>
      <c r="F232" s="48" t="s">
        <v>1212</v>
      </c>
      <c r="G232" s="46"/>
      <c r="H232" s="46"/>
      <c r="I232" s="37"/>
      <c r="J232" s="53" t="s">
        <v>107</v>
      </c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7" t="s">
        <v>552</v>
      </c>
      <c r="B233" s="38" t="s">
        <v>553</v>
      </c>
      <c r="C233" s="39">
        <v>43448</v>
      </c>
      <c r="D233" s="39">
        <v>43539</v>
      </c>
      <c r="E233" s="46">
        <f>D233-C233</f>
        <v>91</v>
      </c>
      <c r="F233" s="45" t="s">
        <v>539</v>
      </c>
      <c r="G233" s="45" t="s">
        <v>33</v>
      </c>
      <c r="H233" s="46"/>
      <c r="I233" s="37"/>
      <c r="J233" s="37"/>
    </row>
    <row r="234" spans="1:26" ht="15.75" customHeight="1">
      <c r="A234" s="37" t="s">
        <v>611</v>
      </c>
      <c r="B234" s="38" t="s">
        <v>612</v>
      </c>
      <c r="C234" s="39">
        <v>43484</v>
      </c>
      <c r="D234" s="39">
        <v>43574</v>
      </c>
      <c r="E234" s="46">
        <f>D234-C234</f>
        <v>90</v>
      </c>
      <c r="F234" s="46" t="s">
        <v>589</v>
      </c>
      <c r="G234" s="45" t="s">
        <v>1</v>
      </c>
      <c r="H234" s="46"/>
      <c r="I234" s="37"/>
      <c r="J234" s="37"/>
    </row>
    <row r="235" spans="1:26" ht="15.75" customHeight="1">
      <c r="A235" s="37" t="s">
        <v>735</v>
      </c>
      <c r="B235" s="38" t="s">
        <v>736</v>
      </c>
      <c r="C235" s="39">
        <v>43576</v>
      </c>
      <c r="D235" s="39">
        <v>43666</v>
      </c>
      <c r="E235" s="46">
        <f>D235-C235</f>
        <v>90</v>
      </c>
      <c r="F235" s="43" t="s">
        <v>0</v>
      </c>
      <c r="G235" s="45" t="s">
        <v>1</v>
      </c>
      <c r="H235" s="46"/>
      <c r="I235" s="37"/>
      <c r="J235" s="37"/>
    </row>
    <row r="236" spans="1:26" ht="15.75" customHeight="1">
      <c r="A236" s="42" t="s">
        <v>460</v>
      </c>
      <c r="B236" s="38" t="s">
        <v>461</v>
      </c>
      <c r="C236" s="39">
        <v>43345</v>
      </c>
      <c r="D236" s="39">
        <v>43432</v>
      </c>
      <c r="E236" s="48">
        <f>D236-C236</f>
        <v>87</v>
      </c>
      <c r="F236" s="46"/>
      <c r="G236" s="37"/>
      <c r="H236" s="44"/>
      <c r="I236" s="1"/>
      <c r="J236" s="1"/>
    </row>
    <row r="237" spans="1:26" ht="15.75" customHeight="1">
      <c r="A237" s="57" t="s">
        <v>915</v>
      </c>
      <c r="B237" s="51" t="s">
        <v>915</v>
      </c>
      <c r="C237" s="39">
        <v>43712</v>
      </c>
      <c r="D237" s="39">
        <v>43799</v>
      </c>
      <c r="E237" s="46">
        <f>D237-C237</f>
        <v>87</v>
      </c>
      <c r="F237" s="43" t="s">
        <v>0</v>
      </c>
      <c r="G237" s="46"/>
      <c r="H237" s="46"/>
      <c r="I237" s="37"/>
      <c r="J237" s="37"/>
    </row>
    <row r="238" spans="1:26" ht="15.75" customHeight="1">
      <c r="A238" s="52" t="s">
        <v>798</v>
      </c>
      <c r="B238" s="51" t="s">
        <v>798</v>
      </c>
      <c r="C238" s="39">
        <v>43622</v>
      </c>
      <c r="D238" s="39">
        <v>43708</v>
      </c>
      <c r="E238" s="46">
        <f>D238-C238</f>
        <v>86</v>
      </c>
      <c r="F238" s="46" t="s">
        <v>301</v>
      </c>
      <c r="G238" s="46"/>
      <c r="H238" s="46"/>
      <c r="I238" s="37"/>
      <c r="J238" s="37"/>
    </row>
    <row r="239" spans="1:26" ht="15.75" customHeight="1">
      <c r="A239" s="57" t="s">
        <v>789</v>
      </c>
      <c r="B239" s="52" t="s">
        <v>790</v>
      </c>
      <c r="C239" s="39">
        <v>43846</v>
      </c>
      <c r="D239" s="39">
        <v>43932</v>
      </c>
      <c r="E239" s="46">
        <f>D239-C239</f>
        <v>86</v>
      </c>
      <c r="F239" s="43" t="s">
        <v>0</v>
      </c>
      <c r="G239" s="46"/>
      <c r="H239" s="46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7" t="s">
        <v>1013</v>
      </c>
      <c r="B240" s="42" t="s">
        <v>1014</v>
      </c>
      <c r="C240" s="39">
        <v>43903</v>
      </c>
      <c r="D240" s="39">
        <v>43989</v>
      </c>
      <c r="E240" s="46">
        <f>D240-C240</f>
        <v>86</v>
      </c>
      <c r="F240" s="45" t="s">
        <v>0</v>
      </c>
      <c r="G240" s="46"/>
      <c r="H240" s="46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42" t="s">
        <v>1275</v>
      </c>
      <c r="B241" s="42" t="s">
        <v>1276</v>
      </c>
      <c r="C241" s="39">
        <v>43912</v>
      </c>
      <c r="D241" s="40">
        <v>43997</v>
      </c>
      <c r="E241" s="48">
        <f>D241-C241</f>
        <v>85</v>
      </c>
      <c r="F241" s="48" t="s">
        <v>1212</v>
      </c>
      <c r="G241" s="45" t="s">
        <v>33</v>
      </c>
      <c r="H241" s="45" t="s">
        <v>817</v>
      </c>
      <c r="I241" s="37"/>
      <c r="J241" s="53" t="s">
        <v>1277</v>
      </c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7" t="s">
        <v>1167</v>
      </c>
      <c r="B242" s="42" t="s">
        <v>1168</v>
      </c>
      <c r="C242" s="39">
        <v>43859</v>
      </c>
      <c r="D242" s="40">
        <v>43943</v>
      </c>
      <c r="E242" s="48">
        <f>D242-C242</f>
        <v>84</v>
      </c>
      <c r="F242" s="43" t="s">
        <v>853</v>
      </c>
      <c r="G242" s="45" t="s">
        <v>1</v>
      </c>
      <c r="H242" s="46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42" t="s">
        <v>998</v>
      </c>
      <c r="B243" s="42" t="s">
        <v>999</v>
      </c>
      <c r="C243" s="39">
        <v>43876</v>
      </c>
      <c r="D243" s="39">
        <v>43960</v>
      </c>
      <c r="E243" s="46">
        <f>D243-C243</f>
        <v>84</v>
      </c>
      <c r="F243" s="72" t="s">
        <v>884</v>
      </c>
      <c r="G243" s="45" t="s">
        <v>1</v>
      </c>
      <c r="H243" s="46"/>
      <c r="I243" s="37"/>
      <c r="J243" s="53" t="s">
        <v>1000</v>
      </c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7" t="s">
        <v>675</v>
      </c>
      <c r="B244" s="38" t="s">
        <v>676</v>
      </c>
      <c r="C244" s="39">
        <v>43527</v>
      </c>
      <c r="D244" s="39">
        <v>43610</v>
      </c>
      <c r="E244" s="46">
        <f>D244-C244</f>
        <v>83</v>
      </c>
      <c r="F244" s="43" t="s">
        <v>14</v>
      </c>
      <c r="G244" s="44"/>
      <c r="H244" s="44"/>
      <c r="I244" s="1"/>
      <c r="J244" s="1"/>
    </row>
    <row r="245" spans="1:26" ht="15.75" customHeight="1">
      <c r="A245" s="37" t="s">
        <v>794</v>
      </c>
      <c r="B245" s="38" t="s">
        <v>795</v>
      </c>
      <c r="C245" s="39">
        <v>43620</v>
      </c>
      <c r="D245" s="39">
        <v>43703</v>
      </c>
      <c r="E245" s="46">
        <f>D245-C245</f>
        <v>83</v>
      </c>
      <c r="F245" s="45" t="s">
        <v>764</v>
      </c>
      <c r="G245" s="45" t="s">
        <v>1</v>
      </c>
      <c r="H245" s="46"/>
      <c r="I245" s="37"/>
      <c r="J245" s="37"/>
    </row>
    <row r="246" spans="1:26" ht="15.75" customHeight="1">
      <c r="A246" s="65" t="s">
        <v>1012</v>
      </c>
      <c r="B246" s="65" t="s">
        <v>1012</v>
      </c>
      <c r="C246" s="39">
        <v>43786</v>
      </c>
      <c r="D246" s="39">
        <v>43869</v>
      </c>
      <c r="E246" s="46">
        <f>D246-C246</f>
        <v>83</v>
      </c>
      <c r="F246" s="43" t="s">
        <v>54</v>
      </c>
      <c r="G246" s="46"/>
      <c r="H246" s="46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42" t="s">
        <v>601</v>
      </c>
      <c r="B247" s="38" t="s">
        <v>602</v>
      </c>
      <c r="C247" s="39">
        <v>43889</v>
      </c>
      <c r="D247" s="39">
        <v>43971</v>
      </c>
      <c r="E247" s="46">
        <f>D247-C247</f>
        <v>82</v>
      </c>
      <c r="F247" s="45" t="s">
        <v>0</v>
      </c>
      <c r="G247" s="45" t="s">
        <v>33</v>
      </c>
      <c r="H247" s="46"/>
      <c r="I247" s="37"/>
      <c r="J247" s="53" t="s">
        <v>1235</v>
      </c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7" t="s">
        <v>1240</v>
      </c>
      <c r="B248" s="42" t="s">
        <v>1241</v>
      </c>
      <c r="C248" s="39">
        <v>43899</v>
      </c>
      <c r="D248" s="39">
        <v>43981</v>
      </c>
      <c r="E248" s="48">
        <f>D248-C248</f>
        <v>82</v>
      </c>
      <c r="F248" s="45" t="s">
        <v>0</v>
      </c>
      <c r="G248" s="46"/>
      <c r="H248" s="46"/>
      <c r="I248" s="37"/>
      <c r="J248" s="53" t="s">
        <v>1242</v>
      </c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42" t="s">
        <v>595</v>
      </c>
      <c r="B249" s="42" t="s">
        <v>1308</v>
      </c>
      <c r="C249" s="39">
        <v>43934</v>
      </c>
      <c r="D249" s="40">
        <v>44016</v>
      </c>
      <c r="E249" s="48">
        <f>D249-C249</f>
        <v>82</v>
      </c>
      <c r="F249" s="43" t="s">
        <v>0</v>
      </c>
      <c r="G249" s="46"/>
      <c r="H249" s="46"/>
      <c r="I249" s="37"/>
      <c r="J249" s="53" t="s">
        <v>1309</v>
      </c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7" t="s">
        <v>1462</v>
      </c>
      <c r="B250" s="42" t="s">
        <v>1463</v>
      </c>
      <c r="C250" s="39">
        <v>44073</v>
      </c>
      <c r="D250" s="40">
        <v>44155</v>
      </c>
      <c r="E250" s="48">
        <f>D250-C250</f>
        <v>82</v>
      </c>
      <c r="F250" s="48" t="s">
        <v>1212</v>
      </c>
      <c r="G250" s="46"/>
      <c r="H250" s="46"/>
      <c r="I250" s="37"/>
      <c r="J250" s="37"/>
      <c r="K250" s="42" t="s">
        <v>1464</v>
      </c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42" t="s">
        <v>778</v>
      </c>
      <c r="B251" s="38" t="s">
        <v>779</v>
      </c>
      <c r="C251" s="39">
        <v>43618</v>
      </c>
      <c r="D251" s="39">
        <v>43699</v>
      </c>
      <c r="E251" s="46">
        <f>D251-C251</f>
        <v>81</v>
      </c>
      <c r="F251" s="43" t="s">
        <v>17</v>
      </c>
      <c r="G251" s="46"/>
      <c r="H251" s="46"/>
      <c r="I251" s="37"/>
      <c r="J251" s="37"/>
    </row>
    <row r="252" spans="1:26" ht="15.75" customHeight="1">
      <c r="A252" s="37" t="s">
        <v>1105</v>
      </c>
      <c r="B252" s="42" t="s">
        <v>1106</v>
      </c>
      <c r="C252" s="39">
        <v>43843</v>
      </c>
      <c r="D252" s="40">
        <v>43924</v>
      </c>
      <c r="E252" s="48">
        <f>D252-C252</f>
        <v>81</v>
      </c>
      <c r="F252" s="43" t="s">
        <v>595</v>
      </c>
      <c r="G252" s="46"/>
      <c r="H252" s="46"/>
      <c r="I252" s="37"/>
      <c r="J252" s="53" t="s">
        <v>1107</v>
      </c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7" t="s">
        <v>943</v>
      </c>
      <c r="B253" s="38" t="s">
        <v>944</v>
      </c>
      <c r="C253" s="39">
        <v>43865</v>
      </c>
      <c r="D253" s="40">
        <v>43946</v>
      </c>
      <c r="E253" s="46">
        <f>D253-C253</f>
        <v>81</v>
      </c>
      <c r="F253" s="43" t="s">
        <v>0</v>
      </c>
      <c r="G253" s="46"/>
      <c r="H253" s="46"/>
      <c r="I253" s="37"/>
      <c r="J253" s="53" t="s">
        <v>1177</v>
      </c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7" t="s">
        <v>424</v>
      </c>
      <c r="B254" s="38" t="s">
        <v>425</v>
      </c>
      <c r="C254" s="39">
        <v>43442</v>
      </c>
      <c r="D254" s="39">
        <v>43522</v>
      </c>
      <c r="E254" s="46">
        <f>D254-C254</f>
        <v>80</v>
      </c>
      <c r="F254" s="43" t="s">
        <v>0</v>
      </c>
      <c r="G254" s="45" t="s">
        <v>1</v>
      </c>
      <c r="H254" s="46"/>
      <c r="I254" s="37"/>
      <c r="J254" s="53" t="s">
        <v>518</v>
      </c>
    </row>
    <row r="255" spans="1:26" ht="15.75" customHeight="1">
      <c r="A255" s="37" t="s">
        <v>877</v>
      </c>
      <c r="B255" s="38" t="s">
        <v>890</v>
      </c>
      <c r="C255" s="39">
        <v>43964</v>
      </c>
      <c r="D255" s="40">
        <v>44044</v>
      </c>
      <c r="E255" s="48">
        <f>D255-C255</f>
        <v>80</v>
      </c>
      <c r="F255" s="43" t="s">
        <v>0</v>
      </c>
      <c r="G255" s="46"/>
      <c r="H255" s="46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42" t="s">
        <v>1345</v>
      </c>
      <c r="B256" s="52">
        <v>457368837</v>
      </c>
      <c r="C256" s="39">
        <v>43971</v>
      </c>
      <c r="D256" s="40">
        <v>44051</v>
      </c>
      <c r="E256" s="46">
        <f>D256-C256</f>
        <v>80</v>
      </c>
      <c r="F256" s="48" t="s">
        <v>1212</v>
      </c>
      <c r="G256" s="46"/>
      <c r="H256" s="46"/>
      <c r="I256" s="37"/>
      <c r="J256" s="53" t="s">
        <v>1347</v>
      </c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7" t="s">
        <v>799</v>
      </c>
      <c r="B257" s="38" t="s">
        <v>800</v>
      </c>
      <c r="C257" s="39">
        <v>43630</v>
      </c>
      <c r="D257" s="39">
        <v>43709</v>
      </c>
      <c r="E257" s="46">
        <f>D257-C257</f>
        <v>79</v>
      </c>
      <c r="F257" s="43" t="s">
        <v>0</v>
      </c>
      <c r="G257" s="46"/>
      <c r="H257" s="46"/>
      <c r="I257" s="37"/>
      <c r="J257" s="37"/>
    </row>
    <row r="258" spans="1:26" ht="15.75" customHeight="1">
      <c r="A258" s="37" t="s">
        <v>893</v>
      </c>
      <c r="B258" s="52" t="s">
        <v>952</v>
      </c>
      <c r="C258" s="39">
        <v>43739</v>
      </c>
      <c r="D258" s="39">
        <v>43818</v>
      </c>
      <c r="E258" s="46">
        <f>D258-C258</f>
        <v>79</v>
      </c>
      <c r="F258" s="43" t="s">
        <v>0</v>
      </c>
      <c r="G258" s="45" t="s">
        <v>33</v>
      </c>
      <c r="H258" s="46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42" t="s">
        <v>1087</v>
      </c>
      <c r="B259" s="42" t="s">
        <v>1088</v>
      </c>
      <c r="C259" s="39">
        <v>43833</v>
      </c>
      <c r="D259" s="40">
        <v>43912</v>
      </c>
      <c r="E259" s="48">
        <f>D259-C259</f>
        <v>79</v>
      </c>
      <c r="F259" s="43" t="s">
        <v>0</v>
      </c>
      <c r="G259" s="45" t="s">
        <v>1089</v>
      </c>
      <c r="H259" s="46"/>
      <c r="I259" s="37"/>
      <c r="J259" s="53" t="s">
        <v>1090</v>
      </c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7" t="s">
        <v>1184</v>
      </c>
      <c r="B260" s="42" t="s">
        <v>1185</v>
      </c>
      <c r="C260" s="39">
        <v>43870</v>
      </c>
      <c r="D260" s="40">
        <v>43949</v>
      </c>
      <c r="E260" s="48">
        <f>D260-C260</f>
        <v>79</v>
      </c>
      <c r="F260" s="43" t="s">
        <v>0</v>
      </c>
      <c r="G260" s="45" t="s">
        <v>43</v>
      </c>
      <c r="H260" s="46"/>
      <c r="I260" s="37"/>
      <c r="J260" s="53" t="s">
        <v>1186</v>
      </c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7" t="s">
        <v>456</v>
      </c>
      <c r="B261" s="38" t="s">
        <v>457</v>
      </c>
      <c r="C261" s="39">
        <v>43345</v>
      </c>
      <c r="D261" s="39">
        <v>43423</v>
      </c>
      <c r="E261" s="48">
        <f>D261-C261</f>
        <v>78</v>
      </c>
      <c r="F261" s="45"/>
      <c r="G261" s="46"/>
      <c r="H261" s="46"/>
      <c r="I261" s="37"/>
      <c r="J261" s="37"/>
    </row>
    <row r="262" spans="1:26" ht="15.75" customHeight="1">
      <c r="A262" s="42" t="s">
        <v>536</v>
      </c>
      <c r="B262" s="38" t="s">
        <v>537</v>
      </c>
      <c r="C262" s="39">
        <v>43453</v>
      </c>
      <c r="D262" s="39">
        <v>43531</v>
      </c>
      <c r="E262" s="46">
        <f>D262-C262</f>
        <v>78</v>
      </c>
      <c r="F262" s="43" t="s">
        <v>0</v>
      </c>
      <c r="G262" s="45" t="s">
        <v>33</v>
      </c>
      <c r="H262" s="46"/>
      <c r="I262" s="37"/>
      <c r="J262" s="53" t="s">
        <v>538</v>
      </c>
    </row>
    <row r="263" spans="1:26" ht="15.75" customHeight="1">
      <c r="A263" s="42" t="s">
        <v>566</v>
      </c>
      <c r="B263" s="38" t="s">
        <v>567</v>
      </c>
      <c r="C263" s="39">
        <v>43467</v>
      </c>
      <c r="D263" s="39">
        <v>43545</v>
      </c>
      <c r="E263" s="46">
        <f>D263-C263</f>
        <v>78</v>
      </c>
      <c r="F263" s="46" t="s">
        <v>568</v>
      </c>
      <c r="G263" s="46"/>
      <c r="H263" s="46"/>
      <c r="I263" s="37"/>
      <c r="J263" s="37"/>
    </row>
    <row r="264" spans="1:26" ht="15.75" customHeight="1">
      <c r="A264" s="42" t="s">
        <v>717</v>
      </c>
      <c r="B264" s="38" t="s">
        <v>718</v>
      </c>
      <c r="C264" s="39">
        <v>43575</v>
      </c>
      <c r="D264" s="39">
        <v>43653</v>
      </c>
      <c r="E264" s="46">
        <f>D264-C264</f>
        <v>78</v>
      </c>
      <c r="F264" s="43" t="s">
        <v>54</v>
      </c>
      <c r="G264" s="44"/>
      <c r="H264" s="44"/>
    </row>
    <row r="265" spans="1:26" ht="15.75" customHeight="1">
      <c r="A265" s="42" t="s">
        <v>1082</v>
      </c>
      <c r="B265" s="42" t="s">
        <v>1083</v>
      </c>
      <c r="C265" s="39">
        <v>43833</v>
      </c>
      <c r="D265" s="40">
        <v>43911</v>
      </c>
      <c r="E265" s="48">
        <f>D265-C265</f>
        <v>78</v>
      </c>
      <c r="F265" s="43" t="s">
        <v>1084</v>
      </c>
      <c r="G265" s="46"/>
      <c r="H265" s="46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7" t="s">
        <v>1201</v>
      </c>
      <c r="B266" s="42" t="s">
        <v>1202</v>
      </c>
      <c r="C266" s="39">
        <v>43878</v>
      </c>
      <c r="D266" s="40">
        <v>43956</v>
      </c>
      <c r="E266" s="48">
        <f>D266-C266</f>
        <v>78</v>
      </c>
      <c r="F266" s="48" t="s">
        <v>1101</v>
      </c>
      <c r="G266" s="46"/>
      <c r="H266" s="46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7" t="s">
        <v>453</v>
      </c>
      <c r="B267" s="38" t="s">
        <v>454</v>
      </c>
      <c r="C267" s="39">
        <v>43345</v>
      </c>
      <c r="D267" s="39">
        <v>43422</v>
      </c>
      <c r="E267" s="48">
        <f>D267-C267</f>
        <v>77</v>
      </c>
      <c r="F267" s="44"/>
      <c r="G267" s="44"/>
      <c r="H267" s="44"/>
      <c r="I267" s="1"/>
      <c r="J267" s="1"/>
    </row>
    <row r="268" spans="1:26" ht="15.75" customHeight="1">
      <c r="A268" s="42" t="s">
        <v>1264</v>
      </c>
      <c r="B268" s="42" t="s">
        <v>1264</v>
      </c>
      <c r="C268" s="39">
        <v>43918</v>
      </c>
      <c r="D268" s="40">
        <v>43995</v>
      </c>
      <c r="E268" s="48">
        <f>D268-C268</f>
        <v>77</v>
      </c>
      <c r="F268" s="43" t="s">
        <v>0</v>
      </c>
      <c r="G268" s="46"/>
      <c r="H268" s="46"/>
      <c r="I268" s="37"/>
      <c r="J268" s="53" t="s">
        <v>1265</v>
      </c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7" t="s">
        <v>1474</v>
      </c>
      <c r="B269" s="74" t="s">
        <v>1475</v>
      </c>
      <c r="C269" s="39">
        <v>44079</v>
      </c>
      <c r="D269" s="40">
        <v>44156</v>
      </c>
      <c r="E269" s="48">
        <f>D269-C269</f>
        <v>77</v>
      </c>
      <c r="F269" s="43" t="s">
        <v>68</v>
      </c>
      <c r="G269" s="46"/>
      <c r="H269" s="46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5.75" customHeight="1">
      <c r="A270" s="42" t="s">
        <v>448</v>
      </c>
      <c r="B270" s="38" t="s">
        <v>449</v>
      </c>
      <c r="C270" s="39">
        <v>43345</v>
      </c>
      <c r="D270" s="39">
        <v>43421</v>
      </c>
      <c r="E270" s="48">
        <f>D270-C270</f>
        <v>76</v>
      </c>
      <c r="F270" s="44"/>
      <c r="G270" s="44"/>
      <c r="H270" s="44"/>
      <c r="I270" s="1"/>
      <c r="J270" s="1"/>
    </row>
    <row r="271" spans="1:26" ht="15.75" customHeight="1">
      <c r="A271" s="37" t="s">
        <v>662</v>
      </c>
      <c r="B271" s="38" t="s">
        <v>663</v>
      </c>
      <c r="C271" s="39">
        <v>43527</v>
      </c>
      <c r="D271" s="39">
        <v>43603</v>
      </c>
      <c r="E271" s="46">
        <f>D271-C271</f>
        <v>76</v>
      </c>
      <c r="F271" s="43" t="s">
        <v>664</v>
      </c>
      <c r="G271" s="44"/>
      <c r="H271" s="44"/>
      <c r="I271" s="1"/>
      <c r="J271" s="1"/>
    </row>
    <row r="272" spans="1:26" ht="15.75" customHeight="1">
      <c r="A272" s="42" t="s">
        <v>511</v>
      </c>
      <c r="B272" s="38" t="s">
        <v>466</v>
      </c>
      <c r="C272" s="39">
        <v>43541</v>
      </c>
      <c r="D272" s="39">
        <v>43617</v>
      </c>
      <c r="E272" s="46">
        <f>D272-C272</f>
        <v>76</v>
      </c>
      <c r="F272" s="45" t="s">
        <v>539</v>
      </c>
      <c r="G272" s="45" t="s">
        <v>628</v>
      </c>
      <c r="H272" s="46"/>
      <c r="I272" s="37"/>
      <c r="J272" s="37"/>
    </row>
    <row r="273" spans="1:26" ht="15.75" customHeight="1">
      <c r="A273" s="57" t="s">
        <v>780</v>
      </c>
      <c r="B273" s="51" t="s">
        <v>781</v>
      </c>
      <c r="C273" s="39">
        <v>43624</v>
      </c>
      <c r="D273" s="39">
        <v>43700</v>
      </c>
      <c r="E273" s="46">
        <f>D273-C273</f>
        <v>76</v>
      </c>
      <c r="F273" s="43" t="s">
        <v>782</v>
      </c>
      <c r="H273" s="45" t="s">
        <v>783</v>
      </c>
      <c r="I273" s="37"/>
      <c r="J273" s="37"/>
    </row>
    <row r="274" spans="1:26" ht="15.75" customHeight="1">
      <c r="A274" s="42" t="s">
        <v>894</v>
      </c>
      <c r="B274" s="38" t="s">
        <v>895</v>
      </c>
      <c r="C274" s="39">
        <v>43702</v>
      </c>
      <c r="D274" s="39">
        <v>43778</v>
      </c>
      <c r="E274" s="46">
        <f>D274-C274</f>
        <v>76</v>
      </c>
      <c r="F274" s="43" t="s">
        <v>54</v>
      </c>
      <c r="G274" s="45" t="s">
        <v>1</v>
      </c>
      <c r="H274" s="46"/>
      <c r="I274" s="37"/>
      <c r="J274" s="37"/>
    </row>
    <row r="275" spans="1:26" ht="15.75" customHeight="1">
      <c r="A275" s="37" t="s">
        <v>1504</v>
      </c>
      <c r="B275" s="42" t="s">
        <v>1505</v>
      </c>
      <c r="C275" s="39">
        <v>44116</v>
      </c>
      <c r="D275" s="40">
        <v>44192</v>
      </c>
      <c r="E275" s="48">
        <f>D275-C275</f>
        <v>76</v>
      </c>
      <c r="F275" s="43" t="s">
        <v>0</v>
      </c>
      <c r="G275" s="46"/>
      <c r="H275" s="46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5.75" customHeight="1">
      <c r="A276" s="57" t="s">
        <v>789</v>
      </c>
      <c r="B276" s="51" t="s">
        <v>790</v>
      </c>
      <c r="C276" s="39">
        <v>43626</v>
      </c>
      <c r="D276" s="39">
        <v>43701</v>
      </c>
      <c r="E276" s="46">
        <f>D276-C276</f>
        <v>75</v>
      </c>
      <c r="F276" s="43" t="s">
        <v>54</v>
      </c>
      <c r="G276" s="46"/>
      <c r="H276" s="46"/>
      <c r="I276" s="37"/>
      <c r="J276" s="37"/>
    </row>
    <row r="277" spans="1:26" ht="15.75" customHeight="1">
      <c r="A277" s="42" t="s">
        <v>510</v>
      </c>
      <c r="B277" s="38" t="s">
        <v>510</v>
      </c>
      <c r="C277" s="39">
        <v>43438</v>
      </c>
      <c r="D277" s="39">
        <v>43512</v>
      </c>
      <c r="E277" s="46">
        <f>D277-C277</f>
        <v>74</v>
      </c>
      <c r="F277" s="45" t="s">
        <v>511</v>
      </c>
      <c r="G277" s="45" t="s">
        <v>512</v>
      </c>
      <c r="H277" s="46" t="s">
        <v>455</v>
      </c>
      <c r="I277" s="37"/>
      <c r="J277" s="53" t="s">
        <v>513</v>
      </c>
    </row>
    <row r="278" spans="1:26" ht="15.75" customHeight="1">
      <c r="A278" s="52" t="s">
        <v>525</v>
      </c>
      <c r="B278" s="51" t="s">
        <v>526</v>
      </c>
      <c r="C278" s="39">
        <v>43452</v>
      </c>
      <c r="D278" s="39">
        <v>43526</v>
      </c>
      <c r="E278" s="48">
        <f>D278-C278</f>
        <v>74</v>
      </c>
      <c r="F278" s="43" t="s">
        <v>0</v>
      </c>
      <c r="G278" s="45" t="s">
        <v>280</v>
      </c>
      <c r="H278" s="46"/>
      <c r="I278" s="37"/>
      <c r="J278" s="37"/>
    </row>
    <row r="279" spans="1:26" ht="15.75" customHeight="1">
      <c r="A279" s="42" t="s">
        <v>691</v>
      </c>
      <c r="B279" s="38" t="s">
        <v>691</v>
      </c>
      <c r="C279" s="39">
        <v>43550</v>
      </c>
      <c r="D279" s="39">
        <v>43624</v>
      </c>
      <c r="E279" s="46">
        <f>D279-C279</f>
        <v>74</v>
      </c>
      <c r="F279" s="43" t="s">
        <v>511</v>
      </c>
      <c r="G279" s="46"/>
      <c r="H279" s="46"/>
      <c r="I279" s="37"/>
      <c r="J279" s="37"/>
    </row>
    <row r="280" spans="1:26" ht="15.75" customHeight="1">
      <c r="A280" s="37" t="s">
        <v>1013</v>
      </c>
      <c r="B280" s="42" t="s">
        <v>1014</v>
      </c>
      <c r="C280" s="39">
        <v>43801</v>
      </c>
      <c r="D280" s="39">
        <v>43875</v>
      </c>
      <c r="E280" s="46">
        <f>D280-C280</f>
        <v>74</v>
      </c>
      <c r="F280" s="43" t="s">
        <v>0</v>
      </c>
      <c r="G280" s="44"/>
      <c r="H280" s="4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42" t="s">
        <v>1080</v>
      </c>
      <c r="B281" s="42" t="s">
        <v>1081</v>
      </c>
      <c r="C281" s="39">
        <v>43837</v>
      </c>
      <c r="D281" s="40">
        <v>43911</v>
      </c>
      <c r="E281" s="48">
        <f>D281-C281</f>
        <v>74</v>
      </c>
      <c r="F281" s="43" t="s">
        <v>0</v>
      </c>
      <c r="G281" s="46"/>
      <c r="H281" s="46"/>
      <c r="I281" s="53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7" t="s">
        <v>641</v>
      </c>
      <c r="B282" s="42" t="s">
        <v>1021</v>
      </c>
      <c r="C282" s="39">
        <v>44068</v>
      </c>
      <c r="D282" s="40">
        <v>44142</v>
      </c>
      <c r="E282" s="48">
        <f>D282-C282</f>
        <v>74</v>
      </c>
      <c r="F282" s="43" t="s">
        <v>0</v>
      </c>
      <c r="G282" s="45" t="s">
        <v>1</v>
      </c>
      <c r="H282" s="46"/>
      <c r="I282" s="37"/>
      <c r="J282" s="53" t="s">
        <v>1022</v>
      </c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42" t="s">
        <v>878</v>
      </c>
      <c r="B283" s="42" t="s">
        <v>878</v>
      </c>
      <c r="C283" s="39">
        <v>43806</v>
      </c>
      <c r="D283" s="40">
        <v>43879</v>
      </c>
      <c r="E283" s="48">
        <f>D283-C283</f>
        <v>73</v>
      </c>
      <c r="F283" s="43" t="s">
        <v>0</v>
      </c>
      <c r="G283" s="46"/>
      <c r="H283" s="46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42" t="s">
        <v>590</v>
      </c>
      <c r="B284" s="38" t="s">
        <v>591</v>
      </c>
      <c r="C284" s="39">
        <v>43491</v>
      </c>
      <c r="D284" s="39">
        <v>43563</v>
      </c>
      <c r="E284" s="46">
        <f>D284-C284</f>
        <v>72</v>
      </c>
      <c r="F284" s="46" t="s">
        <v>592</v>
      </c>
      <c r="G284" s="46"/>
      <c r="H284" s="46"/>
      <c r="I284" s="37"/>
      <c r="J284" s="37"/>
    </row>
    <row r="285" spans="1:26" ht="15.75" customHeight="1">
      <c r="A285" s="42" t="s">
        <v>730</v>
      </c>
      <c r="B285" s="42" t="s">
        <v>731</v>
      </c>
      <c r="C285" s="39">
        <v>43784</v>
      </c>
      <c r="D285" s="39">
        <v>43856</v>
      </c>
      <c r="E285" s="46">
        <f>D285-C285</f>
        <v>72</v>
      </c>
      <c r="F285" s="43" t="s">
        <v>0</v>
      </c>
      <c r="G285" s="45" t="s">
        <v>33</v>
      </c>
      <c r="H285" s="46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57" t="s">
        <v>758</v>
      </c>
      <c r="B286" s="52" t="s">
        <v>962</v>
      </c>
      <c r="C286" s="39">
        <v>43752</v>
      </c>
      <c r="D286" s="39">
        <v>43823</v>
      </c>
      <c r="E286" s="46">
        <f>D286-C286</f>
        <v>71</v>
      </c>
      <c r="F286" s="43" t="s">
        <v>54</v>
      </c>
      <c r="G286" s="44"/>
      <c r="H286" s="4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42" t="s">
        <v>1480</v>
      </c>
      <c r="B287" s="42" t="s">
        <v>1481</v>
      </c>
      <c r="C287" s="39">
        <v>44091</v>
      </c>
      <c r="D287" s="40">
        <v>44162</v>
      </c>
      <c r="E287" s="48">
        <f>D287-C287</f>
        <v>71</v>
      </c>
      <c r="F287" s="48" t="s">
        <v>174</v>
      </c>
      <c r="G287" s="46"/>
      <c r="H287" s="46"/>
      <c r="I287" s="77"/>
      <c r="J287" s="77"/>
      <c r="K287" s="37" t="s">
        <v>1482</v>
      </c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5.75" customHeight="1">
      <c r="A288" s="42" t="s">
        <v>475</v>
      </c>
      <c r="B288" s="38" t="s">
        <v>476</v>
      </c>
      <c r="C288" s="39">
        <v>43736</v>
      </c>
      <c r="D288" s="39">
        <v>43806</v>
      </c>
      <c r="E288" s="46">
        <f>D288-C288</f>
        <v>70</v>
      </c>
      <c r="F288" s="48" t="s">
        <v>624</v>
      </c>
      <c r="G288" s="45" t="s">
        <v>33</v>
      </c>
      <c r="H288" s="46"/>
      <c r="I288" s="37"/>
      <c r="J288" s="37"/>
    </row>
    <row r="289" spans="1:26" ht="15.75" customHeight="1">
      <c r="A289" s="42" t="s">
        <v>1174</v>
      </c>
      <c r="B289" s="42" t="s">
        <v>1175</v>
      </c>
      <c r="C289" s="39">
        <v>43876</v>
      </c>
      <c r="D289" s="40">
        <v>43946</v>
      </c>
      <c r="E289" s="48">
        <f>D289-C289</f>
        <v>70</v>
      </c>
      <c r="F289" s="43" t="s">
        <v>0</v>
      </c>
      <c r="G289" s="46"/>
      <c r="H289" s="46"/>
      <c r="I289" s="37"/>
      <c r="J289" s="53" t="s">
        <v>1176</v>
      </c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7" t="s">
        <v>446</v>
      </c>
      <c r="B290" s="38" t="s">
        <v>447</v>
      </c>
      <c r="C290" s="39">
        <v>43352</v>
      </c>
      <c r="D290" s="39">
        <v>43421</v>
      </c>
      <c r="E290" s="48">
        <f>D290-C290</f>
        <v>69</v>
      </c>
      <c r="F290" s="45"/>
      <c r="G290" s="37"/>
      <c r="H290" s="44"/>
      <c r="I290" s="1"/>
      <c r="J290" s="1"/>
    </row>
    <row r="291" spans="1:26" ht="15.75" customHeight="1">
      <c r="A291" s="37" t="s">
        <v>652</v>
      </c>
      <c r="B291" s="51">
        <v>1373757850</v>
      </c>
      <c r="C291" s="39">
        <v>43527</v>
      </c>
      <c r="D291" s="39">
        <v>43596</v>
      </c>
      <c r="E291" s="46">
        <f>D291-C291</f>
        <v>69</v>
      </c>
      <c r="F291" s="43" t="s">
        <v>0</v>
      </c>
      <c r="G291" s="45" t="s">
        <v>225</v>
      </c>
      <c r="H291" s="46"/>
      <c r="I291" s="37"/>
      <c r="J291" s="37"/>
    </row>
    <row r="292" spans="1:26" ht="15.75" customHeight="1">
      <c r="A292" s="37" t="s">
        <v>684</v>
      </c>
      <c r="B292" s="38" t="s">
        <v>685</v>
      </c>
      <c r="C292" s="39">
        <v>43548</v>
      </c>
      <c r="D292" s="39">
        <v>43617</v>
      </c>
      <c r="E292" s="46">
        <f>D292-C292</f>
        <v>69</v>
      </c>
      <c r="F292" s="45" t="s">
        <v>686</v>
      </c>
      <c r="G292" s="46"/>
      <c r="H292" s="46"/>
      <c r="I292" s="37"/>
      <c r="J292" s="37"/>
    </row>
    <row r="293" spans="1:26" ht="15.75" customHeight="1">
      <c r="A293" s="37" t="s">
        <v>796</v>
      </c>
      <c r="B293" s="38" t="s">
        <v>797</v>
      </c>
      <c r="C293" s="39">
        <v>43640</v>
      </c>
      <c r="D293" s="39">
        <v>43708</v>
      </c>
      <c r="E293" s="46">
        <f>D293-C293</f>
        <v>68</v>
      </c>
      <c r="F293" s="46" t="s">
        <v>737</v>
      </c>
      <c r="G293" s="46"/>
      <c r="H293" s="46"/>
      <c r="I293" s="37"/>
      <c r="J293" s="37"/>
    </row>
    <row r="294" spans="1:26" ht="15.75" customHeight="1">
      <c r="A294" s="42" t="s">
        <v>689</v>
      </c>
      <c r="B294" s="38" t="s">
        <v>914</v>
      </c>
      <c r="C294" s="39">
        <v>43731</v>
      </c>
      <c r="D294" s="39">
        <v>43799</v>
      </c>
      <c r="E294" s="46">
        <f>D294-C294</f>
        <v>68</v>
      </c>
      <c r="F294" s="43" t="s">
        <v>813</v>
      </c>
      <c r="G294" s="45" t="s">
        <v>1</v>
      </c>
      <c r="H294" s="46"/>
      <c r="I294" s="37"/>
      <c r="J294" s="37"/>
    </row>
    <row r="295" spans="1:26" ht="15.75" customHeight="1">
      <c r="A295" s="37" t="s">
        <v>1010</v>
      </c>
      <c r="B295" s="42" t="s">
        <v>1011</v>
      </c>
      <c r="C295" s="39">
        <v>43801</v>
      </c>
      <c r="D295" s="39">
        <v>43869</v>
      </c>
      <c r="E295" s="46">
        <f>D295-C295</f>
        <v>68</v>
      </c>
      <c r="F295" s="43" t="s">
        <v>0</v>
      </c>
      <c r="G295" s="45" t="s">
        <v>26</v>
      </c>
      <c r="H295" s="45" t="s">
        <v>954</v>
      </c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7" t="s">
        <v>1387</v>
      </c>
      <c r="B296" s="42" t="s">
        <v>1388</v>
      </c>
      <c r="C296" s="39">
        <v>44026</v>
      </c>
      <c r="D296" s="39">
        <v>44093</v>
      </c>
      <c r="E296" s="48">
        <f>D296-C296</f>
        <v>67</v>
      </c>
      <c r="F296" s="48" t="s">
        <v>31</v>
      </c>
      <c r="G296" s="45" t="s">
        <v>1</v>
      </c>
      <c r="H296" s="46"/>
      <c r="I296" s="37"/>
      <c r="J296" s="37"/>
      <c r="K296" s="42" t="s">
        <v>1389</v>
      </c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42" t="s">
        <v>1498</v>
      </c>
      <c r="B297" s="42" t="s">
        <v>1498</v>
      </c>
      <c r="C297" s="39">
        <v>44111</v>
      </c>
      <c r="D297" s="39">
        <v>44178</v>
      </c>
      <c r="E297" s="48">
        <f>D297-C297</f>
        <v>67</v>
      </c>
      <c r="F297" s="43" t="s">
        <v>853</v>
      </c>
      <c r="G297" s="46"/>
      <c r="H297" s="46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42" t="s">
        <v>506</v>
      </c>
      <c r="B298" s="38" t="s">
        <v>507</v>
      </c>
      <c r="C298" s="39">
        <v>43444</v>
      </c>
      <c r="D298" s="39">
        <v>43510</v>
      </c>
      <c r="E298" s="46">
        <f>D298-C298</f>
        <v>66</v>
      </c>
      <c r="F298" s="43" t="s">
        <v>0</v>
      </c>
      <c r="G298" s="45" t="s">
        <v>508</v>
      </c>
      <c r="H298" s="46"/>
      <c r="I298" s="37"/>
      <c r="J298" s="37"/>
      <c r="L298" s="38" t="s">
        <v>509</v>
      </c>
    </row>
    <row r="299" spans="1:26" ht="15.75" customHeight="1">
      <c r="A299" s="37" t="s">
        <v>573</v>
      </c>
      <c r="B299" s="38" t="s">
        <v>629</v>
      </c>
      <c r="C299" s="39">
        <v>43517</v>
      </c>
      <c r="D299" s="39">
        <v>43583</v>
      </c>
      <c r="E299" s="46">
        <f>D299-C299</f>
        <v>66</v>
      </c>
      <c r="F299" s="45" t="s">
        <v>2854</v>
      </c>
      <c r="G299" s="45" t="s">
        <v>26</v>
      </c>
      <c r="H299" s="46"/>
      <c r="I299" s="37"/>
      <c r="J299" s="37"/>
    </row>
    <row r="300" spans="1:26" ht="15.75" customHeight="1">
      <c r="A300" s="37" t="s">
        <v>639</v>
      </c>
      <c r="B300" s="38" t="s">
        <v>640</v>
      </c>
      <c r="C300" s="39">
        <v>43524</v>
      </c>
      <c r="D300" s="39">
        <v>43590</v>
      </c>
      <c r="E300" s="46">
        <f>D300-C300</f>
        <v>66</v>
      </c>
      <c r="F300" s="48" t="s">
        <v>641</v>
      </c>
      <c r="G300" s="46"/>
      <c r="H300" s="46"/>
      <c r="I300" s="37"/>
      <c r="J300" s="37"/>
    </row>
    <row r="301" spans="1:26" ht="15.75" customHeight="1">
      <c r="A301" s="42" t="s">
        <v>672</v>
      </c>
      <c r="B301" s="38" t="s">
        <v>673</v>
      </c>
      <c r="C301" s="39">
        <v>43544</v>
      </c>
      <c r="D301" s="39">
        <v>43610</v>
      </c>
      <c r="E301" s="46">
        <f>D301-C301</f>
        <v>66</v>
      </c>
      <c r="F301" s="43" t="s">
        <v>524</v>
      </c>
      <c r="G301" s="45" t="s">
        <v>674</v>
      </c>
      <c r="H301" s="46"/>
      <c r="I301" s="37"/>
      <c r="J301" s="37"/>
    </row>
    <row r="302" spans="1:26" ht="15.75" customHeight="1">
      <c r="A302" s="37" t="s">
        <v>1065</v>
      </c>
      <c r="B302" s="42" t="s">
        <v>1066</v>
      </c>
      <c r="C302" s="39">
        <v>43839</v>
      </c>
      <c r="D302" s="39">
        <v>43904</v>
      </c>
      <c r="E302" s="48">
        <f>D302-C302</f>
        <v>65</v>
      </c>
      <c r="F302" s="43" t="s">
        <v>0</v>
      </c>
      <c r="G302" s="45" t="s">
        <v>33</v>
      </c>
      <c r="H302" s="46"/>
      <c r="I302" s="37"/>
      <c r="J302" s="53" t="s">
        <v>1067</v>
      </c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57" t="s">
        <v>752</v>
      </c>
      <c r="B303" s="51" t="s">
        <v>753</v>
      </c>
      <c r="C303" s="39">
        <v>43922</v>
      </c>
      <c r="D303" s="39">
        <v>43987</v>
      </c>
      <c r="E303" s="46">
        <f>D303-C303</f>
        <v>65</v>
      </c>
      <c r="F303" s="43" t="s">
        <v>0</v>
      </c>
      <c r="G303" s="45" t="s">
        <v>1</v>
      </c>
      <c r="H303" s="46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7" t="s">
        <v>363</v>
      </c>
      <c r="B304" s="42" t="s">
        <v>364</v>
      </c>
      <c r="C304" s="39">
        <v>43971</v>
      </c>
      <c r="D304" s="40">
        <v>44036</v>
      </c>
      <c r="E304" s="48">
        <f>D304-C304</f>
        <v>65</v>
      </c>
      <c r="F304" s="43" t="s">
        <v>0</v>
      </c>
      <c r="G304" s="46"/>
      <c r="H304" s="46"/>
      <c r="I304" s="37"/>
      <c r="J304" s="53" t="s">
        <v>366</v>
      </c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7" t="s">
        <v>647</v>
      </c>
      <c r="B305" s="38" t="s">
        <v>670</v>
      </c>
      <c r="C305" s="39">
        <v>43544</v>
      </c>
      <c r="D305" s="39">
        <v>43608</v>
      </c>
      <c r="E305" s="46">
        <f>D305-C305</f>
        <v>64</v>
      </c>
      <c r="F305" s="43" t="s">
        <v>0</v>
      </c>
      <c r="G305" s="45" t="s">
        <v>671</v>
      </c>
      <c r="H305" s="46"/>
      <c r="I305" s="37"/>
      <c r="J305" s="37"/>
    </row>
    <row r="306" spans="1:26" ht="15.75" customHeight="1">
      <c r="A306" s="37" t="s">
        <v>754</v>
      </c>
      <c r="B306" s="38" t="s">
        <v>755</v>
      </c>
      <c r="C306" s="39">
        <v>43618</v>
      </c>
      <c r="D306" s="39">
        <v>43682</v>
      </c>
      <c r="E306" s="46">
        <f>D306-C306</f>
        <v>64</v>
      </c>
      <c r="F306" s="43" t="s">
        <v>54</v>
      </c>
      <c r="G306" s="46"/>
      <c r="H306" s="46"/>
      <c r="I306" s="37"/>
      <c r="J306" s="37"/>
    </row>
    <row r="307" spans="1:26" ht="15.75" customHeight="1">
      <c r="A307" s="42" t="s">
        <v>1216</v>
      </c>
      <c r="B307" s="42" t="s">
        <v>1217</v>
      </c>
      <c r="C307" s="39">
        <v>43896</v>
      </c>
      <c r="D307" s="39">
        <v>43960</v>
      </c>
      <c r="E307" s="48">
        <f>D307-C307</f>
        <v>64</v>
      </c>
      <c r="F307" s="45" t="s">
        <v>0</v>
      </c>
      <c r="G307" s="46"/>
      <c r="H307" s="46"/>
      <c r="I307" s="37"/>
      <c r="J307" s="53" t="s">
        <v>1218</v>
      </c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7" t="s">
        <v>1362</v>
      </c>
      <c r="B308" s="42" t="s">
        <v>1363</v>
      </c>
      <c r="C308" s="39">
        <v>44092</v>
      </c>
      <c r="D308" s="40">
        <v>44156</v>
      </c>
      <c r="E308" s="48">
        <f>D308-C308</f>
        <v>64</v>
      </c>
      <c r="F308" s="43" t="s">
        <v>0</v>
      </c>
      <c r="G308" s="46"/>
      <c r="H308" s="46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57" t="s">
        <v>715</v>
      </c>
      <c r="B309" s="38" t="s">
        <v>801</v>
      </c>
      <c r="C309" s="39">
        <v>43647</v>
      </c>
      <c r="D309" s="40">
        <v>43710</v>
      </c>
      <c r="E309" s="48">
        <f>D309-C309</f>
        <v>63</v>
      </c>
      <c r="F309" s="43" t="s">
        <v>0</v>
      </c>
      <c r="G309" s="46"/>
      <c r="H309" s="46"/>
      <c r="I309" s="37"/>
      <c r="J309" s="37"/>
    </row>
    <row r="310" spans="1:26" ht="15.75" customHeight="1">
      <c r="A310" s="42" t="s">
        <v>75</v>
      </c>
      <c r="B310" s="42" t="s">
        <v>1073</v>
      </c>
      <c r="C310" s="39">
        <v>43842</v>
      </c>
      <c r="D310" s="40">
        <v>43905</v>
      </c>
      <c r="E310" s="48">
        <f>D310-C310</f>
        <v>63</v>
      </c>
      <c r="F310" s="43" t="s">
        <v>0</v>
      </c>
      <c r="G310" s="45" t="s">
        <v>70</v>
      </c>
      <c r="H310" s="46"/>
      <c r="I310" s="37"/>
      <c r="J310" s="53" t="s">
        <v>1074</v>
      </c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42" t="s">
        <v>668</v>
      </c>
      <c r="B311" s="42" t="s">
        <v>669</v>
      </c>
      <c r="C311" s="39">
        <v>43845</v>
      </c>
      <c r="D311" s="39">
        <v>43908</v>
      </c>
      <c r="E311" s="46">
        <f>D311-C311</f>
        <v>63</v>
      </c>
      <c r="F311" s="43" t="s">
        <v>0</v>
      </c>
      <c r="G311" s="45" t="s">
        <v>33</v>
      </c>
      <c r="H311" s="46"/>
      <c r="I311" s="37"/>
      <c r="J311" s="53" t="s">
        <v>1079</v>
      </c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7" t="s">
        <v>1075</v>
      </c>
      <c r="B312" s="52" t="s">
        <v>1076</v>
      </c>
      <c r="C312" s="39">
        <v>43918</v>
      </c>
      <c r="D312" s="39">
        <v>43981</v>
      </c>
      <c r="E312" s="46">
        <f>D312-C312</f>
        <v>63</v>
      </c>
      <c r="F312" s="43" t="s">
        <v>0</v>
      </c>
      <c r="G312" s="45" t="s">
        <v>43</v>
      </c>
      <c r="H312" s="46"/>
      <c r="I312" s="37"/>
      <c r="J312" s="53" t="s">
        <v>1078</v>
      </c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7" t="s">
        <v>534</v>
      </c>
      <c r="B313" s="38" t="s">
        <v>535</v>
      </c>
      <c r="C313" s="39">
        <v>43469</v>
      </c>
      <c r="D313" s="39">
        <v>43531</v>
      </c>
      <c r="E313" s="46">
        <f>D313-C313</f>
        <v>62</v>
      </c>
      <c r="F313" s="45" t="s">
        <v>481</v>
      </c>
      <c r="G313" s="45" t="s">
        <v>1</v>
      </c>
      <c r="H313" s="46"/>
      <c r="I313" s="37"/>
      <c r="J313" s="37"/>
    </row>
    <row r="314" spans="1:26" ht="15.75" customHeight="1">
      <c r="A314" s="42" t="s">
        <v>1304</v>
      </c>
      <c r="B314" s="42" t="s">
        <v>1305</v>
      </c>
      <c r="C314" s="39">
        <v>43954</v>
      </c>
      <c r="D314" s="40">
        <v>44016</v>
      </c>
      <c r="E314" s="48">
        <f>D314-C314</f>
        <v>62</v>
      </c>
      <c r="F314" s="48" t="s">
        <v>1222</v>
      </c>
      <c r="G314" s="46"/>
      <c r="H314" s="46"/>
      <c r="I314" s="37"/>
      <c r="J314" s="53" t="s">
        <v>1306</v>
      </c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7" t="s">
        <v>854</v>
      </c>
      <c r="B315" s="38" t="s">
        <v>855</v>
      </c>
      <c r="C315" s="39">
        <v>43681</v>
      </c>
      <c r="D315" s="39">
        <v>43742</v>
      </c>
      <c r="E315" s="46">
        <f>D315-C315</f>
        <v>61</v>
      </c>
      <c r="F315" s="48" t="s">
        <v>770</v>
      </c>
      <c r="G315" s="45" t="s">
        <v>33</v>
      </c>
      <c r="H315" s="46"/>
      <c r="I315" s="37"/>
      <c r="J315" s="37"/>
    </row>
    <row r="316" spans="1:26" ht="15.75" customHeight="1">
      <c r="A316" s="37" t="s">
        <v>1047</v>
      </c>
      <c r="B316" s="42" t="s">
        <v>1048</v>
      </c>
      <c r="C316" s="39">
        <v>43829</v>
      </c>
      <c r="D316" s="40">
        <v>43890</v>
      </c>
      <c r="E316" s="48">
        <f>D316-C316</f>
        <v>61</v>
      </c>
      <c r="F316" s="43" t="s">
        <v>0</v>
      </c>
      <c r="G316" s="46"/>
      <c r="H316" s="46"/>
      <c r="I316" s="37"/>
      <c r="J316" s="53" t="s">
        <v>1049</v>
      </c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42" t="s">
        <v>1159</v>
      </c>
      <c r="B317" s="42" t="s">
        <v>1160</v>
      </c>
      <c r="C317" s="39">
        <v>43878</v>
      </c>
      <c r="D317" s="40">
        <v>43939</v>
      </c>
      <c r="E317" s="46">
        <f>D317-C317</f>
        <v>61</v>
      </c>
      <c r="F317" s="43" t="s">
        <v>0</v>
      </c>
      <c r="G317" s="45" t="s">
        <v>995</v>
      </c>
      <c r="H317" s="46"/>
      <c r="I317" s="37"/>
      <c r="J317" s="53" t="s">
        <v>1161</v>
      </c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42" t="s">
        <v>1261</v>
      </c>
      <c r="B318" s="42" t="s">
        <v>1262</v>
      </c>
      <c r="C318" s="39">
        <v>43933</v>
      </c>
      <c r="D318" s="40">
        <v>43994</v>
      </c>
      <c r="E318" s="48">
        <f>D318-C318</f>
        <v>61</v>
      </c>
      <c r="F318" s="48" t="s">
        <v>174</v>
      </c>
      <c r="G318" s="46"/>
      <c r="H318" s="46"/>
      <c r="I318" s="37"/>
      <c r="J318" s="37"/>
      <c r="K318" s="42" t="s">
        <v>1263</v>
      </c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42" t="s">
        <v>484</v>
      </c>
      <c r="B319" s="38" t="s">
        <v>485</v>
      </c>
      <c r="C319" s="39">
        <v>43431</v>
      </c>
      <c r="D319" s="39">
        <v>43491</v>
      </c>
      <c r="E319" s="46">
        <f>D319-C319</f>
        <v>60</v>
      </c>
      <c r="F319" s="43" t="s">
        <v>474</v>
      </c>
      <c r="G319" s="46"/>
      <c r="H319" s="46"/>
      <c r="I319" s="37"/>
      <c r="J319" s="37"/>
    </row>
    <row r="320" spans="1:26" ht="15.75" customHeight="1">
      <c r="A320" s="42" t="s">
        <v>503</v>
      </c>
      <c r="B320" s="38" t="s">
        <v>504</v>
      </c>
      <c r="C320" s="39">
        <v>43450</v>
      </c>
      <c r="D320" s="39">
        <v>43510</v>
      </c>
      <c r="E320" s="46">
        <f>D320-C320</f>
        <v>60</v>
      </c>
      <c r="F320" s="45" t="s">
        <v>505</v>
      </c>
      <c r="G320" s="45" t="s">
        <v>33</v>
      </c>
      <c r="H320" s="46"/>
      <c r="I320" s="37"/>
      <c r="J320" s="37"/>
    </row>
    <row r="321" spans="1:26" ht="15.75" customHeight="1">
      <c r="A321" s="37" t="s">
        <v>563</v>
      </c>
      <c r="B321" s="38" t="s">
        <v>564</v>
      </c>
      <c r="C321" s="39">
        <v>43485</v>
      </c>
      <c r="D321" s="39">
        <v>43545</v>
      </c>
      <c r="E321" s="46">
        <f>D321-C321</f>
        <v>60</v>
      </c>
      <c r="F321" s="46" t="s">
        <v>565</v>
      </c>
      <c r="G321" s="45" t="s">
        <v>1</v>
      </c>
      <c r="H321" s="46"/>
      <c r="I321" s="37"/>
      <c r="J321" s="37"/>
    </row>
    <row r="322" spans="1:26" ht="15.75" customHeight="1">
      <c r="A322" s="57" t="s">
        <v>789</v>
      </c>
      <c r="B322" s="52" t="s">
        <v>790</v>
      </c>
      <c r="C322" s="39">
        <v>43956</v>
      </c>
      <c r="D322" s="40">
        <v>44016</v>
      </c>
      <c r="E322" s="48">
        <f>D322-C322</f>
        <v>60</v>
      </c>
      <c r="F322" s="43" t="s">
        <v>0</v>
      </c>
      <c r="G322" s="46"/>
      <c r="H322" s="46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57" t="s">
        <v>752</v>
      </c>
      <c r="B323" s="51" t="s">
        <v>753</v>
      </c>
      <c r="C323" s="39">
        <v>43622</v>
      </c>
      <c r="D323" s="39">
        <v>43681</v>
      </c>
      <c r="E323" s="46">
        <f>D323-C323</f>
        <v>59</v>
      </c>
      <c r="F323" s="43" t="s">
        <v>0</v>
      </c>
      <c r="G323" s="45" t="s">
        <v>1</v>
      </c>
      <c r="H323" s="46"/>
      <c r="I323" s="37"/>
      <c r="J323" s="37"/>
    </row>
    <row r="324" spans="1:26" ht="15.75" customHeight="1">
      <c r="A324" s="42" t="s">
        <v>1171</v>
      </c>
      <c r="B324" s="42" t="s">
        <v>1172</v>
      </c>
      <c r="C324" s="39">
        <v>43887</v>
      </c>
      <c r="D324" s="40">
        <v>43946</v>
      </c>
      <c r="E324" s="48">
        <f>D324-C324</f>
        <v>59</v>
      </c>
      <c r="F324" s="43" t="s">
        <v>0</v>
      </c>
      <c r="G324" s="45" t="s">
        <v>1</v>
      </c>
      <c r="H324" s="45" t="s">
        <v>954</v>
      </c>
      <c r="I324" s="37"/>
      <c r="J324" s="53" t="s">
        <v>1173</v>
      </c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7" t="s">
        <v>1452</v>
      </c>
      <c r="B325" s="42" t="s">
        <v>1453</v>
      </c>
      <c r="C325" s="39">
        <v>44090</v>
      </c>
      <c r="D325" s="40">
        <v>44149</v>
      </c>
      <c r="E325" s="48">
        <f>D325-C325</f>
        <v>59</v>
      </c>
      <c r="F325" s="43" t="s">
        <v>853</v>
      </c>
      <c r="G325" s="46"/>
      <c r="H325" s="46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7" t="s">
        <v>1488</v>
      </c>
      <c r="B326" s="42" t="s">
        <v>1489</v>
      </c>
      <c r="C326" s="39">
        <v>44109</v>
      </c>
      <c r="D326" s="40">
        <v>44168</v>
      </c>
      <c r="E326" s="48">
        <f>D326-C326</f>
        <v>59</v>
      </c>
      <c r="F326" s="43" t="s">
        <v>0</v>
      </c>
      <c r="G326" s="45" t="s">
        <v>1119</v>
      </c>
      <c r="H326" s="46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5.75" customHeight="1">
      <c r="A327" s="37" t="s">
        <v>552</v>
      </c>
      <c r="B327" s="38" t="s">
        <v>553</v>
      </c>
      <c r="C327" s="39">
        <v>43561</v>
      </c>
      <c r="D327" s="39">
        <v>43618</v>
      </c>
      <c r="E327" s="46">
        <f>D327-C327</f>
        <v>57</v>
      </c>
      <c r="F327" s="45" t="s">
        <v>539</v>
      </c>
      <c r="G327" s="45" t="s">
        <v>33</v>
      </c>
      <c r="H327" s="46" t="s">
        <v>455</v>
      </c>
      <c r="I327" s="37"/>
      <c r="J327" s="37"/>
    </row>
    <row r="328" spans="1:26" ht="15.75" customHeight="1">
      <c r="A328" s="37" t="s">
        <v>1362</v>
      </c>
      <c r="B328" s="42" t="s">
        <v>1363</v>
      </c>
      <c r="C328" s="39">
        <v>44016</v>
      </c>
      <c r="D328" s="40">
        <v>44073</v>
      </c>
      <c r="E328" s="48">
        <f>D328-C328</f>
        <v>57</v>
      </c>
      <c r="F328" s="43" t="s">
        <v>0</v>
      </c>
      <c r="G328" s="46"/>
      <c r="H328" s="46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42" t="s">
        <v>548</v>
      </c>
      <c r="B329" s="38" t="s">
        <v>548</v>
      </c>
      <c r="C329" s="39">
        <v>43478</v>
      </c>
      <c r="D329" s="39">
        <v>43534</v>
      </c>
      <c r="E329" s="46">
        <f>D329-C329</f>
        <v>56</v>
      </c>
      <c r="F329" s="45" t="s">
        <v>549</v>
      </c>
      <c r="G329" s="46"/>
      <c r="H329" s="46"/>
      <c r="I329" s="37"/>
      <c r="J329" s="37"/>
    </row>
    <row r="330" spans="1:26" ht="15.75" customHeight="1">
      <c r="A330" s="37" t="s">
        <v>811</v>
      </c>
      <c r="B330" s="38" t="s">
        <v>812</v>
      </c>
      <c r="C330" s="39">
        <v>43666</v>
      </c>
      <c r="D330" s="40">
        <v>43722</v>
      </c>
      <c r="E330" s="48">
        <f>D330-C330</f>
        <v>56</v>
      </c>
      <c r="F330" s="45" t="s">
        <v>813</v>
      </c>
      <c r="G330" s="46"/>
      <c r="H330" s="46"/>
      <c r="I330" s="37"/>
      <c r="J330" s="37"/>
    </row>
    <row r="331" spans="1:26" ht="15.75" customHeight="1">
      <c r="A331" s="42" t="s">
        <v>1213</v>
      </c>
      <c r="B331" s="42" t="s">
        <v>1214</v>
      </c>
      <c r="C331" s="39">
        <v>43904</v>
      </c>
      <c r="D331" s="39">
        <v>43960</v>
      </c>
      <c r="E331" s="48">
        <f>D331-C331</f>
        <v>56</v>
      </c>
      <c r="F331" s="45" t="s">
        <v>0</v>
      </c>
      <c r="G331" s="46"/>
      <c r="H331" s="46"/>
      <c r="I331" s="37"/>
      <c r="J331" s="53" t="s">
        <v>1215</v>
      </c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7" t="s">
        <v>1374</v>
      </c>
      <c r="B332" s="42" t="s">
        <v>1375</v>
      </c>
      <c r="C332" s="39">
        <v>44024</v>
      </c>
      <c r="D332" s="40">
        <v>44080</v>
      </c>
      <c r="E332" s="48">
        <f>D332-C332</f>
        <v>56</v>
      </c>
      <c r="F332" s="43" t="s">
        <v>1376</v>
      </c>
      <c r="G332" s="46"/>
      <c r="H332" s="46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42" t="s">
        <v>650</v>
      </c>
      <c r="B333" s="38" t="s">
        <v>651</v>
      </c>
      <c r="C333" s="39">
        <v>43541</v>
      </c>
      <c r="D333" s="39">
        <v>43596</v>
      </c>
      <c r="E333" s="46">
        <f>D333-C333</f>
        <v>55</v>
      </c>
      <c r="F333" s="43" t="s">
        <v>0</v>
      </c>
      <c r="G333" s="46"/>
      <c r="H333" s="46"/>
      <c r="I333" s="37"/>
      <c r="J333" s="37"/>
    </row>
    <row r="334" spans="1:26" ht="15.75" customHeight="1">
      <c r="A334" s="42" t="s">
        <v>747</v>
      </c>
      <c r="B334" s="38" t="s">
        <v>748</v>
      </c>
      <c r="C334" s="39">
        <v>43619</v>
      </c>
      <c r="D334" s="39">
        <v>43674</v>
      </c>
      <c r="E334" s="46">
        <f>D334-C334</f>
        <v>55</v>
      </c>
      <c r="F334" s="43" t="s">
        <v>0</v>
      </c>
      <c r="G334" s="46"/>
      <c r="H334" s="46"/>
      <c r="I334" s="37"/>
      <c r="J334" s="37"/>
    </row>
    <row r="335" spans="1:26" ht="15.75" customHeight="1">
      <c r="A335" s="42" t="s">
        <v>475</v>
      </c>
      <c r="B335" s="38" t="s">
        <v>476</v>
      </c>
      <c r="C335" s="39">
        <v>43415</v>
      </c>
      <c r="D335" s="39">
        <v>43469</v>
      </c>
      <c r="E335" s="46">
        <f>D335-C335</f>
        <v>54</v>
      </c>
      <c r="F335" s="48" t="s">
        <v>31</v>
      </c>
      <c r="G335" s="46"/>
      <c r="H335" s="44"/>
      <c r="I335" s="1"/>
      <c r="J335" s="1"/>
    </row>
    <row r="336" spans="1:26" ht="15.75" customHeight="1">
      <c r="A336" s="42" t="s">
        <v>687</v>
      </c>
      <c r="B336" s="38" t="s">
        <v>688</v>
      </c>
      <c r="C336" s="39">
        <v>43568</v>
      </c>
      <c r="D336" s="39">
        <v>43622</v>
      </c>
      <c r="E336" s="46">
        <f>D336-C336</f>
        <v>54</v>
      </c>
      <c r="F336" s="43" t="s">
        <v>0</v>
      </c>
      <c r="G336" s="45" t="s">
        <v>26</v>
      </c>
      <c r="H336" s="55"/>
      <c r="I336" s="56"/>
      <c r="J336" s="56"/>
    </row>
    <row r="337" spans="1:26" ht="15.75" customHeight="1">
      <c r="A337" s="57" t="s">
        <v>1189</v>
      </c>
      <c r="B337" s="42" t="s">
        <v>1190</v>
      </c>
      <c r="C337" s="39">
        <v>43979</v>
      </c>
      <c r="D337" s="39">
        <v>44033</v>
      </c>
      <c r="E337" s="48">
        <f>D337-C337</f>
        <v>54</v>
      </c>
      <c r="F337" s="43" t="s">
        <v>0</v>
      </c>
      <c r="G337" s="46"/>
      <c r="H337" s="46"/>
      <c r="I337" s="37"/>
      <c r="J337" s="53" t="s">
        <v>1191</v>
      </c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7" t="s">
        <v>1295</v>
      </c>
      <c r="B338" s="42" t="s">
        <v>1296</v>
      </c>
      <c r="C338" s="39">
        <v>44065</v>
      </c>
      <c r="D338" s="40">
        <v>44119</v>
      </c>
      <c r="E338" s="48">
        <f>D338-C338</f>
        <v>54</v>
      </c>
      <c r="F338" s="43" t="s">
        <v>0</v>
      </c>
      <c r="G338" s="46"/>
      <c r="H338" s="46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57" t="s">
        <v>911</v>
      </c>
      <c r="B339" s="38" t="s">
        <v>912</v>
      </c>
      <c r="C339" s="39">
        <v>44088</v>
      </c>
      <c r="D339" s="40">
        <v>44142</v>
      </c>
      <c r="E339" s="48">
        <f>D339-C339</f>
        <v>54</v>
      </c>
      <c r="F339" s="43" t="s">
        <v>0</v>
      </c>
      <c r="G339" s="46"/>
      <c r="H339" s="46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57" t="s">
        <v>882</v>
      </c>
      <c r="B340" s="51" t="s">
        <v>883</v>
      </c>
      <c r="C340" s="39">
        <v>43845</v>
      </c>
      <c r="D340" s="40">
        <v>43898</v>
      </c>
      <c r="E340" s="48">
        <f>D340-C340</f>
        <v>53</v>
      </c>
      <c r="F340" s="43" t="s">
        <v>1062</v>
      </c>
      <c r="G340" s="45" t="s">
        <v>43</v>
      </c>
      <c r="H340" s="46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42" t="s">
        <v>2895</v>
      </c>
      <c r="B341" s="38" t="s">
        <v>433</v>
      </c>
      <c r="C341" s="39">
        <v>43345</v>
      </c>
      <c r="D341" s="39">
        <v>43397</v>
      </c>
      <c r="E341" s="48">
        <f>D341-C341</f>
        <v>52</v>
      </c>
      <c r="F341" s="44"/>
      <c r="G341" s="45" t="s">
        <v>1</v>
      </c>
      <c r="H341" s="44"/>
      <c r="I341" s="1"/>
      <c r="J341" s="1"/>
    </row>
    <row r="342" spans="1:26" ht="15.75" customHeight="1">
      <c r="A342" s="42" t="s">
        <v>569</v>
      </c>
      <c r="B342" s="38" t="s">
        <v>570</v>
      </c>
      <c r="C342" s="39">
        <v>43494</v>
      </c>
      <c r="D342" s="39">
        <v>43546</v>
      </c>
      <c r="E342" s="46">
        <f>D342-C342</f>
        <v>52</v>
      </c>
      <c r="F342" s="45" t="s">
        <v>539</v>
      </c>
      <c r="G342" s="45" t="s">
        <v>33</v>
      </c>
      <c r="H342" s="46" t="s">
        <v>455</v>
      </c>
      <c r="I342" s="37"/>
      <c r="J342" s="37"/>
    </row>
    <row r="343" spans="1:26" ht="15.75" customHeight="1">
      <c r="A343" s="37" t="s">
        <v>2830</v>
      </c>
      <c r="B343" s="38" t="s">
        <v>463</v>
      </c>
      <c r="C343" s="39">
        <v>43398</v>
      </c>
      <c r="D343" s="39">
        <v>43449</v>
      </c>
      <c r="E343" s="48">
        <f>D343-C343</f>
        <v>51</v>
      </c>
      <c r="F343" s="43" t="s">
        <v>464</v>
      </c>
      <c r="G343" s="37"/>
      <c r="H343" s="46"/>
      <c r="I343" s="37"/>
      <c r="J343" s="37"/>
    </row>
    <row r="344" spans="1:26" ht="15.75" customHeight="1">
      <c r="A344" s="42" t="s">
        <v>668</v>
      </c>
      <c r="B344" s="38" t="s">
        <v>669</v>
      </c>
      <c r="C344" s="39">
        <v>43729</v>
      </c>
      <c r="D344" s="39">
        <v>43780</v>
      </c>
      <c r="E344" s="46">
        <f>D344-C344</f>
        <v>51</v>
      </c>
      <c r="F344" s="43" t="s">
        <v>0</v>
      </c>
      <c r="G344" s="45" t="s">
        <v>33</v>
      </c>
      <c r="H344" s="46"/>
      <c r="I344" s="37"/>
      <c r="J344" s="37"/>
    </row>
    <row r="345" spans="1:26" ht="15.75" customHeight="1">
      <c r="A345" s="42" t="s">
        <v>994</v>
      </c>
      <c r="B345" s="42" t="s">
        <v>994</v>
      </c>
      <c r="C345" s="39">
        <v>43813</v>
      </c>
      <c r="D345" s="39">
        <v>43864</v>
      </c>
      <c r="E345" s="46">
        <f>D345-C345</f>
        <v>51</v>
      </c>
      <c r="F345" s="43" t="s">
        <v>1009</v>
      </c>
      <c r="G345" s="46"/>
      <c r="H345" s="46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42" t="s">
        <v>1044</v>
      </c>
      <c r="B346" s="42" t="s">
        <v>1045</v>
      </c>
      <c r="C346" s="39">
        <v>43839</v>
      </c>
      <c r="D346" s="40">
        <v>43890</v>
      </c>
      <c r="E346" s="46">
        <f>D346-C346</f>
        <v>51</v>
      </c>
      <c r="F346" s="43" t="s">
        <v>0</v>
      </c>
      <c r="G346" s="45" t="s">
        <v>33</v>
      </c>
      <c r="H346" s="46"/>
      <c r="I346" s="37"/>
      <c r="J346" s="53" t="s">
        <v>1046</v>
      </c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42" t="s">
        <v>439</v>
      </c>
      <c r="B347" s="38" t="s">
        <v>440</v>
      </c>
      <c r="C347" s="39">
        <v>43362</v>
      </c>
      <c r="D347" s="39">
        <v>43412</v>
      </c>
      <c r="E347" s="48">
        <f>D347-C347</f>
        <v>50</v>
      </c>
      <c r="F347" s="44"/>
      <c r="G347" s="44"/>
      <c r="H347" s="44"/>
      <c r="I347" s="1"/>
      <c r="J347" s="1"/>
    </row>
    <row r="348" spans="1:26" ht="15.75" customHeight="1">
      <c r="A348" s="42" t="s">
        <v>467</v>
      </c>
      <c r="B348" s="42" t="s">
        <v>468</v>
      </c>
      <c r="C348" s="39">
        <v>43813</v>
      </c>
      <c r="D348" s="39">
        <v>43863</v>
      </c>
      <c r="E348" s="48">
        <f>D348-C348</f>
        <v>50</v>
      </c>
      <c r="F348" s="43" t="s">
        <v>0</v>
      </c>
      <c r="G348" s="46"/>
      <c r="H348" s="46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7" t="s">
        <v>641</v>
      </c>
      <c r="B349" s="42" t="s">
        <v>1021</v>
      </c>
      <c r="C349" s="39">
        <v>43910</v>
      </c>
      <c r="D349" s="39">
        <v>43960</v>
      </c>
      <c r="E349" s="48">
        <f>D349-C349</f>
        <v>50</v>
      </c>
      <c r="F349" s="43" t="s">
        <v>524</v>
      </c>
      <c r="G349" s="45" t="s">
        <v>1</v>
      </c>
      <c r="H349" s="46"/>
      <c r="I349" s="37"/>
      <c r="J349" s="53" t="s">
        <v>1022</v>
      </c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7" t="s">
        <v>1483</v>
      </c>
      <c r="B350" s="42" t="s">
        <v>1484</v>
      </c>
      <c r="C350" s="39">
        <v>44114</v>
      </c>
      <c r="D350" s="40">
        <v>44164</v>
      </c>
      <c r="E350" s="48">
        <f>D350-C350</f>
        <v>50</v>
      </c>
      <c r="F350" s="43" t="s">
        <v>68</v>
      </c>
      <c r="G350" s="46"/>
      <c r="H350" s="46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5.75" customHeight="1">
      <c r="A351" s="37" t="s">
        <v>615</v>
      </c>
      <c r="B351" s="38" t="s">
        <v>616</v>
      </c>
      <c r="C351" s="39">
        <v>43526</v>
      </c>
      <c r="D351" s="39">
        <v>43575</v>
      </c>
      <c r="E351" s="46">
        <f>D351-C351</f>
        <v>49</v>
      </c>
      <c r="F351" s="43" t="s">
        <v>617</v>
      </c>
      <c r="G351" s="45" t="s">
        <v>43</v>
      </c>
      <c r="H351" s="46" t="s">
        <v>455</v>
      </c>
      <c r="I351" s="37"/>
      <c r="J351" s="37"/>
    </row>
    <row r="352" spans="1:26" ht="15.75" customHeight="1">
      <c r="A352" s="42" t="s">
        <v>599</v>
      </c>
      <c r="B352" s="38" t="s">
        <v>600</v>
      </c>
      <c r="C352" s="39">
        <v>43638</v>
      </c>
      <c r="D352" s="39">
        <v>43687</v>
      </c>
      <c r="E352" s="46">
        <f>D352-C352</f>
        <v>49</v>
      </c>
      <c r="F352" s="43" t="s">
        <v>0</v>
      </c>
      <c r="G352" s="46"/>
      <c r="H352" s="46"/>
      <c r="I352" s="37"/>
      <c r="J352" s="37"/>
    </row>
    <row r="353" spans="1:26" ht="15.75" customHeight="1">
      <c r="A353" s="65" t="s">
        <v>1135</v>
      </c>
      <c r="B353" s="42" t="s">
        <v>1136</v>
      </c>
      <c r="C353" s="39">
        <v>43883</v>
      </c>
      <c r="D353" s="39">
        <v>43932</v>
      </c>
      <c r="E353" s="46">
        <f>D353-C353</f>
        <v>49</v>
      </c>
      <c r="F353" s="48" t="s">
        <v>1137</v>
      </c>
      <c r="G353" s="46"/>
      <c r="H353" s="46"/>
      <c r="I353" s="37"/>
      <c r="J353" s="53" t="s">
        <v>1138</v>
      </c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7" t="s">
        <v>1383</v>
      </c>
      <c r="B354" s="42" t="s">
        <v>1384</v>
      </c>
      <c r="C354" s="39">
        <v>44121</v>
      </c>
      <c r="D354" s="40">
        <v>44170</v>
      </c>
      <c r="E354" s="46">
        <f>D354-C354</f>
        <v>49</v>
      </c>
      <c r="F354" s="43" t="s">
        <v>0</v>
      </c>
      <c r="G354" s="45" t="s">
        <v>1491</v>
      </c>
      <c r="H354" s="46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52" t="s">
        <v>496</v>
      </c>
      <c r="B355" s="51" t="s">
        <v>497</v>
      </c>
      <c r="C355" s="39">
        <v>43451</v>
      </c>
      <c r="D355" s="39">
        <v>43499</v>
      </c>
      <c r="E355" s="46">
        <f>D355-C355</f>
        <v>48</v>
      </c>
      <c r="F355" s="45" t="s">
        <v>474</v>
      </c>
      <c r="G355" s="46"/>
      <c r="H355" s="46"/>
      <c r="I355" s="37"/>
      <c r="J355" s="37"/>
    </row>
    <row r="356" spans="1:26" ht="15.75" customHeight="1">
      <c r="A356" s="42" t="s">
        <v>599</v>
      </c>
      <c r="B356" s="38" t="s">
        <v>600</v>
      </c>
      <c r="C356" s="39">
        <v>43520</v>
      </c>
      <c r="D356" s="39">
        <v>43568</v>
      </c>
      <c r="E356" s="46">
        <f>D356-C356</f>
        <v>48</v>
      </c>
      <c r="F356" s="43" t="s">
        <v>0</v>
      </c>
      <c r="G356" s="46"/>
      <c r="H356" s="46"/>
      <c r="I356" s="37"/>
      <c r="J356" s="37"/>
    </row>
    <row r="357" spans="1:26" ht="15.75" customHeight="1">
      <c r="A357" s="37" t="s">
        <v>749</v>
      </c>
      <c r="B357" s="38" t="s">
        <v>750</v>
      </c>
      <c r="C357" s="39">
        <v>43632</v>
      </c>
      <c r="D357" s="39">
        <v>43680</v>
      </c>
      <c r="E357" s="46">
        <f>D357-C357</f>
        <v>48</v>
      </c>
      <c r="F357" s="43" t="s">
        <v>0</v>
      </c>
      <c r="G357" s="45" t="s">
        <v>751</v>
      </c>
      <c r="H357" s="46"/>
      <c r="I357" s="37"/>
      <c r="J357" s="37"/>
    </row>
    <row r="358" spans="1:26" ht="15.75" customHeight="1">
      <c r="A358" s="65" t="s">
        <v>1012</v>
      </c>
      <c r="B358" s="65" t="s">
        <v>1012</v>
      </c>
      <c r="C358" s="39">
        <v>43884</v>
      </c>
      <c r="D358" s="39">
        <v>43932</v>
      </c>
      <c r="E358" s="46">
        <f>D358-C358</f>
        <v>48</v>
      </c>
      <c r="F358" s="48" t="s">
        <v>1134</v>
      </c>
      <c r="G358" s="46"/>
      <c r="H358" s="46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7" t="s">
        <v>458</v>
      </c>
      <c r="B359" s="38" t="s">
        <v>459</v>
      </c>
      <c r="C359" s="39">
        <v>43380</v>
      </c>
      <c r="D359" s="39">
        <v>43427</v>
      </c>
      <c r="E359" s="48">
        <f>D359-C359</f>
        <v>47</v>
      </c>
      <c r="F359" s="43" t="s">
        <v>0</v>
      </c>
      <c r="G359" s="45" t="s">
        <v>1</v>
      </c>
      <c r="H359" s="44"/>
      <c r="I359" s="1"/>
      <c r="J359" s="1"/>
    </row>
    <row r="360" spans="1:26" ht="15.75" customHeight="1">
      <c r="A360" s="37" t="s">
        <v>652</v>
      </c>
      <c r="B360" s="51">
        <v>1373757850</v>
      </c>
      <c r="C360" s="39">
        <v>43620</v>
      </c>
      <c r="D360" s="39">
        <v>43667</v>
      </c>
      <c r="E360" s="46">
        <f>D360-C360</f>
        <v>47</v>
      </c>
      <c r="F360" s="43" t="s">
        <v>0</v>
      </c>
      <c r="G360" s="45" t="s">
        <v>225</v>
      </c>
      <c r="H360" s="46"/>
      <c r="I360" s="37"/>
      <c r="J360" s="37"/>
    </row>
    <row r="361" spans="1:26" ht="15.75" customHeight="1">
      <c r="A361" s="37" t="s">
        <v>1250</v>
      </c>
      <c r="B361" s="42" t="s">
        <v>1251</v>
      </c>
      <c r="C361" s="39">
        <v>43940</v>
      </c>
      <c r="D361" s="39">
        <v>43987</v>
      </c>
      <c r="E361" s="48">
        <f>D361-C361</f>
        <v>47</v>
      </c>
      <c r="F361" s="43" t="s">
        <v>0</v>
      </c>
      <c r="G361" s="46"/>
      <c r="H361" s="46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42" t="s">
        <v>1054</v>
      </c>
      <c r="B362" s="42" t="s">
        <v>1055</v>
      </c>
      <c r="C362" s="39">
        <v>44102</v>
      </c>
      <c r="D362" s="40">
        <v>44149</v>
      </c>
      <c r="E362" s="48">
        <f>D362-C362</f>
        <v>47</v>
      </c>
      <c r="F362" s="43" t="s">
        <v>0</v>
      </c>
      <c r="G362" s="45" t="s">
        <v>33</v>
      </c>
      <c r="H362" s="46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42" t="s">
        <v>546</v>
      </c>
      <c r="B363" s="38" t="s">
        <v>547</v>
      </c>
      <c r="C363" s="39">
        <v>43487</v>
      </c>
      <c r="D363" s="39">
        <v>43533</v>
      </c>
      <c r="E363" s="46">
        <f>D363-C363</f>
        <v>46</v>
      </c>
      <c r="F363" s="45" t="s">
        <v>527</v>
      </c>
      <c r="G363" s="46"/>
      <c r="H363" s="46"/>
      <c r="I363" s="37"/>
      <c r="J363" s="37"/>
    </row>
    <row r="364" spans="1:26" ht="15.75" customHeight="1">
      <c r="A364" s="37" t="s">
        <v>645</v>
      </c>
      <c r="B364" s="38" t="s">
        <v>646</v>
      </c>
      <c r="C364" s="39">
        <v>43548</v>
      </c>
      <c r="D364" s="39">
        <v>43594</v>
      </c>
      <c r="E364" s="46">
        <f>D364-C364</f>
        <v>46</v>
      </c>
      <c r="F364" s="46" t="s">
        <v>647</v>
      </c>
      <c r="G364" s="45" t="s">
        <v>628</v>
      </c>
      <c r="H364" s="46"/>
      <c r="I364" s="37"/>
      <c r="J364" s="37"/>
    </row>
    <row r="365" spans="1:26" ht="15.75" customHeight="1">
      <c r="A365" s="37" t="s">
        <v>363</v>
      </c>
      <c r="B365" s="42" t="s">
        <v>364</v>
      </c>
      <c r="C365" s="39">
        <v>43870</v>
      </c>
      <c r="D365" s="40">
        <v>43916</v>
      </c>
      <c r="E365" s="48">
        <f>D365-C365</f>
        <v>46</v>
      </c>
      <c r="F365" s="48" t="s">
        <v>1027</v>
      </c>
      <c r="G365" s="46"/>
      <c r="H365" s="46"/>
      <c r="I365" s="37"/>
      <c r="J365" s="53" t="s">
        <v>366</v>
      </c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7" t="s">
        <v>1209</v>
      </c>
      <c r="B366" s="42" t="s">
        <v>1210</v>
      </c>
      <c r="C366" s="39">
        <v>43913</v>
      </c>
      <c r="D366" s="39">
        <v>43959</v>
      </c>
      <c r="E366" s="46">
        <f>D366-C366</f>
        <v>46</v>
      </c>
      <c r="F366" s="48" t="s">
        <v>1211</v>
      </c>
      <c r="G366" s="46"/>
      <c r="H366" s="46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42" t="s">
        <v>437</v>
      </c>
      <c r="B367" s="38" t="s">
        <v>438</v>
      </c>
      <c r="C367" s="39">
        <v>43362</v>
      </c>
      <c r="D367" s="39">
        <v>43407</v>
      </c>
      <c r="E367" s="48">
        <f>D367-C367</f>
        <v>45</v>
      </c>
      <c r="F367" s="44"/>
      <c r="G367" s="44"/>
      <c r="H367" s="44"/>
      <c r="I367" s="1"/>
      <c r="J367" s="1"/>
    </row>
    <row r="368" spans="1:26" ht="15.75" customHeight="1">
      <c r="A368" s="42" t="s">
        <v>635</v>
      </c>
      <c r="B368" s="38" t="s">
        <v>636</v>
      </c>
      <c r="C368" s="39">
        <v>43544</v>
      </c>
      <c r="D368" s="39">
        <v>43589</v>
      </c>
      <c r="E368" s="46">
        <f>D368-C368</f>
        <v>45</v>
      </c>
      <c r="F368" s="43" t="s">
        <v>524</v>
      </c>
      <c r="G368" s="46"/>
      <c r="H368" s="46"/>
      <c r="I368" s="37"/>
      <c r="J368" s="37"/>
    </row>
    <row r="369" spans="1:26" ht="15.75" customHeight="1">
      <c r="A369" s="37" t="s">
        <v>1301</v>
      </c>
      <c r="B369" s="42" t="s">
        <v>1302</v>
      </c>
      <c r="C369" s="39">
        <v>43971</v>
      </c>
      <c r="D369" s="40">
        <v>44016</v>
      </c>
      <c r="E369" s="48">
        <f>D369-C369</f>
        <v>45</v>
      </c>
      <c r="F369" s="48" t="s">
        <v>1212</v>
      </c>
      <c r="G369" s="46"/>
      <c r="H369" s="46"/>
      <c r="I369" s="37"/>
      <c r="J369" s="53" t="s">
        <v>1303</v>
      </c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7" t="s">
        <v>428</v>
      </c>
      <c r="B370" s="38" t="s">
        <v>429</v>
      </c>
      <c r="C370" s="39">
        <v>43352</v>
      </c>
      <c r="D370" s="39">
        <v>43396</v>
      </c>
      <c r="E370" s="48">
        <f>D370-C370</f>
        <v>44</v>
      </c>
      <c r="F370" s="44"/>
      <c r="G370" s="44"/>
      <c r="H370" s="44"/>
      <c r="I370" s="1"/>
      <c r="J370" s="1"/>
    </row>
    <row r="371" spans="1:26" ht="15.75" customHeight="1">
      <c r="A371" s="52" t="s">
        <v>481</v>
      </c>
      <c r="B371" s="38" t="s">
        <v>482</v>
      </c>
      <c r="C371" s="39">
        <v>43441</v>
      </c>
      <c r="D371" s="39">
        <v>43485</v>
      </c>
      <c r="E371" s="46">
        <f>D371-C371</f>
        <v>44</v>
      </c>
      <c r="F371" s="43" t="s">
        <v>14</v>
      </c>
      <c r="G371" s="44"/>
      <c r="H371" s="44"/>
      <c r="I371" s="1"/>
      <c r="J371" s="53" t="s">
        <v>483</v>
      </c>
    </row>
    <row r="372" spans="1:26" ht="15.75" customHeight="1">
      <c r="A372" s="57" t="s">
        <v>773</v>
      </c>
      <c r="B372" s="38" t="s">
        <v>774</v>
      </c>
      <c r="C372" s="39">
        <v>43653</v>
      </c>
      <c r="D372" s="39">
        <v>43697</v>
      </c>
      <c r="E372" s="46">
        <f>D372-C372</f>
        <v>44</v>
      </c>
      <c r="F372" s="43" t="s">
        <v>0</v>
      </c>
      <c r="G372" s="45" t="s">
        <v>312</v>
      </c>
      <c r="H372" s="46"/>
      <c r="I372" s="37"/>
      <c r="J372" s="37"/>
    </row>
    <row r="373" spans="1:26" ht="15.75" customHeight="1">
      <c r="A373" s="42" t="s">
        <v>1252</v>
      </c>
      <c r="B373" s="42" t="s">
        <v>1253</v>
      </c>
      <c r="C373" s="39">
        <v>43944</v>
      </c>
      <c r="D373" s="40">
        <v>43988</v>
      </c>
      <c r="E373" s="48">
        <f>D373-C373</f>
        <v>44</v>
      </c>
      <c r="F373" s="48" t="s">
        <v>1093</v>
      </c>
      <c r="G373" s="46"/>
      <c r="H373" s="46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7" t="s">
        <v>1019</v>
      </c>
      <c r="B374" s="42" t="s">
        <v>1020</v>
      </c>
      <c r="C374" s="39">
        <v>43835</v>
      </c>
      <c r="D374" s="39">
        <v>43878</v>
      </c>
      <c r="E374" s="46">
        <f>D374-C374</f>
        <v>43</v>
      </c>
      <c r="F374" s="43" t="s">
        <v>68</v>
      </c>
      <c r="G374" s="46"/>
      <c r="H374" s="46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42" t="s">
        <v>430</v>
      </c>
      <c r="B375" s="38" t="s">
        <v>431</v>
      </c>
      <c r="C375" s="39">
        <v>43355</v>
      </c>
      <c r="D375" s="39">
        <v>43397</v>
      </c>
      <c r="E375" s="48">
        <f>D375-C375</f>
        <v>42</v>
      </c>
      <c r="F375" s="44"/>
      <c r="G375" s="44"/>
      <c r="H375" s="44"/>
      <c r="I375" s="1"/>
      <c r="J375" s="1"/>
    </row>
    <row r="376" spans="1:26" ht="15.75" customHeight="1">
      <c r="A376" s="37" t="s">
        <v>434</v>
      </c>
      <c r="B376" s="38" t="s">
        <v>435</v>
      </c>
      <c r="C376" s="39">
        <v>43358</v>
      </c>
      <c r="D376" s="39">
        <v>43400</v>
      </c>
      <c r="E376" s="48">
        <f>D376-C376</f>
        <v>42</v>
      </c>
      <c r="F376" s="48"/>
      <c r="G376" s="45" t="s">
        <v>436</v>
      </c>
      <c r="H376" s="46"/>
      <c r="I376" s="37"/>
      <c r="J376" s="37"/>
    </row>
    <row r="377" spans="1:26" ht="15.75" customHeight="1">
      <c r="A377" s="42" t="s">
        <v>472</v>
      </c>
      <c r="B377" s="38" t="s">
        <v>473</v>
      </c>
      <c r="C377" s="39">
        <v>43426</v>
      </c>
      <c r="D377" s="39">
        <v>43468</v>
      </c>
      <c r="E377" s="48">
        <f>D377-C377</f>
        <v>42</v>
      </c>
      <c r="F377" s="43" t="s">
        <v>474</v>
      </c>
      <c r="G377" s="46"/>
      <c r="H377" s="44"/>
      <c r="I377" s="1"/>
      <c r="J377" s="1"/>
    </row>
    <row r="378" spans="1:26" ht="15.75" customHeight="1">
      <c r="A378" s="42" t="s">
        <v>726</v>
      </c>
      <c r="B378" s="38" t="s">
        <v>727</v>
      </c>
      <c r="C378" s="39">
        <v>43617</v>
      </c>
      <c r="D378" s="39">
        <v>43659</v>
      </c>
      <c r="E378" s="46">
        <f>D378-C378</f>
        <v>42</v>
      </c>
      <c r="F378" s="48" t="s">
        <v>2840</v>
      </c>
      <c r="G378" s="45" t="s">
        <v>1</v>
      </c>
      <c r="H378" s="45" t="s">
        <v>729</v>
      </c>
      <c r="I378" s="37"/>
      <c r="J378" s="37"/>
    </row>
    <row r="379" spans="1:26" ht="15.75" customHeight="1">
      <c r="A379" s="37" t="s">
        <v>424</v>
      </c>
      <c r="B379" s="38" t="s">
        <v>425</v>
      </c>
      <c r="C379" s="39">
        <v>43352</v>
      </c>
      <c r="D379" s="39">
        <v>43393</v>
      </c>
      <c r="E379" s="48">
        <f>D379-C379</f>
        <v>41</v>
      </c>
      <c r="F379" s="48"/>
      <c r="G379" s="45" t="s">
        <v>1</v>
      </c>
      <c r="H379" s="46"/>
      <c r="I379" s="37"/>
      <c r="J379" s="37"/>
    </row>
    <row r="380" spans="1:26" ht="15.75" customHeight="1">
      <c r="A380" s="42" t="s">
        <v>1042</v>
      </c>
      <c r="B380" s="42" t="s">
        <v>1043</v>
      </c>
      <c r="C380" s="39">
        <v>43849</v>
      </c>
      <c r="D380" s="40">
        <v>43890</v>
      </c>
      <c r="E380" s="46">
        <f>D380-C380</f>
        <v>41</v>
      </c>
      <c r="F380" s="43" t="s">
        <v>0</v>
      </c>
      <c r="G380" s="46"/>
      <c r="H380" s="46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42" t="s">
        <v>1059</v>
      </c>
      <c r="B381" s="42" t="s">
        <v>1060</v>
      </c>
      <c r="C381" s="39">
        <v>43857</v>
      </c>
      <c r="D381" s="40">
        <v>43898</v>
      </c>
      <c r="E381" s="48">
        <f>D381-C381</f>
        <v>41</v>
      </c>
      <c r="F381" s="43" t="s">
        <v>0</v>
      </c>
      <c r="G381" s="46"/>
      <c r="H381" s="46"/>
      <c r="I381" s="37"/>
      <c r="J381" s="42" t="s">
        <v>1061</v>
      </c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42" t="s">
        <v>1044</v>
      </c>
      <c r="B382" s="42" t="s">
        <v>1045</v>
      </c>
      <c r="C382" s="39">
        <v>43927</v>
      </c>
      <c r="D382" s="39">
        <v>43968</v>
      </c>
      <c r="E382" s="46">
        <f>D382-C382</f>
        <v>41</v>
      </c>
      <c r="F382" s="43" t="s">
        <v>0</v>
      </c>
      <c r="G382" s="45" t="s">
        <v>33</v>
      </c>
      <c r="H382" s="46"/>
      <c r="I382" s="37"/>
      <c r="J382" s="53" t="s">
        <v>1046</v>
      </c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42" t="s">
        <v>1411</v>
      </c>
      <c r="B383" s="42" t="s">
        <v>1412</v>
      </c>
      <c r="C383" s="39">
        <v>44073</v>
      </c>
      <c r="D383" s="40">
        <v>44114</v>
      </c>
      <c r="E383" s="48">
        <f>D383-C383</f>
        <v>41</v>
      </c>
      <c r="F383" s="43" t="s">
        <v>1413</v>
      </c>
      <c r="G383" s="46"/>
      <c r="H383" s="46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7" t="s">
        <v>703</v>
      </c>
      <c r="B384" s="38" t="s">
        <v>704</v>
      </c>
      <c r="C384" s="39">
        <v>43591</v>
      </c>
      <c r="D384" s="39">
        <v>43631</v>
      </c>
      <c r="E384" s="46">
        <f>D384-C384</f>
        <v>40</v>
      </c>
      <c r="F384" s="43" t="s">
        <v>0</v>
      </c>
      <c r="G384" s="46"/>
      <c r="H384" s="46"/>
      <c r="I384" s="37"/>
      <c r="J384" s="37"/>
    </row>
    <row r="385" spans="1:26" ht="15.75" customHeight="1">
      <c r="A385" s="42" t="s">
        <v>1032</v>
      </c>
      <c r="B385" s="42" t="s">
        <v>1033</v>
      </c>
      <c r="C385" s="39">
        <v>43843</v>
      </c>
      <c r="D385" s="40">
        <v>43883</v>
      </c>
      <c r="E385" s="48">
        <f>D385-C385</f>
        <v>40</v>
      </c>
      <c r="F385" s="43" t="s">
        <v>19</v>
      </c>
      <c r="G385" s="46"/>
      <c r="H385" s="46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42" t="s">
        <v>2847</v>
      </c>
      <c r="B386" s="42" t="s">
        <v>1410</v>
      </c>
      <c r="C386" s="39">
        <v>44074</v>
      </c>
      <c r="D386" s="40">
        <v>44114</v>
      </c>
      <c r="E386" s="46">
        <f>D386-C386</f>
        <v>40</v>
      </c>
      <c r="F386" s="43" t="s">
        <v>0</v>
      </c>
      <c r="G386" s="46"/>
      <c r="H386" s="46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42" t="s">
        <v>1492</v>
      </c>
      <c r="B387" s="42" t="s">
        <v>1493</v>
      </c>
      <c r="C387" s="39">
        <v>44135</v>
      </c>
      <c r="D387" s="40">
        <v>44175</v>
      </c>
      <c r="E387" s="48">
        <f>D387-C387</f>
        <v>40</v>
      </c>
      <c r="F387" s="43" t="s">
        <v>0</v>
      </c>
      <c r="G387" s="77"/>
      <c r="H387" s="46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5.75" customHeight="1">
      <c r="A388" s="42" t="s">
        <v>724</v>
      </c>
      <c r="B388" s="38" t="s">
        <v>725</v>
      </c>
      <c r="C388" s="39">
        <v>43620</v>
      </c>
      <c r="D388" s="39">
        <v>43659</v>
      </c>
      <c r="E388" s="46">
        <f>D388-C388</f>
        <v>39</v>
      </c>
      <c r="F388" s="43" t="s">
        <v>0</v>
      </c>
      <c r="G388" s="45" t="s">
        <v>471</v>
      </c>
      <c r="H388" s="46"/>
      <c r="I388" s="37"/>
      <c r="J388" s="37"/>
    </row>
    <row r="389" spans="1:26" ht="15.75" customHeight="1">
      <c r="A389" s="37" t="s">
        <v>842</v>
      </c>
      <c r="B389" s="38" t="s">
        <v>843</v>
      </c>
      <c r="C389" s="39">
        <v>43698</v>
      </c>
      <c r="D389" s="39">
        <v>43737</v>
      </c>
      <c r="E389" s="46">
        <f>D389-C389</f>
        <v>39</v>
      </c>
      <c r="F389" s="43" t="s">
        <v>0</v>
      </c>
      <c r="G389" s="45" t="s">
        <v>844</v>
      </c>
      <c r="H389" s="46"/>
      <c r="I389" s="37"/>
      <c r="J389" s="37"/>
    </row>
    <row r="390" spans="1:26" ht="15.75" customHeight="1">
      <c r="A390" s="42" t="s">
        <v>1399</v>
      </c>
      <c r="B390" s="42" t="s">
        <v>1400</v>
      </c>
      <c r="C390" s="39">
        <v>44131</v>
      </c>
      <c r="D390" s="40">
        <v>44170</v>
      </c>
      <c r="E390" s="48">
        <f>D390-C390</f>
        <v>39</v>
      </c>
      <c r="F390" s="43" t="s">
        <v>0</v>
      </c>
      <c r="G390" s="46"/>
      <c r="H390" s="46"/>
      <c r="I390" s="37"/>
      <c r="J390" s="37"/>
      <c r="K390" s="42" t="s">
        <v>1401</v>
      </c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7" t="s">
        <v>576</v>
      </c>
      <c r="B391" s="38" t="s">
        <v>577</v>
      </c>
      <c r="C391" s="39">
        <v>43510</v>
      </c>
      <c r="D391" s="40">
        <v>43548</v>
      </c>
      <c r="E391" s="48">
        <f>D391-C391</f>
        <v>38</v>
      </c>
      <c r="F391" s="48" t="s">
        <v>563</v>
      </c>
      <c r="G391" s="46"/>
      <c r="H391" s="46"/>
      <c r="I391" s="37"/>
      <c r="J391" s="37"/>
    </row>
    <row r="392" spans="1:26" ht="15.75" customHeight="1">
      <c r="A392" s="42" t="s">
        <v>621</v>
      </c>
      <c r="B392" s="38" t="s">
        <v>622</v>
      </c>
      <c r="C392" s="39">
        <v>43543</v>
      </c>
      <c r="D392" s="39">
        <v>43581</v>
      </c>
      <c r="E392" s="46">
        <f>D392-C392</f>
        <v>38</v>
      </c>
      <c r="F392" s="43" t="s">
        <v>0</v>
      </c>
      <c r="G392" s="45" t="s">
        <v>623</v>
      </c>
      <c r="H392" s="46"/>
      <c r="I392" s="37"/>
      <c r="J392" s="37"/>
    </row>
    <row r="393" spans="1:26" ht="15.75" customHeight="1">
      <c r="A393" s="37" t="s">
        <v>648</v>
      </c>
      <c r="B393" s="38" t="s">
        <v>649</v>
      </c>
      <c r="C393" s="39">
        <v>43558</v>
      </c>
      <c r="D393" s="39">
        <v>43595</v>
      </c>
      <c r="E393" s="46">
        <f>D393-C393</f>
        <v>37</v>
      </c>
      <c r="F393" s="43" t="s">
        <v>0</v>
      </c>
      <c r="G393" s="46"/>
      <c r="H393" s="46"/>
      <c r="I393" s="37"/>
      <c r="J393" s="37"/>
    </row>
    <row r="394" spans="1:26" ht="15.75" customHeight="1">
      <c r="A394" s="37" t="s">
        <v>700</v>
      </c>
      <c r="B394" s="38" t="s">
        <v>701</v>
      </c>
      <c r="C394" s="39">
        <v>43594</v>
      </c>
      <c r="D394" s="39">
        <v>43631</v>
      </c>
      <c r="E394" s="46">
        <f>D394-C394</f>
        <v>37</v>
      </c>
      <c r="F394" s="48" t="s">
        <v>702</v>
      </c>
      <c r="G394" s="46"/>
      <c r="H394" s="46"/>
      <c r="I394" s="37"/>
      <c r="J394" s="37"/>
    </row>
    <row r="395" spans="1:26" ht="15.75" customHeight="1">
      <c r="A395" s="42" t="s">
        <v>1343</v>
      </c>
      <c r="B395" s="42" t="s">
        <v>1344</v>
      </c>
      <c r="C395" s="39">
        <v>44014</v>
      </c>
      <c r="D395" s="40">
        <v>44051</v>
      </c>
      <c r="E395" s="46">
        <f>D395-C395</f>
        <v>37</v>
      </c>
      <c r="F395" s="43" t="s">
        <v>0</v>
      </c>
      <c r="G395" s="46"/>
      <c r="H395" s="46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42" t="s">
        <v>450</v>
      </c>
      <c r="B396" s="38" t="s">
        <v>451</v>
      </c>
      <c r="C396" s="39">
        <v>43386</v>
      </c>
      <c r="D396" s="39">
        <v>43422</v>
      </c>
      <c r="E396" s="48">
        <f>D396-C396</f>
        <v>36</v>
      </c>
      <c r="F396" s="43" t="s">
        <v>452</v>
      </c>
      <c r="G396" s="37"/>
      <c r="H396" s="44"/>
      <c r="I396" s="1"/>
      <c r="J396" s="1"/>
    </row>
    <row r="397" spans="1:26" ht="15.75" customHeight="1">
      <c r="A397" s="52" t="s">
        <v>496</v>
      </c>
      <c r="B397" s="51" t="s">
        <v>497</v>
      </c>
      <c r="C397" s="39">
        <v>43590</v>
      </c>
      <c r="D397" s="39">
        <v>43626</v>
      </c>
      <c r="E397" s="46">
        <f>D397-C397</f>
        <v>36</v>
      </c>
      <c r="F397" s="43" t="s">
        <v>0</v>
      </c>
      <c r="G397" s="44"/>
      <c r="H397" s="44"/>
      <c r="I397" s="1"/>
      <c r="J397" s="1"/>
    </row>
    <row r="398" spans="1:26" ht="15.75" customHeight="1">
      <c r="A398" s="59" t="s">
        <v>845</v>
      </c>
      <c r="B398" s="60" t="s">
        <v>846</v>
      </c>
      <c r="C398" s="61">
        <v>43702</v>
      </c>
      <c r="D398" s="39">
        <v>43738</v>
      </c>
      <c r="E398" s="46">
        <f>D398-C398</f>
        <v>36</v>
      </c>
      <c r="F398" s="62" t="s">
        <v>0</v>
      </c>
      <c r="G398" s="55"/>
      <c r="H398" s="55"/>
      <c r="I398" s="56"/>
      <c r="J398" s="56"/>
    </row>
    <row r="399" spans="1:26" ht="15.75" customHeight="1">
      <c r="A399" s="57" t="s">
        <v>870</v>
      </c>
      <c r="B399" s="51" t="s">
        <v>871</v>
      </c>
      <c r="C399" s="39">
        <v>43717</v>
      </c>
      <c r="D399" s="39">
        <v>43753</v>
      </c>
      <c r="E399" s="46">
        <f>D399-C399</f>
        <v>36</v>
      </c>
      <c r="F399" s="48" t="s">
        <v>592</v>
      </c>
      <c r="G399" s="45" t="s">
        <v>872</v>
      </c>
      <c r="H399" s="46"/>
      <c r="I399" s="37"/>
      <c r="J399" s="37"/>
    </row>
    <row r="400" spans="1:26" ht="15.75" customHeight="1">
      <c r="A400" s="42" t="s">
        <v>719</v>
      </c>
      <c r="B400" s="42" t="s">
        <v>719</v>
      </c>
      <c r="C400" s="39">
        <v>43777</v>
      </c>
      <c r="D400" s="39">
        <v>43813</v>
      </c>
      <c r="E400" s="46">
        <f>D400-C400</f>
        <v>36</v>
      </c>
      <c r="F400" s="43" t="s">
        <v>54</v>
      </c>
      <c r="G400" s="45" t="s">
        <v>720</v>
      </c>
      <c r="H400" s="46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42" t="s">
        <v>970</v>
      </c>
      <c r="B401" s="42" t="s">
        <v>971</v>
      </c>
      <c r="C401" s="39">
        <v>43986</v>
      </c>
      <c r="D401" s="39">
        <v>44022</v>
      </c>
      <c r="E401" s="46">
        <f>D401-C401</f>
        <v>36</v>
      </c>
      <c r="F401" s="46" t="s">
        <v>31</v>
      </c>
      <c r="G401" s="45" t="s">
        <v>972</v>
      </c>
      <c r="H401" s="46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57" t="s">
        <v>896</v>
      </c>
      <c r="B402" s="51" t="s">
        <v>897</v>
      </c>
      <c r="C402" s="39">
        <v>43746</v>
      </c>
      <c r="D402" s="39">
        <v>43781</v>
      </c>
      <c r="E402" s="46">
        <f>D402-C402</f>
        <v>35</v>
      </c>
      <c r="F402" s="43" t="s">
        <v>898</v>
      </c>
      <c r="G402" s="46"/>
      <c r="H402" s="46"/>
      <c r="I402" s="37"/>
      <c r="J402" s="37"/>
    </row>
    <row r="403" spans="1:26" ht="15.75" customHeight="1">
      <c r="A403" s="37" t="s">
        <v>426</v>
      </c>
      <c r="B403" s="38" t="s">
        <v>427</v>
      </c>
      <c r="C403" s="39">
        <v>43362</v>
      </c>
      <c r="D403" s="39">
        <v>43396</v>
      </c>
      <c r="E403" s="48">
        <f>D403-C403</f>
        <v>34</v>
      </c>
      <c r="F403" s="44"/>
      <c r="G403" s="44"/>
      <c r="H403" s="44"/>
      <c r="I403" s="1"/>
      <c r="J403" s="1"/>
    </row>
    <row r="404" spans="1:26" ht="15.75" customHeight="1">
      <c r="A404" s="37" t="s">
        <v>619</v>
      </c>
      <c r="B404" s="38" t="s">
        <v>620</v>
      </c>
      <c r="C404" s="39">
        <v>43544</v>
      </c>
      <c r="D404" s="39">
        <v>43578</v>
      </c>
      <c r="E404" s="46">
        <f>D404-C404</f>
        <v>34</v>
      </c>
      <c r="F404" s="43" t="s">
        <v>0</v>
      </c>
      <c r="G404" s="45" t="s">
        <v>26</v>
      </c>
      <c r="H404" s="46"/>
      <c r="I404" s="37"/>
      <c r="J404" s="37"/>
    </row>
    <row r="405" spans="1:26" ht="15.75" customHeight="1">
      <c r="A405" s="37" t="s">
        <v>633</v>
      </c>
      <c r="B405" s="38" t="s">
        <v>634</v>
      </c>
      <c r="C405" s="39">
        <v>43555</v>
      </c>
      <c r="D405" s="39">
        <v>43589</v>
      </c>
      <c r="E405" s="46">
        <f>D405-C405</f>
        <v>34</v>
      </c>
      <c r="F405" s="43" t="s">
        <v>0</v>
      </c>
      <c r="G405" s="46"/>
      <c r="H405" s="46"/>
      <c r="I405" s="37"/>
      <c r="J405" s="37"/>
    </row>
    <row r="406" spans="1:26" ht="15.75" customHeight="1">
      <c r="A406" s="42" t="s">
        <v>637</v>
      </c>
      <c r="B406" s="38" t="s">
        <v>638</v>
      </c>
      <c r="C406" s="39">
        <v>43556</v>
      </c>
      <c r="D406" s="39">
        <v>43590</v>
      </c>
      <c r="E406" s="46">
        <f>D406-C406</f>
        <v>34</v>
      </c>
      <c r="F406" s="43" t="s">
        <v>0</v>
      </c>
      <c r="G406" s="44"/>
      <c r="H406" s="44"/>
      <c r="I406" s="1"/>
      <c r="J406" s="1"/>
    </row>
    <row r="407" spans="1:26" ht="15.75" customHeight="1">
      <c r="A407" s="42" t="s">
        <v>923</v>
      </c>
      <c r="B407" s="38" t="s">
        <v>924</v>
      </c>
      <c r="C407" s="39">
        <v>44031</v>
      </c>
      <c r="D407" s="40">
        <v>44065</v>
      </c>
      <c r="E407" s="46">
        <f>D407-C407</f>
        <v>34</v>
      </c>
      <c r="F407" s="43" t="s">
        <v>0</v>
      </c>
      <c r="G407" s="45" t="s">
        <v>33</v>
      </c>
      <c r="H407" s="46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42" t="s">
        <v>1405</v>
      </c>
      <c r="B408" s="42" t="s">
        <v>1406</v>
      </c>
      <c r="C408" s="39">
        <v>44074</v>
      </c>
      <c r="D408" s="40">
        <v>44108</v>
      </c>
      <c r="E408" s="46">
        <f>D408-C408</f>
        <v>34</v>
      </c>
      <c r="F408" s="43" t="s">
        <v>0</v>
      </c>
      <c r="G408" s="46"/>
      <c r="H408" s="46"/>
      <c r="I408" s="37"/>
      <c r="J408" s="37"/>
      <c r="K408" s="37" t="s">
        <v>1407</v>
      </c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7" t="s">
        <v>992</v>
      </c>
      <c r="B409" s="42" t="s">
        <v>993</v>
      </c>
      <c r="C409" s="39">
        <v>43822</v>
      </c>
      <c r="D409" s="40">
        <v>43855</v>
      </c>
      <c r="E409" s="46">
        <f>D409-C409</f>
        <v>33</v>
      </c>
      <c r="F409" s="43" t="s">
        <v>994</v>
      </c>
      <c r="G409" s="45" t="s">
        <v>995</v>
      </c>
      <c r="H409" s="46"/>
      <c r="I409" s="42" t="s">
        <v>436</v>
      </c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42" t="s">
        <v>605</v>
      </c>
      <c r="B410" s="38" t="s">
        <v>606</v>
      </c>
      <c r="C410" s="39">
        <v>43540</v>
      </c>
      <c r="D410" s="39">
        <v>43572</v>
      </c>
      <c r="E410" s="46">
        <f>D410-C410</f>
        <v>32</v>
      </c>
      <c r="F410" s="43" t="s">
        <v>0</v>
      </c>
      <c r="G410" s="45" t="s">
        <v>1</v>
      </c>
      <c r="H410" s="46"/>
      <c r="I410" s="37"/>
      <c r="J410" s="37"/>
    </row>
    <row r="411" spans="1:26" ht="15.75" customHeight="1">
      <c r="A411" s="42" t="s">
        <v>689</v>
      </c>
      <c r="B411" s="38" t="s">
        <v>690</v>
      </c>
      <c r="C411" s="39">
        <v>43591</v>
      </c>
      <c r="D411" s="39">
        <v>43623</v>
      </c>
      <c r="E411" s="46">
        <f>D411-C411</f>
        <v>32</v>
      </c>
      <c r="F411" s="43" t="s">
        <v>54</v>
      </c>
      <c r="G411" s="46"/>
      <c r="H411" s="46"/>
      <c r="I411" s="37"/>
      <c r="J411" s="37"/>
    </row>
    <row r="412" spans="1:26" ht="15.75" customHeight="1">
      <c r="A412" s="57" t="s">
        <v>2896</v>
      </c>
      <c r="B412" s="51" t="s">
        <v>903</v>
      </c>
      <c r="C412" s="39">
        <v>43758</v>
      </c>
      <c r="D412" s="39">
        <v>43790</v>
      </c>
      <c r="E412" s="46">
        <f>D412-C412</f>
        <v>32</v>
      </c>
      <c r="F412" s="46" t="s">
        <v>754</v>
      </c>
      <c r="G412" s="45" t="s">
        <v>33</v>
      </c>
      <c r="H412" s="46"/>
      <c r="I412" s="37"/>
      <c r="J412" s="37"/>
    </row>
    <row r="413" spans="1:26" ht="15.75" customHeight="1">
      <c r="A413" s="42" t="s">
        <v>1278</v>
      </c>
      <c r="B413" s="42" t="s">
        <v>1279</v>
      </c>
      <c r="C413" s="39">
        <v>43969</v>
      </c>
      <c r="D413" s="40">
        <v>44001</v>
      </c>
      <c r="E413" s="48">
        <f>D413-C413</f>
        <v>32</v>
      </c>
      <c r="F413" s="43" t="s">
        <v>0</v>
      </c>
      <c r="G413" s="46"/>
      <c r="H413" s="46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7" t="s">
        <v>1194</v>
      </c>
      <c r="B414" s="42" t="s">
        <v>1195</v>
      </c>
      <c r="C414" s="39">
        <v>43921</v>
      </c>
      <c r="D414" s="39">
        <v>43952</v>
      </c>
      <c r="E414" s="46">
        <f>D414-C414</f>
        <v>31</v>
      </c>
      <c r="F414" s="43" t="s">
        <v>0</v>
      </c>
      <c r="G414" s="46"/>
      <c r="H414" s="46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7" t="s">
        <v>2827</v>
      </c>
      <c r="B415" s="38" t="s">
        <v>413</v>
      </c>
      <c r="C415" s="39">
        <v>43352</v>
      </c>
      <c r="D415" s="40">
        <v>43382</v>
      </c>
      <c r="E415" s="48">
        <f>D415-C415</f>
        <v>30</v>
      </c>
      <c r="F415" s="44"/>
      <c r="G415" s="44"/>
      <c r="H415" s="44"/>
      <c r="I415" s="1"/>
      <c r="J415" s="1"/>
    </row>
    <row r="416" spans="1:26" ht="15.75" customHeight="1">
      <c r="A416" s="57" t="s">
        <v>775</v>
      </c>
      <c r="B416" s="38" t="s">
        <v>776</v>
      </c>
      <c r="C416" s="39">
        <v>43668</v>
      </c>
      <c r="D416" s="39">
        <v>43698</v>
      </c>
      <c r="E416" s="46">
        <f>D416-C416</f>
        <v>30</v>
      </c>
      <c r="F416" s="43" t="s">
        <v>777</v>
      </c>
      <c r="G416" s="46"/>
      <c r="H416" s="46"/>
      <c r="I416" s="37"/>
      <c r="J416" s="37"/>
    </row>
    <row r="417" spans="1:26" ht="15.75" customHeight="1">
      <c r="A417" s="57" t="s">
        <v>789</v>
      </c>
      <c r="B417" s="51" t="s">
        <v>790</v>
      </c>
      <c r="C417" s="39">
        <v>43710</v>
      </c>
      <c r="D417" s="39">
        <v>43740</v>
      </c>
      <c r="E417" s="46">
        <f>D417-C417</f>
        <v>30</v>
      </c>
      <c r="F417" s="43" t="s">
        <v>0</v>
      </c>
      <c r="G417" s="46"/>
      <c r="H417" s="46"/>
      <c r="I417" s="37"/>
      <c r="J417" s="37"/>
    </row>
    <row r="418" spans="1:26" ht="15.75" customHeight="1">
      <c r="A418" s="65" t="s">
        <v>947</v>
      </c>
      <c r="B418" s="42" t="s">
        <v>948</v>
      </c>
      <c r="C418" s="39">
        <v>43784</v>
      </c>
      <c r="D418" s="39">
        <v>43814</v>
      </c>
      <c r="E418" s="46">
        <f>D418-C418</f>
        <v>30</v>
      </c>
      <c r="F418" s="48" t="s">
        <v>949</v>
      </c>
      <c r="G418" s="46"/>
      <c r="H418" s="46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42" t="s">
        <v>1054</v>
      </c>
      <c r="B419" s="42" t="s">
        <v>1055</v>
      </c>
      <c r="C419" s="39">
        <v>43865</v>
      </c>
      <c r="D419" s="40">
        <v>43895</v>
      </c>
      <c r="E419" s="48">
        <f>D419-C419</f>
        <v>30</v>
      </c>
      <c r="F419" s="43" t="s">
        <v>25</v>
      </c>
      <c r="G419" s="45" t="s">
        <v>33</v>
      </c>
      <c r="H419" s="46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42" t="s">
        <v>309</v>
      </c>
      <c r="B420" s="38" t="s">
        <v>610</v>
      </c>
      <c r="C420" s="39">
        <v>43544</v>
      </c>
      <c r="D420" s="39">
        <v>43573</v>
      </c>
      <c r="E420" s="46">
        <f>D420-C420</f>
        <v>29</v>
      </c>
      <c r="F420" s="43" t="s">
        <v>524</v>
      </c>
      <c r="G420" s="46"/>
      <c r="H420" s="46"/>
      <c r="I420" s="37"/>
      <c r="J420" s="37"/>
    </row>
    <row r="421" spans="1:26" ht="15.75" customHeight="1">
      <c r="A421" s="37" t="s">
        <v>469</v>
      </c>
      <c r="B421" s="38" t="s">
        <v>470</v>
      </c>
      <c r="C421" s="39">
        <v>43467</v>
      </c>
      <c r="D421" s="39">
        <v>43495</v>
      </c>
      <c r="E421" s="46">
        <f>D421-C421</f>
        <v>28</v>
      </c>
      <c r="F421" s="43" t="s">
        <v>0</v>
      </c>
      <c r="G421" s="45" t="s">
        <v>471</v>
      </c>
      <c r="H421" s="46"/>
      <c r="I421" s="37"/>
      <c r="J421" s="37"/>
    </row>
    <row r="422" spans="1:26" ht="15.75" customHeight="1">
      <c r="A422" s="42" t="s">
        <v>660</v>
      </c>
      <c r="B422" s="38" t="s">
        <v>661</v>
      </c>
      <c r="C422" s="39">
        <v>43572</v>
      </c>
      <c r="D422" s="39">
        <v>43600</v>
      </c>
      <c r="E422" s="46">
        <f>D422-C422</f>
        <v>28</v>
      </c>
      <c r="F422" s="43" t="s">
        <v>0</v>
      </c>
      <c r="G422" s="46"/>
      <c r="H422" s="46"/>
      <c r="I422" s="37"/>
      <c r="J422" s="37"/>
    </row>
    <row r="423" spans="1:26" ht="15.75" customHeight="1">
      <c r="A423" s="37" t="s">
        <v>692</v>
      </c>
      <c r="B423" s="38" t="s">
        <v>693</v>
      </c>
      <c r="C423" s="39">
        <v>43597</v>
      </c>
      <c r="D423" s="39">
        <v>43625</v>
      </c>
      <c r="E423" s="46">
        <f>D423-C423</f>
        <v>28</v>
      </c>
      <c r="F423" s="43" t="s">
        <v>0</v>
      </c>
      <c r="G423" s="46"/>
      <c r="H423" s="46"/>
      <c r="I423" s="37"/>
      <c r="J423" s="37"/>
    </row>
    <row r="424" spans="1:26" ht="15.75" customHeight="1">
      <c r="A424" s="42" t="s">
        <v>878</v>
      </c>
      <c r="B424" s="38" t="s">
        <v>878</v>
      </c>
      <c r="C424" s="39">
        <v>43736</v>
      </c>
      <c r="D424" s="39">
        <v>43764</v>
      </c>
      <c r="E424" s="46">
        <f>D424-C424</f>
        <v>28</v>
      </c>
      <c r="F424" s="43" t="s">
        <v>0</v>
      </c>
      <c r="G424" s="44"/>
      <c r="H424" s="44"/>
      <c r="I424" s="1"/>
      <c r="J424" s="1"/>
    </row>
    <row r="425" spans="1:26" ht="15.75" customHeight="1">
      <c r="A425" s="37" t="s">
        <v>1143</v>
      </c>
      <c r="B425" s="42" t="s">
        <v>1144</v>
      </c>
      <c r="C425" s="39">
        <v>43906</v>
      </c>
      <c r="D425" s="40">
        <v>43934</v>
      </c>
      <c r="E425" s="48">
        <f>D425-C425</f>
        <v>28</v>
      </c>
      <c r="F425" s="45" t="s">
        <v>1130</v>
      </c>
      <c r="G425" s="45" t="s">
        <v>628</v>
      </c>
      <c r="H425" s="46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42" t="s">
        <v>1399</v>
      </c>
      <c r="B426" s="42" t="s">
        <v>1400</v>
      </c>
      <c r="C426" s="39">
        <v>44079</v>
      </c>
      <c r="D426" s="40">
        <v>44107</v>
      </c>
      <c r="E426" s="48">
        <f>D426-C426</f>
        <v>28</v>
      </c>
      <c r="F426" s="43" t="s">
        <v>0</v>
      </c>
      <c r="G426" s="46"/>
      <c r="H426" s="46"/>
      <c r="I426" s="37"/>
      <c r="J426" s="37"/>
      <c r="K426" s="42" t="s">
        <v>1401</v>
      </c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42" t="s">
        <v>721</v>
      </c>
      <c r="B427" s="38" t="s">
        <v>722</v>
      </c>
      <c r="C427" s="39">
        <v>43632</v>
      </c>
      <c r="D427" s="39">
        <v>43659</v>
      </c>
      <c r="E427" s="46">
        <f>D427-C427</f>
        <v>27</v>
      </c>
      <c r="F427" s="45" t="s">
        <v>723</v>
      </c>
      <c r="G427" s="45" t="s">
        <v>26</v>
      </c>
      <c r="H427" s="46"/>
      <c r="I427" s="37"/>
      <c r="J427" s="37"/>
    </row>
    <row r="428" spans="1:26" ht="15.75" customHeight="1">
      <c r="A428" s="37" t="s">
        <v>806</v>
      </c>
      <c r="B428" s="38" t="s">
        <v>807</v>
      </c>
      <c r="C428" s="39">
        <v>43688</v>
      </c>
      <c r="D428" s="39">
        <v>43715</v>
      </c>
      <c r="E428" s="46">
        <f>D428-C428</f>
        <v>27</v>
      </c>
      <c r="F428" s="43" t="s">
        <v>54</v>
      </c>
      <c r="G428" s="46"/>
      <c r="H428" s="46"/>
      <c r="I428" s="37"/>
      <c r="J428" s="37"/>
    </row>
    <row r="429" spans="1:26" ht="15.75" customHeight="1">
      <c r="A429" s="37" t="s">
        <v>1063</v>
      </c>
      <c r="B429" s="42" t="s">
        <v>1064</v>
      </c>
      <c r="C429" s="39">
        <v>43872</v>
      </c>
      <c r="D429" s="40">
        <v>43899</v>
      </c>
      <c r="E429" s="46">
        <f>D429-C429</f>
        <v>27</v>
      </c>
      <c r="F429" s="43" t="s">
        <v>0</v>
      </c>
      <c r="G429" s="46"/>
      <c r="H429" s="46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7" t="s">
        <v>988</v>
      </c>
      <c r="B430" s="42" t="s">
        <v>1085</v>
      </c>
      <c r="C430" s="39">
        <v>43918</v>
      </c>
      <c r="D430" s="40">
        <v>43945</v>
      </c>
      <c r="E430" s="48">
        <f>D430-C430</f>
        <v>27</v>
      </c>
      <c r="F430" s="43" t="s">
        <v>0</v>
      </c>
      <c r="G430" s="46"/>
      <c r="H430" s="46"/>
      <c r="I430" s="37"/>
      <c r="J430" s="53" t="s">
        <v>1086</v>
      </c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7" t="s">
        <v>1295</v>
      </c>
      <c r="B431" s="42" t="s">
        <v>1296</v>
      </c>
      <c r="C431" s="39">
        <v>43982</v>
      </c>
      <c r="D431" s="40">
        <v>44009</v>
      </c>
      <c r="E431" s="48">
        <f>D431-C431</f>
        <v>27</v>
      </c>
      <c r="F431" s="43" t="s">
        <v>0</v>
      </c>
      <c r="G431" s="46"/>
      <c r="H431" s="46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42" t="s">
        <v>1275</v>
      </c>
      <c r="B432" s="42" t="s">
        <v>1276</v>
      </c>
      <c r="C432" s="39">
        <v>44069</v>
      </c>
      <c r="D432" s="40">
        <v>44096</v>
      </c>
      <c r="E432" s="48">
        <f>D432-C432</f>
        <v>27</v>
      </c>
      <c r="F432" s="43" t="s">
        <v>0</v>
      </c>
      <c r="G432" s="46"/>
      <c r="H432" s="46"/>
      <c r="I432" s="37"/>
      <c r="J432" s="53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7" t="s">
        <v>550</v>
      </c>
      <c r="B433" s="38" t="s">
        <v>551</v>
      </c>
      <c r="C433" s="39">
        <v>43509</v>
      </c>
      <c r="D433" s="39">
        <v>43535</v>
      </c>
      <c r="E433" s="46">
        <f>D433-C433</f>
        <v>26</v>
      </c>
      <c r="F433" s="43" t="s">
        <v>524</v>
      </c>
      <c r="G433" s="46"/>
      <c r="H433" s="46"/>
      <c r="I433" s="37"/>
      <c r="J433" s="37"/>
    </row>
    <row r="434" spans="1:26" ht="15.75" customHeight="1">
      <c r="A434" s="37" t="s">
        <v>587</v>
      </c>
      <c r="B434" s="38" t="s">
        <v>588</v>
      </c>
      <c r="C434" s="39">
        <v>43535</v>
      </c>
      <c r="D434" s="39">
        <v>43561</v>
      </c>
      <c r="E434" s="46">
        <f>D434-C434</f>
        <v>26</v>
      </c>
      <c r="F434" s="48" t="s">
        <v>589</v>
      </c>
      <c r="G434" s="45" t="s">
        <v>33</v>
      </c>
      <c r="H434" s="46"/>
      <c r="I434" s="37"/>
      <c r="J434" s="37"/>
    </row>
    <row r="435" spans="1:26" ht="15.75" customHeight="1">
      <c r="A435" s="42" t="s">
        <v>682</v>
      </c>
      <c r="B435" s="38" t="s">
        <v>683</v>
      </c>
      <c r="C435" s="39">
        <v>43591</v>
      </c>
      <c r="D435" s="39">
        <v>43617</v>
      </c>
      <c r="E435" s="46">
        <f>D435-C435</f>
        <v>26</v>
      </c>
      <c r="F435" s="43" t="s">
        <v>54</v>
      </c>
      <c r="G435" s="46"/>
      <c r="H435" s="46"/>
      <c r="I435" s="37"/>
      <c r="J435" s="37"/>
    </row>
    <row r="436" spans="1:26" ht="15.75" customHeight="1">
      <c r="A436" s="42" t="s">
        <v>506</v>
      </c>
      <c r="B436" s="38" t="s">
        <v>507</v>
      </c>
      <c r="C436" s="39">
        <v>43619</v>
      </c>
      <c r="D436" s="39">
        <v>43645</v>
      </c>
      <c r="E436" s="46">
        <f>D436-C436</f>
        <v>26</v>
      </c>
      <c r="F436" s="43" t="s">
        <v>0</v>
      </c>
      <c r="G436" s="45" t="s">
        <v>26</v>
      </c>
      <c r="H436" s="44"/>
      <c r="I436" s="1"/>
      <c r="J436" s="1"/>
    </row>
    <row r="437" spans="1:26" ht="15.75" customHeight="1">
      <c r="A437" s="57" t="s">
        <v>789</v>
      </c>
      <c r="B437" s="52" t="s">
        <v>790</v>
      </c>
      <c r="C437" s="39">
        <v>43797</v>
      </c>
      <c r="D437" s="39">
        <v>43823</v>
      </c>
      <c r="E437" s="46">
        <f>D437-C437</f>
        <v>26</v>
      </c>
      <c r="F437" s="43" t="s">
        <v>0</v>
      </c>
      <c r="G437" s="46"/>
      <c r="H437" s="46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7" t="s">
        <v>1004</v>
      </c>
      <c r="B438" s="42" t="s">
        <v>1005</v>
      </c>
      <c r="C438" s="39">
        <v>43836</v>
      </c>
      <c r="D438" s="40">
        <v>43862</v>
      </c>
      <c r="E438" s="48">
        <f>D438-C438</f>
        <v>26</v>
      </c>
      <c r="F438" s="43" t="s">
        <v>1006</v>
      </c>
      <c r="G438" s="46"/>
      <c r="H438" s="46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42" t="s">
        <v>1059</v>
      </c>
      <c r="B439" s="42" t="s">
        <v>1060</v>
      </c>
      <c r="C439" s="39">
        <v>43906</v>
      </c>
      <c r="D439" s="39">
        <v>43932</v>
      </c>
      <c r="E439" s="46">
        <f>D439-C439</f>
        <v>26</v>
      </c>
      <c r="F439" s="43" t="s">
        <v>0</v>
      </c>
      <c r="G439" s="46"/>
      <c r="H439" s="46"/>
      <c r="I439" s="37"/>
      <c r="J439" s="42" t="s">
        <v>1061</v>
      </c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42" t="s">
        <v>1130</v>
      </c>
      <c r="B440" s="42" t="s">
        <v>1131</v>
      </c>
      <c r="C440" s="39">
        <v>43906</v>
      </c>
      <c r="D440" s="39">
        <v>43932</v>
      </c>
      <c r="E440" s="46">
        <f>D440-C440</f>
        <v>26</v>
      </c>
      <c r="F440" s="43" t="s">
        <v>0</v>
      </c>
      <c r="G440" s="45" t="s">
        <v>628</v>
      </c>
      <c r="H440" s="46"/>
      <c r="I440" s="37"/>
      <c r="J440" s="53" t="s">
        <v>1132</v>
      </c>
      <c r="K440" s="42" t="s">
        <v>1133</v>
      </c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7" t="s">
        <v>1157</v>
      </c>
      <c r="B441" s="42" t="s">
        <v>1158</v>
      </c>
      <c r="C441" s="39">
        <v>43913</v>
      </c>
      <c r="D441" s="40">
        <v>43939</v>
      </c>
      <c r="E441" s="48">
        <f>D441-C441</f>
        <v>26</v>
      </c>
      <c r="F441" s="43" t="s">
        <v>0</v>
      </c>
      <c r="G441" s="46"/>
      <c r="H441" s="46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7" t="s">
        <v>639</v>
      </c>
      <c r="B442" s="38" t="s">
        <v>640</v>
      </c>
      <c r="C442" s="39">
        <v>43966</v>
      </c>
      <c r="D442" s="40">
        <v>43992</v>
      </c>
      <c r="E442" s="48">
        <f>D442-C442</f>
        <v>26</v>
      </c>
      <c r="F442" s="43" t="s">
        <v>0</v>
      </c>
      <c r="G442" s="45" t="s">
        <v>487</v>
      </c>
      <c r="H442" s="46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42" t="s">
        <v>488</v>
      </c>
      <c r="B443" s="38" t="s">
        <v>489</v>
      </c>
      <c r="C443" s="39">
        <v>43469</v>
      </c>
      <c r="D443" s="39">
        <v>43493</v>
      </c>
      <c r="E443" s="46">
        <f>D443-C443</f>
        <v>24</v>
      </c>
      <c r="F443" s="46" t="s">
        <v>490</v>
      </c>
      <c r="G443" s="45" t="s">
        <v>33</v>
      </c>
      <c r="H443" s="46"/>
      <c r="I443" s="37"/>
      <c r="J443" s="37"/>
    </row>
    <row r="444" spans="1:26" ht="15.75" customHeight="1">
      <c r="A444" s="42" t="s">
        <v>597</v>
      </c>
      <c r="B444" s="38" t="s">
        <v>598</v>
      </c>
      <c r="C444" s="39">
        <v>43544</v>
      </c>
      <c r="D444" s="39">
        <v>43568</v>
      </c>
      <c r="E444" s="46">
        <f>D444-C444</f>
        <v>24</v>
      </c>
      <c r="F444" s="43" t="s">
        <v>0</v>
      </c>
      <c r="G444" s="45" t="s">
        <v>33</v>
      </c>
      <c r="H444" s="46" t="s">
        <v>455</v>
      </c>
      <c r="I444" s="37"/>
      <c r="J444" s="37"/>
    </row>
    <row r="445" spans="1:26" ht="15.75" customHeight="1">
      <c r="A445" s="37" t="s">
        <v>426</v>
      </c>
      <c r="B445" s="38" t="s">
        <v>427</v>
      </c>
      <c r="C445" s="39">
        <v>43577</v>
      </c>
      <c r="D445" s="39">
        <v>43601</v>
      </c>
      <c r="E445" s="46">
        <f>D445-C445</f>
        <v>24</v>
      </c>
      <c r="F445" s="43" t="s">
        <v>0</v>
      </c>
      <c r="G445" s="46"/>
      <c r="H445" s="46"/>
      <c r="I445" s="37"/>
      <c r="J445" s="37"/>
    </row>
    <row r="446" spans="1:26" ht="15.75" customHeight="1">
      <c r="A446" s="42" t="s">
        <v>665</v>
      </c>
      <c r="B446" s="38" t="s">
        <v>666</v>
      </c>
      <c r="C446" s="39">
        <v>43782</v>
      </c>
      <c r="D446" s="39">
        <v>43806</v>
      </c>
      <c r="E446" s="46">
        <f>D446-C446</f>
        <v>24</v>
      </c>
      <c r="F446" s="43" t="s">
        <v>0</v>
      </c>
      <c r="G446" s="46"/>
      <c r="H446" s="46"/>
      <c r="I446" s="37"/>
      <c r="J446" s="53" t="s">
        <v>667</v>
      </c>
    </row>
    <row r="447" spans="1:26" ht="15.75" customHeight="1">
      <c r="A447" s="37" t="s">
        <v>1091</v>
      </c>
      <c r="B447" s="42" t="s">
        <v>1092</v>
      </c>
      <c r="C447" s="39">
        <v>43889</v>
      </c>
      <c r="D447" s="40">
        <v>43913</v>
      </c>
      <c r="E447" s="48">
        <f>D447-C447</f>
        <v>24</v>
      </c>
      <c r="F447" s="48" t="s">
        <v>1093</v>
      </c>
      <c r="G447" s="46"/>
      <c r="H447" s="46"/>
      <c r="I447" s="37"/>
      <c r="J447" s="53" t="s">
        <v>1094</v>
      </c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7" t="s">
        <v>679</v>
      </c>
      <c r="B448" s="38" t="s">
        <v>680</v>
      </c>
      <c r="C448" s="39">
        <v>43594</v>
      </c>
      <c r="D448" s="39">
        <v>43617</v>
      </c>
      <c r="E448" s="46">
        <f>D448-C448</f>
        <v>23</v>
      </c>
      <c r="F448" s="43" t="s">
        <v>681</v>
      </c>
      <c r="G448" s="46"/>
      <c r="H448" s="46"/>
      <c r="I448" s="37"/>
      <c r="J448" s="37"/>
    </row>
    <row r="449" spans="1:26" ht="15.75" customHeight="1">
      <c r="A449" s="42" t="s">
        <v>595</v>
      </c>
      <c r="B449" s="38" t="s">
        <v>596</v>
      </c>
      <c r="C449" s="39">
        <v>43544</v>
      </c>
      <c r="D449" s="39">
        <v>43566</v>
      </c>
      <c r="E449" s="46">
        <f>D449-C449</f>
        <v>22</v>
      </c>
      <c r="F449" s="43" t="s">
        <v>0</v>
      </c>
      <c r="G449" s="46"/>
      <c r="H449" s="46"/>
      <c r="I449" s="37"/>
      <c r="J449" s="37"/>
    </row>
    <row r="450" spans="1:26" ht="15.75" customHeight="1">
      <c r="A450" s="37" t="s">
        <v>490</v>
      </c>
      <c r="B450" s="38" t="s">
        <v>583</v>
      </c>
      <c r="C450" s="39">
        <v>43621</v>
      </c>
      <c r="D450" s="39">
        <v>43643</v>
      </c>
      <c r="E450" s="46">
        <f>D450-C450</f>
        <v>22</v>
      </c>
      <c r="F450" s="43" t="s">
        <v>707</v>
      </c>
      <c r="G450" s="45" t="s">
        <v>1</v>
      </c>
      <c r="H450" s="46"/>
      <c r="I450" s="37"/>
      <c r="J450" s="37"/>
    </row>
    <row r="451" spans="1:26" ht="15.75" customHeight="1">
      <c r="A451" s="42" t="s">
        <v>996</v>
      </c>
      <c r="B451" s="42" t="s">
        <v>997</v>
      </c>
      <c r="C451" s="39">
        <v>43834</v>
      </c>
      <c r="D451" s="39">
        <v>43856</v>
      </c>
      <c r="E451" s="46">
        <f>D451-C451</f>
        <v>22</v>
      </c>
      <c r="F451" s="48" t="s">
        <v>641</v>
      </c>
      <c r="G451" s="45" t="s">
        <v>33</v>
      </c>
      <c r="H451" s="46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7" t="s">
        <v>420</v>
      </c>
      <c r="B452" s="38" t="s">
        <v>421</v>
      </c>
      <c r="C452" s="39">
        <v>43365</v>
      </c>
      <c r="D452" s="39">
        <v>43386</v>
      </c>
      <c r="E452" s="48">
        <f>D452-C452</f>
        <v>21</v>
      </c>
      <c r="F452" s="44"/>
      <c r="G452" s="44"/>
      <c r="H452" s="44"/>
      <c r="I452" s="1"/>
      <c r="J452" s="1"/>
    </row>
    <row r="453" spans="1:26" ht="15.75" customHeight="1">
      <c r="A453" s="57" t="s">
        <v>758</v>
      </c>
      <c r="B453" s="38" t="s">
        <v>759</v>
      </c>
      <c r="C453" s="39">
        <v>43673</v>
      </c>
      <c r="D453" s="39">
        <v>43694</v>
      </c>
      <c r="E453" s="46">
        <f>D453-C453</f>
        <v>21</v>
      </c>
      <c r="F453" s="48" t="s">
        <v>624</v>
      </c>
      <c r="G453" s="46"/>
      <c r="H453" s="55"/>
      <c r="I453" s="56"/>
      <c r="J453" s="56"/>
    </row>
    <row r="454" spans="1:26" ht="15.75" customHeight="1">
      <c r="A454" s="37" t="s">
        <v>710</v>
      </c>
      <c r="B454" s="38" t="s">
        <v>711</v>
      </c>
      <c r="C454" s="39">
        <v>43754</v>
      </c>
      <c r="D454" s="39">
        <v>43775</v>
      </c>
      <c r="E454" s="46">
        <f>D454-C454</f>
        <v>21</v>
      </c>
      <c r="F454" s="43" t="s">
        <v>788</v>
      </c>
      <c r="G454" s="44"/>
      <c r="H454" s="44"/>
      <c r="I454" s="1"/>
      <c r="J454" s="1"/>
    </row>
    <row r="455" spans="1:26" ht="15.75" customHeight="1">
      <c r="A455" s="68" t="s">
        <v>959</v>
      </c>
      <c r="B455" s="50" t="s">
        <v>967</v>
      </c>
      <c r="C455" s="66">
        <v>43813</v>
      </c>
      <c r="D455" s="66">
        <v>43834</v>
      </c>
      <c r="E455" s="46">
        <f>D455-C455</f>
        <v>21</v>
      </c>
      <c r="F455" s="67" t="s">
        <v>825</v>
      </c>
      <c r="G455" s="49"/>
      <c r="H455" s="49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5.75" customHeight="1">
      <c r="A456" s="42" t="s">
        <v>1124</v>
      </c>
      <c r="B456" s="42" t="s">
        <v>1125</v>
      </c>
      <c r="C456" s="39">
        <v>43906</v>
      </c>
      <c r="D456" s="40">
        <v>43927</v>
      </c>
      <c r="E456" s="48">
        <f>D456-C456</f>
        <v>21</v>
      </c>
      <c r="F456" s="46" t="s">
        <v>619</v>
      </c>
      <c r="G456" s="45" t="s">
        <v>26</v>
      </c>
      <c r="H456" s="46"/>
      <c r="I456" s="37"/>
      <c r="J456" s="53" t="s">
        <v>1126</v>
      </c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42" t="s">
        <v>1236</v>
      </c>
      <c r="B457" s="42" t="s">
        <v>1237</v>
      </c>
      <c r="C457" s="39">
        <v>43953</v>
      </c>
      <c r="D457" s="40">
        <v>43974</v>
      </c>
      <c r="E457" s="48">
        <f>D457-C457</f>
        <v>21</v>
      </c>
      <c r="F457" s="48" t="s">
        <v>641</v>
      </c>
      <c r="G457" s="46"/>
      <c r="H457" s="46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7" t="s">
        <v>1460</v>
      </c>
      <c r="B458" s="42" t="s">
        <v>1461</v>
      </c>
      <c r="C458" s="39">
        <v>44134</v>
      </c>
      <c r="D458" s="40">
        <v>44155</v>
      </c>
      <c r="E458" s="48">
        <f>D458-C458</f>
        <v>21</v>
      </c>
      <c r="F458" s="48" t="s">
        <v>1322</v>
      </c>
      <c r="G458" s="46"/>
      <c r="H458" s="46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42" t="s">
        <v>2820</v>
      </c>
      <c r="B459" s="51" t="s">
        <v>387</v>
      </c>
      <c r="C459" s="39">
        <v>43452</v>
      </c>
      <c r="D459" s="39">
        <v>43472</v>
      </c>
      <c r="E459" s="46">
        <f>D459-C459</f>
        <v>20</v>
      </c>
      <c r="F459" s="43" t="s">
        <v>0</v>
      </c>
      <c r="G459" s="37"/>
      <c r="H459" s="44"/>
      <c r="I459" s="1"/>
      <c r="J459" s="1"/>
    </row>
    <row r="460" spans="1:26" ht="15.75" customHeight="1">
      <c r="A460" s="42" t="s">
        <v>808</v>
      </c>
      <c r="B460" s="38" t="s">
        <v>809</v>
      </c>
      <c r="C460" s="39">
        <v>43702</v>
      </c>
      <c r="D460" s="40">
        <v>43722</v>
      </c>
      <c r="E460" s="48">
        <f>D460-C460</f>
        <v>20</v>
      </c>
      <c r="F460" s="43" t="s">
        <v>810</v>
      </c>
      <c r="G460" s="46"/>
      <c r="H460" s="46"/>
      <c r="I460" s="37"/>
      <c r="J460" s="37"/>
    </row>
    <row r="461" spans="1:26" ht="15.75" customHeight="1">
      <c r="A461" s="57" t="s">
        <v>875</v>
      </c>
      <c r="B461" s="51" t="s">
        <v>876</v>
      </c>
      <c r="C461" s="39">
        <v>43744</v>
      </c>
      <c r="D461" s="39">
        <v>43764</v>
      </c>
      <c r="E461" s="46">
        <f>D461-C461</f>
        <v>20</v>
      </c>
      <c r="F461" s="48" t="s">
        <v>877</v>
      </c>
      <c r="G461" s="46"/>
      <c r="H461" s="46"/>
      <c r="I461" s="37"/>
      <c r="J461" s="37"/>
    </row>
    <row r="462" spans="1:26" ht="15.75" customHeight="1">
      <c r="A462" s="37" t="s">
        <v>1028</v>
      </c>
      <c r="B462" s="42" t="s">
        <v>1029</v>
      </c>
      <c r="C462" s="39">
        <v>43863</v>
      </c>
      <c r="D462" s="40">
        <v>43883</v>
      </c>
      <c r="E462" s="48">
        <f>D462-C462</f>
        <v>20</v>
      </c>
      <c r="F462" s="43" t="s">
        <v>0</v>
      </c>
      <c r="G462" s="45" t="s">
        <v>1030</v>
      </c>
      <c r="H462" s="46"/>
      <c r="I462" s="37"/>
      <c r="J462" s="53" t="s">
        <v>1031</v>
      </c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7" t="s">
        <v>1040</v>
      </c>
      <c r="B463" s="42" t="s">
        <v>1041</v>
      </c>
      <c r="C463" s="39">
        <v>43870</v>
      </c>
      <c r="D463" s="40">
        <v>43890</v>
      </c>
      <c r="E463" s="48">
        <f>D463-C463</f>
        <v>20</v>
      </c>
      <c r="F463" s="43" t="s">
        <v>0</v>
      </c>
      <c r="G463" s="45" t="s">
        <v>70</v>
      </c>
      <c r="H463" s="46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42" t="s">
        <v>1397</v>
      </c>
      <c r="B464" s="42" t="s">
        <v>1398</v>
      </c>
      <c r="C464" s="39">
        <v>44087</v>
      </c>
      <c r="D464" s="40">
        <v>44107</v>
      </c>
      <c r="E464" s="48">
        <f>D464-C464</f>
        <v>20</v>
      </c>
      <c r="F464" s="43" t="s">
        <v>0</v>
      </c>
      <c r="G464" s="46"/>
      <c r="H464" s="46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42" t="s">
        <v>403</v>
      </c>
      <c r="B465" s="38" t="s">
        <v>404</v>
      </c>
      <c r="C465" s="39">
        <v>43349</v>
      </c>
      <c r="D465" s="40">
        <v>43368</v>
      </c>
      <c r="E465" s="48">
        <f>D465-C465</f>
        <v>19</v>
      </c>
      <c r="F465" s="44"/>
      <c r="G465" s="44"/>
      <c r="H465" s="44"/>
      <c r="I465" s="1"/>
      <c r="J465" s="1"/>
    </row>
    <row r="466" spans="1:26" ht="15.75" customHeight="1">
      <c r="A466" s="37" t="s">
        <v>422</v>
      </c>
      <c r="B466" s="38" t="s">
        <v>423</v>
      </c>
      <c r="C466" s="39">
        <v>43369</v>
      </c>
      <c r="D466" s="39">
        <v>43388</v>
      </c>
      <c r="E466" s="48">
        <f>D466-C466</f>
        <v>19</v>
      </c>
      <c r="F466" s="44"/>
      <c r="G466" s="44"/>
      <c r="H466" s="44"/>
      <c r="I466" s="1"/>
      <c r="J466" s="1"/>
    </row>
    <row r="467" spans="1:26" ht="15.75" customHeight="1">
      <c r="A467" s="37" t="s">
        <v>426</v>
      </c>
      <c r="B467" s="38" t="s">
        <v>427</v>
      </c>
      <c r="C467" s="39">
        <v>43404</v>
      </c>
      <c r="D467" s="39">
        <v>43423</v>
      </c>
      <c r="E467" s="48">
        <f>D467-C467</f>
        <v>19</v>
      </c>
      <c r="F467" s="43" t="s">
        <v>0</v>
      </c>
      <c r="G467" s="43" t="s">
        <v>43</v>
      </c>
      <c r="H467" s="46" t="s">
        <v>455</v>
      </c>
      <c r="I467" s="1"/>
      <c r="J467" s="1"/>
    </row>
    <row r="468" spans="1:26" ht="15.75" customHeight="1">
      <c r="A468" s="42" t="s">
        <v>593</v>
      </c>
      <c r="B468" s="38" t="s">
        <v>594</v>
      </c>
      <c r="C468" s="39">
        <v>43545</v>
      </c>
      <c r="D468" s="39">
        <v>43564</v>
      </c>
      <c r="E468" s="46">
        <f>D468-C468</f>
        <v>19</v>
      </c>
      <c r="F468" s="43" t="s">
        <v>0</v>
      </c>
      <c r="G468" s="46"/>
      <c r="H468" s="46"/>
      <c r="I468" s="37"/>
      <c r="J468" s="37"/>
    </row>
    <row r="469" spans="1:26" ht="15.75" customHeight="1">
      <c r="A469" s="37" t="s">
        <v>631</v>
      </c>
      <c r="B469" s="38" t="s">
        <v>632</v>
      </c>
      <c r="C469" s="39">
        <v>43569</v>
      </c>
      <c r="D469" s="39">
        <v>43588</v>
      </c>
      <c r="E469" s="46">
        <f>D469-C469</f>
        <v>19</v>
      </c>
      <c r="F469" s="46" t="s">
        <v>589</v>
      </c>
      <c r="G469" s="46"/>
      <c r="H469" s="46"/>
      <c r="I469" s="37"/>
      <c r="J469" s="37"/>
    </row>
    <row r="470" spans="1:26" ht="15.75" customHeight="1">
      <c r="A470" s="37" t="s">
        <v>821</v>
      </c>
      <c r="B470" s="38" t="s">
        <v>822</v>
      </c>
      <c r="C470" s="39">
        <v>43709</v>
      </c>
      <c r="D470" s="39">
        <v>43728</v>
      </c>
      <c r="E470" s="46">
        <f>D470-C470</f>
        <v>19</v>
      </c>
      <c r="F470" s="48" t="s">
        <v>624</v>
      </c>
      <c r="G470" s="45" t="s">
        <v>33</v>
      </c>
      <c r="H470" s="46"/>
      <c r="I470" s="37"/>
      <c r="J470" s="37"/>
    </row>
    <row r="471" spans="1:26" ht="15.75" customHeight="1">
      <c r="A471" s="57" t="s">
        <v>840</v>
      </c>
      <c r="B471" s="51" t="s">
        <v>841</v>
      </c>
      <c r="C471" s="39">
        <v>43718</v>
      </c>
      <c r="D471" s="39">
        <v>43737</v>
      </c>
      <c r="E471" s="46">
        <f>D471-C471</f>
        <v>19</v>
      </c>
      <c r="F471" s="48" t="s">
        <v>2840</v>
      </c>
      <c r="G471" s="44"/>
      <c r="H471" s="44"/>
      <c r="I471" s="1"/>
      <c r="J471" s="1"/>
    </row>
    <row r="472" spans="1:26" ht="15.75" customHeight="1">
      <c r="A472" s="57" t="s">
        <v>882</v>
      </c>
      <c r="B472" s="51" t="s">
        <v>883</v>
      </c>
      <c r="C472" s="39">
        <v>43752</v>
      </c>
      <c r="D472" s="39">
        <v>43771</v>
      </c>
      <c r="E472" s="46">
        <f>D472-C472</f>
        <v>19</v>
      </c>
      <c r="F472" s="43" t="s">
        <v>884</v>
      </c>
      <c r="G472" s="46"/>
      <c r="H472" s="46"/>
      <c r="I472" s="37"/>
      <c r="J472" s="37"/>
    </row>
    <row r="473" spans="1:26" ht="15.75" customHeight="1">
      <c r="A473" s="37" t="s">
        <v>1182</v>
      </c>
      <c r="B473" s="42" t="s">
        <v>1183</v>
      </c>
      <c r="C473" s="39">
        <v>43930</v>
      </c>
      <c r="D473" s="40">
        <v>43949</v>
      </c>
      <c r="E473" s="48">
        <f>D473-C473</f>
        <v>19</v>
      </c>
      <c r="F473" s="48" t="s">
        <v>174</v>
      </c>
      <c r="G473" s="46"/>
      <c r="H473" s="46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42" t="s">
        <v>1355</v>
      </c>
      <c r="B474" s="42" t="s">
        <v>1356</v>
      </c>
      <c r="C474" s="39">
        <v>44046</v>
      </c>
      <c r="D474" s="40">
        <v>44065</v>
      </c>
      <c r="E474" s="48">
        <f>D474-C474</f>
        <v>19</v>
      </c>
      <c r="F474" s="43" t="s">
        <v>0</v>
      </c>
      <c r="G474" s="46"/>
      <c r="H474" s="46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7" t="s">
        <v>1360</v>
      </c>
      <c r="B475" s="42" t="s">
        <v>1361</v>
      </c>
      <c r="C475" s="39">
        <v>44053</v>
      </c>
      <c r="D475" s="40">
        <v>44072</v>
      </c>
      <c r="E475" s="48">
        <f>D475-C475</f>
        <v>19</v>
      </c>
      <c r="F475" s="43" t="s">
        <v>0</v>
      </c>
      <c r="G475" s="46"/>
      <c r="H475" s="46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42" t="s">
        <v>418</v>
      </c>
      <c r="B476" s="38" t="s">
        <v>419</v>
      </c>
      <c r="C476" s="39">
        <v>43368</v>
      </c>
      <c r="D476" s="39">
        <v>43386</v>
      </c>
      <c r="E476" s="48">
        <f>D476-C476</f>
        <v>18</v>
      </c>
      <c r="F476" s="44"/>
      <c r="G476" s="44"/>
      <c r="H476" s="44"/>
      <c r="I476" s="1"/>
      <c r="J476" s="1"/>
    </row>
    <row r="477" spans="1:26" ht="15.75" customHeight="1">
      <c r="A477" s="42" t="s">
        <v>25</v>
      </c>
      <c r="B477" s="38" t="s">
        <v>504</v>
      </c>
      <c r="C477" s="39">
        <v>43619</v>
      </c>
      <c r="D477" s="39">
        <v>43637</v>
      </c>
      <c r="E477" s="46">
        <f>D477-C477</f>
        <v>18</v>
      </c>
      <c r="F477" s="45" t="s">
        <v>506</v>
      </c>
      <c r="G477" s="45" t="s">
        <v>33</v>
      </c>
      <c r="H477" s="46"/>
      <c r="I477" s="37"/>
      <c r="J477" s="37"/>
    </row>
    <row r="478" spans="1:26" ht="15.75" customHeight="1">
      <c r="A478" s="42" t="s">
        <v>986</v>
      </c>
      <c r="B478" s="42" t="s">
        <v>987</v>
      </c>
      <c r="C478" s="39">
        <v>43835</v>
      </c>
      <c r="D478" s="40">
        <v>43853</v>
      </c>
      <c r="E478" s="48">
        <f>D478-C478</f>
        <v>18</v>
      </c>
      <c r="F478" s="48" t="s">
        <v>988</v>
      </c>
      <c r="G478" s="46"/>
      <c r="H478" s="46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7" t="s">
        <v>702</v>
      </c>
      <c r="B479" s="38" t="s">
        <v>905</v>
      </c>
      <c r="C479" s="39">
        <v>43839</v>
      </c>
      <c r="D479" s="39">
        <v>43857</v>
      </c>
      <c r="E479" s="46">
        <f>D479-C479</f>
        <v>18</v>
      </c>
      <c r="F479" s="43" t="s">
        <v>0</v>
      </c>
      <c r="G479" s="45" t="s">
        <v>33</v>
      </c>
      <c r="H479" s="46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42" t="s">
        <v>1208</v>
      </c>
      <c r="B480" s="42" t="s">
        <v>1208</v>
      </c>
      <c r="C480" s="39">
        <v>43941</v>
      </c>
      <c r="D480" s="39">
        <v>43959</v>
      </c>
      <c r="E480" s="48">
        <f>D480-C480</f>
        <v>18</v>
      </c>
      <c r="F480" s="48" t="s">
        <v>174</v>
      </c>
      <c r="G480" s="46"/>
      <c r="H480" s="46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7" t="s">
        <v>573</v>
      </c>
      <c r="B481" s="38" t="s">
        <v>629</v>
      </c>
      <c r="C481" s="39">
        <v>44006</v>
      </c>
      <c r="D481" s="39">
        <v>44024</v>
      </c>
      <c r="E481" s="46">
        <f>D481-C481</f>
        <v>18</v>
      </c>
      <c r="F481" s="43" t="s">
        <v>0</v>
      </c>
      <c r="G481" s="45" t="s">
        <v>26</v>
      </c>
      <c r="H481" s="46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7" t="s">
        <v>557</v>
      </c>
      <c r="B482" s="38" t="s">
        <v>558</v>
      </c>
      <c r="C482" s="39">
        <v>43523</v>
      </c>
      <c r="D482" s="39">
        <v>43540</v>
      </c>
      <c r="E482" s="46">
        <f>D482-C482</f>
        <v>17</v>
      </c>
      <c r="F482" s="43" t="s">
        <v>0</v>
      </c>
      <c r="G482" s="46"/>
      <c r="H482" s="46"/>
      <c r="I482" s="37"/>
      <c r="J482" s="37"/>
    </row>
    <row r="483" spans="1:26" ht="15.75" customHeight="1">
      <c r="A483" s="42" t="s">
        <v>357</v>
      </c>
      <c r="B483" s="38" t="s">
        <v>586</v>
      </c>
      <c r="C483" s="39">
        <v>43544</v>
      </c>
      <c r="D483" s="39">
        <v>43561</v>
      </c>
      <c r="E483" s="46">
        <f>D483-C483</f>
        <v>17</v>
      </c>
      <c r="F483" s="43" t="s">
        <v>0</v>
      </c>
      <c r="G483" s="46"/>
      <c r="H483" s="46"/>
      <c r="I483" s="37"/>
      <c r="J483" s="37"/>
    </row>
    <row r="484" spans="1:26" ht="15.75" customHeight="1">
      <c r="A484" s="42" t="s">
        <v>668</v>
      </c>
      <c r="B484" s="38" t="s">
        <v>669</v>
      </c>
      <c r="C484" s="39">
        <v>43587</v>
      </c>
      <c r="D484" s="39">
        <v>43604</v>
      </c>
      <c r="E484" s="46">
        <f>D484-C484</f>
        <v>17</v>
      </c>
      <c r="F484" s="43" t="s">
        <v>0</v>
      </c>
      <c r="G484" s="46"/>
      <c r="H484" s="46"/>
      <c r="I484" s="37"/>
      <c r="J484" s="37"/>
    </row>
    <row r="485" spans="1:26" ht="15.75" customHeight="1">
      <c r="A485" s="42" t="s">
        <v>668</v>
      </c>
      <c r="B485" s="38" t="s">
        <v>669</v>
      </c>
      <c r="C485" s="39">
        <v>43970</v>
      </c>
      <c r="D485" s="40">
        <v>43987</v>
      </c>
      <c r="E485" s="48">
        <f>D485-C485</f>
        <v>17</v>
      </c>
      <c r="F485" s="43" t="s">
        <v>0</v>
      </c>
      <c r="G485" s="46"/>
      <c r="H485" s="46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7" t="s">
        <v>710</v>
      </c>
      <c r="B486" s="38" t="s">
        <v>711</v>
      </c>
      <c r="C486" s="39">
        <v>43628</v>
      </c>
      <c r="D486" s="39">
        <v>43644</v>
      </c>
      <c r="E486" s="46">
        <f>D486-C486</f>
        <v>16</v>
      </c>
      <c r="F486" s="43" t="s">
        <v>54</v>
      </c>
      <c r="G486" s="44"/>
      <c r="H486" s="44"/>
      <c r="I486" s="1"/>
      <c r="J486" s="1"/>
    </row>
    <row r="487" spans="1:26" ht="15.75" customHeight="1">
      <c r="A487" s="57" t="s">
        <v>786</v>
      </c>
      <c r="B487" s="38" t="s">
        <v>787</v>
      </c>
      <c r="C487" s="39">
        <v>43685</v>
      </c>
      <c r="D487" s="39">
        <v>43701</v>
      </c>
      <c r="E487" s="46">
        <f>D487-C487</f>
        <v>16</v>
      </c>
      <c r="F487" s="43" t="s">
        <v>788</v>
      </c>
      <c r="G487" s="45" t="s">
        <v>1</v>
      </c>
      <c r="H487" s="46"/>
      <c r="I487" s="37"/>
      <c r="J487" s="37"/>
    </row>
    <row r="488" spans="1:26" ht="15.75" customHeight="1">
      <c r="A488" s="57" t="s">
        <v>2838</v>
      </c>
      <c r="B488" s="51" t="s">
        <v>832</v>
      </c>
      <c r="C488" s="39">
        <v>43718</v>
      </c>
      <c r="D488" s="39">
        <v>43734</v>
      </c>
      <c r="E488" s="46">
        <f>D488-C488</f>
        <v>16</v>
      </c>
      <c r="F488" s="43" t="s">
        <v>0</v>
      </c>
      <c r="G488" s="55"/>
      <c r="H488" s="55"/>
      <c r="I488" s="56"/>
      <c r="J488" s="56"/>
    </row>
    <row r="489" spans="1:26" ht="15.75" customHeight="1">
      <c r="A489" s="42" t="s">
        <v>1023</v>
      </c>
      <c r="B489" s="42" t="s">
        <v>1024</v>
      </c>
      <c r="C489" s="39">
        <v>43863</v>
      </c>
      <c r="D489" s="40">
        <v>43879</v>
      </c>
      <c r="E489" s="48">
        <f>D489-C489</f>
        <v>16</v>
      </c>
      <c r="F489" s="43" t="s">
        <v>1017</v>
      </c>
      <c r="G489" s="46"/>
      <c r="H489" s="46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7" t="s">
        <v>443</v>
      </c>
      <c r="B490" s="38" t="s">
        <v>444</v>
      </c>
      <c r="C490" s="39">
        <v>43400</v>
      </c>
      <c r="D490" s="39">
        <v>43415</v>
      </c>
      <c r="E490" s="48">
        <f>D490-C490</f>
        <v>15</v>
      </c>
      <c r="F490" s="48"/>
      <c r="G490" s="44"/>
      <c r="H490" s="44"/>
      <c r="I490" s="1"/>
      <c r="J490" s="1"/>
    </row>
    <row r="491" spans="1:26" ht="14.25" customHeight="1">
      <c r="A491" s="42" t="s">
        <v>522</v>
      </c>
      <c r="B491" s="38" t="s">
        <v>523</v>
      </c>
      <c r="C491" s="39">
        <v>43509</v>
      </c>
      <c r="D491" s="40">
        <v>43524</v>
      </c>
      <c r="E491" s="48">
        <f>D491-C491</f>
        <v>15</v>
      </c>
      <c r="F491" s="43" t="s">
        <v>524</v>
      </c>
      <c r="G491" s="37"/>
      <c r="H491" s="46"/>
      <c r="I491" s="37"/>
      <c r="J491" s="37"/>
    </row>
    <row r="492" spans="1:26" ht="15.75" customHeight="1">
      <c r="A492" s="37" t="s">
        <v>571</v>
      </c>
      <c r="B492" s="38" t="s">
        <v>572</v>
      </c>
      <c r="C492" s="39">
        <v>43532</v>
      </c>
      <c r="D492" s="39">
        <v>43547</v>
      </c>
      <c r="E492" s="46">
        <f>D492-C492</f>
        <v>15</v>
      </c>
      <c r="F492" s="46" t="s">
        <v>573</v>
      </c>
      <c r="G492" s="46"/>
      <c r="H492" s="46"/>
      <c r="I492" s="37"/>
      <c r="J492" s="37"/>
    </row>
    <row r="493" spans="1:26" ht="15.75" customHeight="1">
      <c r="A493" s="37" t="s">
        <v>658</v>
      </c>
      <c r="B493" s="38" t="s">
        <v>659</v>
      </c>
      <c r="C493" s="39">
        <v>43584</v>
      </c>
      <c r="D493" s="39">
        <v>43599</v>
      </c>
      <c r="E493" s="46">
        <f>D493-C493</f>
        <v>15</v>
      </c>
      <c r="F493" s="45" t="s">
        <v>637</v>
      </c>
      <c r="G493" s="46"/>
      <c r="H493" s="46"/>
      <c r="I493" s="37"/>
      <c r="J493" s="37"/>
    </row>
    <row r="494" spans="1:26" ht="15.75" customHeight="1">
      <c r="A494" s="57" t="s">
        <v>712</v>
      </c>
      <c r="B494" s="58" t="s">
        <v>713</v>
      </c>
      <c r="C494" s="39">
        <v>43630</v>
      </c>
      <c r="D494" s="39">
        <v>43645</v>
      </c>
      <c r="E494" s="46">
        <f>D494-C494</f>
        <v>15</v>
      </c>
      <c r="F494" s="45" t="s">
        <v>714</v>
      </c>
      <c r="G494" s="46"/>
      <c r="H494" s="46"/>
      <c r="I494" s="37"/>
      <c r="J494" s="37"/>
    </row>
    <row r="495" spans="1:26" ht="15.75" customHeight="1">
      <c r="A495" s="37" t="s">
        <v>814</v>
      </c>
      <c r="B495" s="51" t="s">
        <v>815</v>
      </c>
      <c r="C495" s="39">
        <v>43712</v>
      </c>
      <c r="D495" s="39">
        <v>43727</v>
      </c>
      <c r="E495" s="48">
        <f>D495-C495</f>
        <v>15</v>
      </c>
      <c r="F495" s="48" t="s">
        <v>816</v>
      </c>
      <c r="G495" s="45" t="s">
        <v>43</v>
      </c>
      <c r="H495" s="55" t="s">
        <v>817</v>
      </c>
      <c r="I495" s="56"/>
      <c r="J495" s="56"/>
    </row>
    <row r="496" spans="1:26" ht="15.75" customHeight="1">
      <c r="A496" s="37" t="s">
        <v>818</v>
      </c>
      <c r="B496" s="51" t="s">
        <v>819</v>
      </c>
      <c r="C496" s="39">
        <v>43713</v>
      </c>
      <c r="D496" s="39">
        <v>43728</v>
      </c>
      <c r="E496" s="46">
        <f>D496-C496</f>
        <v>15</v>
      </c>
      <c r="F496" s="43" t="s">
        <v>820</v>
      </c>
      <c r="G496" s="44"/>
      <c r="H496" s="44"/>
      <c r="I496" s="1"/>
      <c r="J496" s="1"/>
    </row>
    <row r="497" spans="1:26" ht="15.75" customHeight="1">
      <c r="A497" s="57" t="s">
        <v>2837</v>
      </c>
      <c r="B497" s="51" t="s">
        <v>850</v>
      </c>
      <c r="C497" s="39">
        <v>43726</v>
      </c>
      <c r="D497" s="39">
        <v>43741</v>
      </c>
      <c r="E497" s="46">
        <f>D497-C497</f>
        <v>15</v>
      </c>
      <c r="F497" s="45" t="s">
        <v>813</v>
      </c>
      <c r="G497" s="45" t="s">
        <v>512</v>
      </c>
      <c r="H497" s="46"/>
      <c r="I497" s="37"/>
      <c r="J497" s="37"/>
    </row>
    <row r="498" spans="1:26" ht="15.75" customHeight="1">
      <c r="A498" s="37" t="s">
        <v>863</v>
      </c>
      <c r="B498" s="51" t="s">
        <v>864</v>
      </c>
      <c r="C498" s="39">
        <v>43731</v>
      </c>
      <c r="D498" s="39">
        <v>43746</v>
      </c>
      <c r="E498" s="46">
        <f>D498-C498</f>
        <v>15</v>
      </c>
      <c r="F498" s="48" t="s">
        <v>641</v>
      </c>
      <c r="G498" s="46"/>
      <c r="H498" s="46"/>
      <c r="I498" s="37"/>
      <c r="J498" s="37"/>
    </row>
    <row r="499" spans="1:26" ht="15.75" customHeight="1">
      <c r="A499" s="42" t="s">
        <v>891</v>
      </c>
      <c r="B499" s="38" t="s">
        <v>892</v>
      </c>
      <c r="C499" s="39">
        <v>43758</v>
      </c>
      <c r="D499" s="39">
        <v>43773</v>
      </c>
      <c r="E499" s="46">
        <f>D499-C499</f>
        <v>15</v>
      </c>
      <c r="F499" s="46" t="s">
        <v>893</v>
      </c>
      <c r="G499" s="45" t="s">
        <v>33</v>
      </c>
      <c r="H499" s="44"/>
      <c r="I499" s="1"/>
      <c r="J499" s="1"/>
    </row>
    <row r="500" spans="1:26" ht="15.75" customHeight="1">
      <c r="A500" s="65" t="s">
        <v>935</v>
      </c>
      <c r="B500" s="38" t="s">
        <v>936</v>
      </c>
      <c r="C500" s="39">
        <v>43796</v>
      </c>
      <c r="D500" s="39">
        <v>43811</v>
      </c>
      <c r="E500" s="46">
        <f>D500-C500</f>
        <v>15</v>
      </c>
      <c r="F500" s="43" t="s">
        <v>734</v>
      </c>
      <c r="G500" s="46"/>
      <c r="H500" s="46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42" t="s">
        <v>668</v>
      </c>
      <c r="B501" s="42" t="s">
        <v>669</v>
      </c>
      <c r="C501" s="39">
        <v>43808</v>
      </c>
      <c r="D501" s="39">
        <v>43823</v>
      </c>
      <c r="E501" s="46">
        <f>D501-C501</f>
        <v>15</v>
      </c>
      <c r="F501" s="43" t="s">
        <v>0</v>
      </c>
      <c r="G501" s="45" t="s">
        <v>33</v>
      </c>
      <c r="H501" s="46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8" t="s">
        <v>920</v>
      </c>
      <c r="B502" s="38" t="s">
        <v>920</v>
      </c>
      <c r="C502" s="39">
        <v>43921</v>
      </c>
      <c r="D502" s="40">
        <v>43936</v>
      </c>
      <c r="E502" s="48">
        <f>D502-C502</f>
        <v>15</v>
      </c>
      <c r="F502" s="43" t="s">
        <v>0</v>
      </c>
      <c r="G502" s="46"/>
      <c r="H502" s="46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7" t="s">
        <v>1155</v>
      </c>
      <c r="B503" s="42" t="s">
        <v>1156</v>
      </c>
      <c r="C503" s="39">
        <v>43924</v>
      </c>
      <c r="D503" s="40">
        <v>43939</v>
      </c>
      <c r="E503" s="48">
        <f>D503-C503</f>
        <v>15</v>
      </c>
      <c r="F503" s="43" t="s">
        <v>25</v>
      </c>
      <c r="G503" s="46"/>
      <c r="H503" s="46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42" t="s">
        <v>554</v>
      </c>
      <c r="B504" s="38" t="s">
        <v>555</v>
      </c>
      <c r="C504" s="39">
        <v>43526</v>
      </c>
      <c r="D504" s="39">
        <v>43540</v>
      </c>
      <c r="E504" s="46">
        <f>D504-C504</f>
        <v>14</v>
      </c>
      <c r="F504" s="43" t="s">
        <v>556</v>
      </c>
      <c r="G504" s="46"/>
      <c r="H504" s="46"/>
      <c r="I504" s="37"/>
      <c r="J504" s="37"/>
    </row>
    <row r="505" spans="1:26" ht="15.75" customHeight="1">
      <c r="A505" s="42" t="s">
        <v>642</v>
      </c>
      <c r="B505" s="38" t="s">
        <v>643</v>
      </c>
      <c r="C505" s="39">
        <v>43577</v>
      </c>
      <c r="D505" s="39">
        <v>43591</v>
      </c>
      <c r="E505" s="46">
        <f>D505-C505</f>
        <v>14</v>
      </c>
      <c r="F505" s="43" t="s">
        <v>0</v>
      </c>
      <c r="G505" s="45" t="s">
        <v>644</v>
      </c>
      <c r="H505" s="46"/>
      <c r="I505" s="37"/>
      <c r="J505" s="37"/>
    </row>
    <row r="506" spans="1:26" ht="15.75" customHeight="1">
      <c r="A506" s="37" t="s">
        <v>1038</v>
      </c>
      <c r="B506" s="42" t="s">
        <v>1039</v>
      </c>
      <c r="C506" s="39">
        <v>43871</v>
      </c>
      <c r="D506" s="40">
        <v>43885</v>
      </c>
      <c r="E506" s="46">
        <f>D506-C506</f>
        <v>14</v>
      </c>
      <c r="F506" s="43" t="s">
        <v>1017</v>
      </c>
      <c r="G506" s="46"/>
      <c r="H506" s="46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42" t="s">
        <v>1228</v>
      </c>
      <c r="B507" s="42" t="s">
        <v>1229</v>
      </c>
      <c r="C507" s="39">
        <v>43951</v>
      </c>
      <c r="D507" s="40">
        <v>43965</v>
      </c>
      <c r="E507" s="48">
        <f>D507-C507</f>
        <v>14</v>
      </c>
      <c r="F507" s="48" t="s">
        <v>174</v>
      </c>
      <c r="G507" s="45" t="s">
        <v>1058</v>
      </c>
      <c r="H507" s="46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42" t="s">
        <v>393</v>
      </c>
      <c r="B508" s="38" t="s">
        <v>394</v>
      </c>
      <c r="C508" s="39">
        <v>43345</v>
      </c>
      <c r="D508" s="40">
        <v>43358</v>
      </c>
      <c r="E508" s="48">
        <f>D508-C508</f>
        <v>13</v>
      </c>
      <c r="F508" s="45" t="s">
        <v>312</v>
      </c>
      <c r="G508" s="44"/>
      <c r="H508" s="44"/>
      <c r="I508" s="1"/>
      <c r="J508" s="1"/>
    </row>
    <row r="509" spans="1:26" ht="15.75" customHeight="1">
      <c r="A509" s="42" t="s">
        <v>2829</v>
      </c>
      <c r="B509" s="38" t="s">
        <v>442</v>
      </c>
      <c r="C509" s="39">
        <v>43402</v>
      </c>
      <c r="D509" s="39">
        <v>43415</v>
      </c>
      <c r="E509" s="48">
        <f>D509-C509</f>
        <v>13</v>
      </c>
      <c r="F509" s="48"/>
      <c r="G509" s="44"/>
      <c r="H509" s="44"/>
      <c r="I509" s="1"/>
      <c r="J509" s="1"/>
    </row>
    <row r="510" spans="1:26" ht="15.75" customHeight="1">
      <c r="A510" s="37" t="s">
        <v>401</v>
      </c>
      <c r="B510" s="38" t="s">
        <v>402</v>
      </c>
      <c r="C510" s="39">
        <v>43408</v>
      </c>
      <c r="D510" s="39">
        <v>43421</v>
      </c>
      <c r="E510" s="48">
        <f>D510-C510</f>
        <v>13</v>
      </c>
      <c r="F510" s="43" t="s">
        <v>445</v>
      </c>
      <c r="G510" s="37"/>
      <c r="H510" s="44"/>
      <c r="I510" s="1"/>
      <c r="J510" s="1"/>
    </row>
    <row r="511" spans="1:26" ht="15.75" customHeight="1">
      <c r="A511" s="37" t="s">
        <v>768</v>
      </c>
      <c r="B511" s="38" t="s">
        <v>769</v>
      </c>
      <c r="C511" s="39">
        <v>43682</v>
      </c>
      <c r="D511" s="39">
        <v>43695</v>
      </c>
      <c r="E511" s="46">
        <f>D511-C511</f>
        <v>13</v>
      </c>
      <c r="F511" s="48" t="s">
        <v>770</v>
      </c>
      <c r="G511" s="46"/>
      <c r="H511" s="46"/>
      <c r="I511" s="37"/>
      <c r="J511" s="37"/>
    </row>
    <row r="512" spans="1:26" ht="15.75" customHeight="1">
      <c r="A512" s="37" t="s">
        <v>835</v>
      </c>
      <c r="B512" s="51" t="s">
        <v>836</v>
      </c>
      <c r="C512" s="39">
        <v>43722</v>
      </c>
      <c r="D512" s="39">
        <v>43735</v>
      </c>
      <c r="E512" s="46">
        <f>D512-C512</f>
        <v>13</v>
      </c>
      <c r="F512" s="48" t="s">
        <v>816</v>
      </c>
      <c r="G512" s="46"/>
      <c r="H512" s="46"/>
      <c r="I512" s="37"/>
      <c r="J512" s="37"/>
    </row>
    <row r="513" spans="1:26" ht="15.75" customHeight="1">
      <c r="A513" s="65" t="s">
        <v>909</v>
      </c>
      <c r="B513" s="38" t="s">
        <v>910</v>
      </c>
      <c r="C513" s="39">
        <v>43779</v>
      </c>
      <c r="D513" s="39">
        <v>43792</v>
      </c>
      <c r="E513" s="46">
        <f>D513-C513</f>
        <v>13</v>
      </c>
      <c r="F513" s="43" t="s">
        <v>0</v>
      </c>
      <c r="G513" s="46"/>
      <c r="H513" s="46"/>
      <c r="I513" s="37"/>
      <c r="J513" s="37"/>
    </row>
    <row r="514" spans="1:26" ht="15.75" customHeight="1">
      <c r="A514" s="42" t="s">
        <v>1015</v>
      </c>
      <c r="B514" s="42" t="s">
        <v>1016</v>
      </c>
      <c r="C514" s="39">
        <v>43863</v>
      </c>
      <c r="D514" s="40">
        <v>43876</v>
      </c>
      <c r="E514" s="48">
        <f>D514-C514</f>
        <v>13</v>
      </c>
      <c r="F514" s="43" t="s">
        <v>1017</v>
      </c>
      <c r="G514" s="44"/>
      <c r="H514" s="44"/>
    </row>
    <row r="515" spans="1:26" ht="15.75" customHeight="1">
      <c r="A515" s="37" t="s">
        <v>1025</v>
      </c>
      <c r="B515" s="42" t="s">
        <v>1026</v>
      </c>
      <c r="C515" s="39">
        <v>43870</v>
      </c>
      <c r="D515" s="40">
        <v>43883</v>
      </c>
      <c r="E515" s="48">
        <f>D515-C515</f>
        <v>13</v>
      </c>
      <c r="F515" s="48" t="s">
        <v>1027</v>
      </c>
      <c r="G515" s="46"/>
      <c r="H515" s="46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42" t="s">
        <v>1385</v>
      </c>
      <c r="B516" s="42" t="s">
        <v>1386</v>
      </c>
      <c r="C516" s="39">
        <v>44078</v>
      </c>
      <c r="D516" s="40">
        <v>44091</v>
      </c>
      <c r="E516" s="48">
        <f>D516-C516</f>
        <v>13</v>
      </c>
      <c r="F516" s="43" t="s">
        <v>0</v>
      </c>
      <c r="G516" s="45" t="s">
        <v>182</v>
      </c>
      <c r="H516" s="46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42" t="s">
        <v>479</v>
      </c>
      <c r="B517" s="38" t="s">
        <v>480</v>
      </c>
      <c r="C517" s="39">
        <v>43464</v>
      </c>
      <c r="D517" s="39">
        <v>43476</v>
      </c>
      <c r="E517" s="46">
        <f>D517-C517</f>
        <v>12</v>
      </c>
      <c r="F517" s="45" t="s">
        <v>481</v>
      </c>
      <c r="G517" s="37"/>
      <c r="H517" s="46"/>
      <c r="I517" s="37"/>
      <c r="J517" s="37"/>
    </row>
    <row r="518" spans="1:26" ht="15.75" customHeight="1">
      <c r="A518" s="37" t="s">
        <v>391</v>
      </c>
      <c r="B518" s="38" t="s">
        <v>392</v>
      </c>
      <c r="C518" s="39">
        <v>43345</v>
      </c>
      <c r="D518" s="40">
        <v>43356</v>
      </c>
      <c r="E518" s="48">
        <f>D518-C518</f>
        <v>11</v>
      </c>
      <c r="F518" s="44"/>
      <c r="G518" s="44"/>
      <c r="H518" s="44"/>
      <c r="I518" s="1"/>
      <c r="J518" s="1"/>
    </row>
    <row r="519" spans="1:26" ht="15.75" customHeight="1">
      <c r="A519" s="37" t="s">
        <v>587</v>
      </c>
      <c r="B519" s="38" t="s">
        <v>588</v>
      </c>
      <c r="C519" s="39">
        <v>43573</v>
      </c>
      <c r="D519" s="39">
        <v>43584</v>
      </c>
      <c r="E519" s="46">
        <f>D519-C519</f>
        <v>11</v>
      </c>
      <c r="F519" s="43" t="s">
        <v>0</v>
      </c>
      <c r="G519" s="45" t="s">
        <v>33</v>
      </c>
      <c r="H519" s="46"/>
      <c r="I519" s="37"/>
      <c r="J519" s="37"/>
    </row>
    <row r="520" spans="1:26" ht="15.75" customHeight="1">
      <c r="A520" s="37" t="s">
        <v>1439</v>
      </c>
      <c r="B520" s="42" t="s">
        <v>1440</v>
      </c>
      <c r="C520" s="39">
        <v>44124</v>
      </c>
      <c r="D520" s="39">
        <v>44135</v>
      </c>
      <c r="E520" s="48">
        <f>D520-C520</f>
        <v>11</v>
      </c>
      <c r="F520" s="43" t="s">
        <v>0</v>
      </c>
      <c r="G520" s="46"/>
      <c r="H520" s="46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42" t="s">
        <v>409</v>
      </c>
      <c r="B521" s="38" t="s">
        <v>410</v>
      </c>
      <c r="C521" s="39">
        <v>43369</v>
      </c>
      <c r="D521" s="40">
        <v>43379</v>
      </c>
      <c r="E521" s="48">
        <f>D521-C521</f>
        <v>10</v>
      </c>
      <c r="F521" s="44"/>
      <c r="G521" s="44"/>
      <c r="H521" s="44"/>
      <c r="I521" s="1"/>
      <c r="J521" s="1"/>
    </row>
    <row r="522" spans="1:26" ht="15.75" customHeight="1">
      <c r="A522" s="37" t="s">
        <v>879</v>
      </c>
      <c r="B522" s="38" t="s">
        <v>880</v>
      </c>
      <c r="C522" s="39">
        <v>43761</v>
      </c>
      <c r="D522" s="39">
        <v>43771</v>
      </c>
      <c r="E522" s="46">
        <f>D522-C522</f>
        <v>10</v>
      </c>
      <c r="F522" s="63" t="s">
        <v>881</v>
      </c>
      <c r="G522" s="46"/>
      <c r="H522" s="46"/>
      <c r="I522" s="37"/>
      <c r="J522" s="37"/>
    </row>
    <row r="523" spans="1:26" ht="15.75" customHeight="1">
      <c r="A523" s="42" t="s">
        <v>1110</v>
      </c>
      <c r="B523" s="42" t="s">
        <v>1111</v>
      </c>
      <c r="C523" s="39">
        <v>43915</v>
      </c>
      <c r="D523" s="39">
        <v>43925</v>
      </c>
      <c r="E523" s="46">
        <f>D523-C523</f>
        <v>10</v>
      </c>
      <c r="F523" s="43" t="s">
        <v>0</v>
      </c>
      <c r="G523" s="44"/>
      <c r="H523" s="44"/>
      <c r="J523" s="3" t="s">
        <v>1112</v>
      </c>
    </row>
    <row r="524" spans="1:26" ht="15.75" customHeight="1">
      <c r="A524" s="37" t="s">
        <v>401</v>
      </c>
      <c r="B524" s="38" t="s">
        <v>402</v>
      </c>
      <c r="C524" s="39">
        <v>43358</v>
      </c>
      <c r="D524" s="40">
        <v>43367</v>
      </c>
      <c r="E524" s="48">
        <f>D524-C524</f>
        <v>9</v>
      </c>
      <c r="F524" s="44"/>
      <c r="G524" s="44"/>
      <c r="H524" s="44"/>
      <c r="I524" s="1"/>
      <c r="J524" s="1"/>
    </row>
    <row r="525" spans="1:26" ht="15.75" customHeight="1">
      <c r="A525" s="37" t="s">
        <v>1099</v>
      </c>
      <c r="B525" s="42" t="s">
        <v>1100</v>
      </c>
      <c r="C525" s="39">
        <v>43911</v>
      </c>
      <c r="D525" s="40">
        <v>43920</v>
      </c>
      <c r="E525" s="48">
        <f>D525-C525</f>
        <v>9</v>
      </c>
      <c r="F525" s="43" t="s">
        <v>810</v>
      </c>
      <c r="G525" s="46"/>
      <c r="H525" s="46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42" t="s">
        <v>1199</v>
      </c>
      <c r="B526" s="42" t="s">
        <v>1200</v>
      </c>
      <c r="C526" s="39">
        <v>43944</v>
      </c>
      <c r="D526" s="40">
        <v>43953</v>
      </c>
      <c r="E526" s="48">
        <f>D526-C526</f>
        <v>9</v>
      </c>
      <c r="F526" s="48" t="s">
        <v>174</v>
      </c>
      <c r="G526" s="46"/>
      <c r="H526" s="46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42" t="s">
        <v>2820</v>
      </c>
      <c r="B527" s="38" t="s">
        <v>387</v>
      </c>
      <c r="C527" s="39">
        <v>43345</v>
      </c>
      <c r="D527" s="40">
        <v>43353</v>
      </c>
      <c r="E527" s="48">
        <f>D527-C527</f>
        <v>8</v>
      </c>
      <c r="F527" s="44"/>
      <c r="G527" s="44"/>
      <c r="H527" s="44"/>
      <c r="I527" s="1"/>
      <c r="J527" s="1"/>
    </row>
    <row r="528" spans="1:26" ht="15.75" customHeight="1">
      <c r="A528" s="37" t="s">
        <v>399</v>
      </c>
      <c r="B528" s="38" t="s">
        <v>400</v>
      </c>
      <c r="C528" s="39">
        <v>43359</v>
      </c>
      <c r="D528" s="40">
        <v>43367</v>
      </c>
      <c r="E528" s="48">
        <f>D528-C528</f>
        <v>8</v>
      </c>
      <c r="F528" s="44"/>
      <c r="G528" s="44"/>
      <c r="H528" s="44"/>
      <c r="I528" s="1"/>
      <c r="J528" s="1"/>
    </row>
    <row r="529" spans="1:26" ht="17.25" customHeight="1">
      <c r="A529" s="37" t="s">
        <v>1122</v>
      </c>
      <c r="B529" s="42" t="s">
        <v>1123</v>
      </c>
      <c r="C529" s="39">
        <v>43918</v>
      </c>
      <c r="D529" s="40">
        <v>43926</v>
      </c>
      <c r="E529" s="48">
        <f>D529-C529</f>
        <v>8</v>
      </c>
      <c r="F529" s="43" t="s">
        <v>923</v>
      </c>
      <c r="G529" s="46"/>
      <c r="H529" s="46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7" t="s">
        <v>1238</v>
      </c>
      <c r="B530" s="42" t="s">
        <v>1239</v>
      </c>
      <c r="C530" s="39">
        <v>43967</v>
      </c>
      <c r="D530" s="40">
        <v>43975</v>
      </c>
      <c r="E530" s="48">
        <f>D530-C530</f>
        <v>8</v>
      </c>
      <c r="F530" s="43" t="s">
        <v>0</v>
      </c>
      <c r="G530" s="46"/>
      <c r="H530" s="46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7" t="s">
        <v>384</v>
      </c>
      <c r="B531" s="38" t="s">
        <v>385</v>
      </c>
      <c r="C531" s="39">
        <v>43346</v>
      </c>
      <c r="D531" s="40">
        <v>43353</v>
      </c>
      <c r="E531" s="48">
        <f>D531-C531</f>
        <v>7</v>
      </c>
      <c r="F531" s="44"/>
      <c r="G531" s="44"/>
      <c r="H531" s="44"/>
      <c r="I531" s="1"/>
      <c r="J531" s="1"/>
    </row>
    <row r="532" spans="1:26" ht="15.75" customHeight="1">
      <c r="A532" s="42" t="s">
        <v>465</v>
      </c>
      <c r="B532" s="38" t="s">
        <v>465</v>
      </c>
      <c r="C532" s="39">
        <v>43443</v>
      </c>
      <c r="D532" s="39">
        <v>43450</v>
      </c>
      <c r="E532" s="48">
        <f>D532-C532</f>
        <v>7</v>
      </c>
      <c r="F532" s="45" t="s">
        <v>466</v>
      </c>
      <c r="G532" s="45" t="s">
        <v>280</v>
      </c>
      <c r="H532" s="44"/>
      <c r="I532" s="1"/>
      <c r="J532" s="1"/>
    </row>
    <row r="533" spans="1:26" ht="15.75" customHeight="1">
      <c r="A533" s="37" t="s">
        <v>578</v>
      </c>
      <c r="B533" s="38" t="s">
        <v>579</v>
      </c>
      <c r="C533" s="39">
        <v>43544</v>
      </c>
      <c r="D533" s="40">
        <v>43551</v>
      </c>
      <c r="E533" s="46">
        <f>D533-C533</f>
        <v>7</v>
      </c>
      <c r="F533" s="43" t="s">
        <v>0</v>
      </c>
      <c r="G533" s="46"/>
      <c r="H533" s="46"/>
      <c r="I533" s="37"/>
      <c r="J533" s="37"/>
    </row>
    <row r="534" spans="1:26" ht="15.75" customHeight="1">
      <c r="A534" s="37" t="s">
        <v>766</v>
      </c>
      <c r="B534" s="38" t="s">
        <v>767</v>
      </c>
      <c r="C534" s="39">
        <v>43688</v>
      </c>
      <c r="D534" s="39">
        <v>43695</v>
      </c>
      <c r="E534" s="46">
        <f>D534-C534</f>
        <v>7</v>
      </c>
      <c r="F534" s="43" t="s">
        <v>54</v>
      </c>
      <c r="G534" s="46"/>
      <c r="H534" s="46"/>
      <c r="I534" s="37"/>
      <c r="J534" s="37"/>
    </row>
    <row r="535" spans="1:26" ht="15.75" customHeight="1">
      <c r="A535" s="65" t="s">
        <v>937</v>
      </c>
      <c r="B535" s="38" t="s">
        <v>938</v>
      </c>
      <c r="C535" s="39">
        <v>43806</v>
      </c>
      <c r="D535" s="39">
        <v>43813</v>
      </c>
      <c r="E535" s="46">
        <f>D535-C535</f>
        <v>7</v>
      </c>
      <c r="F535" s="43" t="s">
        <v>939</v>
      </c>
      <c r="G535" s="37"/>
      <c r="H535" s="45" t="s">
        <v>940</v>
      </c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57" t="s">
        <v>758</v>
      </c>
      <c r="B536" s="52" t="s">
        <v>962</v>
      </c>
      <c r="C536" s="39">
        <v>43962</v>
      </c>
      <c r="D536" s="40">
        <v>43969</v>
      </c>
      <c r="E536" s="46">
        <f>D536-C536</f>
        <v>7</v>
      </c>
      <c r="F536" s="43" t="s">
        <v>0</v>
      </c>
      <c r="G536" s="46"/>
      <c r="H536" s="46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42" t="s">
        <v>395</v>
      </c>
      <c r="B537" s="38" t="s">
        <v>396</v>
      </c>
      <c r="C537" s="39">
        <v>43354</v>
      </c>
      <c r="D537" s="40">
        <v>43360</v>
      </c>
      <c r="E537" s="48">
        <f>D537-C537</f>
        <v>6</v>
      </c>
      <c r="F537" s="48"/>
      <c r="G537" s="46"/>
      <c r="H537" s="46"/>
      <c r="I537" s="37"/>
      <c r="J537" s="37"/>
    </row>
    <row r="538" spans="1:26" ht="15.75" customHeight="1">
      <c r="A538" s="42" t="s">
        <v>1445</v>
      </c>
      <c r="B538" s="42" t="s">
        <v>1446</v>
      </c>
      <c r="C538" s="39">
        <v>44131</v>
      </c>
      <c r="D538" s="40">
        <v>44137</v>
      </c>
      <c r="E538" s="48">
        <f>D538-C538</f>
        <v>6</v>
      </c>
      <c r="F538" s="43" t="s">
        <v>0</v>
      </c>
      <c r="G538" s="45" t="s">
        <v>487</v>
      </c>
      <c r="H538" s="46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42" t="s">
        <v>379</v>
      </c>
      <c r="B539" s="38" t="s">
        <v>380</v>
      </c>
      <c r="C539" s="39">
        <v>43345</v>
      </c>
      <c r="D539" s="40">
        <v>43350</v>
      </c>
      <c r="E539" s="48">
        <f>D539-C539</f>
        <v>5</v>
      </c>
      <c r="F539" s="44"/>
      <c r="G539" s="44"/>
      <c r="H539" s="44"/>
      <c r="I539" s="1"/>
      <c r="J539" s="1"/>
    </row>
    <row r="540" spans="1:26" ht="15.75" customHeight="1">
      <c r="A540" s="42" t="s">
        <v>388</v>
      </c>
      <c r="B540" s="38" t="s">
        <v>389</v>
      </c>
      <c r="C540" s="39">
        <v>43349</v>
      </c>
      <c r="D540" s="40">
        <v>43354</v>
      </c>
      <c r="E540" s="48">
        <f>D540-C540</f>
        <v>5</v>
      </c>
      <c r="F540" s="44"/>
      <c r="G540" s="44"/>
      <c r="H540" s="44"/>
      <c r="I540" s="1"/>
      <c r="J540" s="1"/>
    </row>
    <row r="541" spans="1:26" ht="15.75" customHeight="1">
      <c r="A541" s="37" t="s">
        <v>397</v>
      </c>
      <c r="B541" s="38" t="s">
        <v>398</v>
      </c>
      <c r="C541" s="39">
        <v>43359</v>
      </c>
      <c r="D541" s="40">
        <v>43364</v>
      </c>
      <c r="E541" s="48">
        <f>D541-C541</f>
        <v>5</v>
      </c>
      <c r="F541" s="44"/>
      <c r="G541" s="44"/>
      <c r="H541" s="44"/>
      <c r="I541" s="1"/>
      <c r="J541" s="1"/>
    </row>
    <row r="542" spans="1:26" ht="15.75" customHeight="1">
      <c r="A542" s="37" t="s">
        <v>416</v>
      </c>
      <c r="B542" s="38" t="s">
        <v>417</v>
      </c>
      <c r="C542" s="39">
        <v>43379</v>
      </c>
      <c r="D542" s="40">
        <v>43384</v>
      </c>
      <c r="E542" s="48">
        <f>D542-C542</f>
        <v>5</v>
      </c>
      <c r="F542" s="44"/>
      <c r="G542" s="44"/>
      <c r="H542" s="44"/>
      <c r="I542" s="1"/>
      <c r="J542" s="1"/>
    </row>
    <row r="543" spans="1:26" ht="15.75" customHeight="1">
      <c r="A543" s="37" t="s">
        <v>541</v>
      </c>
      <c r="B543" s="38" t="s">
        <v>542</v>
      </c>
      <c r="C543" s="39">
        <v>43527</v>
      </c>
      <c r="D543" s="39">
        <v>43532</v>
      </c>
      <c r="E543" s="46">
        <f>D543-C543</f>
        <v>5</v>
      </c>
      <c r="F543" s="48" t="s">
        <v>534</v>
      </c>
      <c r="G543" s="45" t="s">
        <v>1</v>
      </c>
      <c r="H543" s="46"/>
      <c r="I543" s="37"/>
      <c r="J543" s="37"/>
    </row>
    <row r="544" spans="1:26" ht="15.75" customHeight="1">
      <c r="A544" s="37" t="s">
        <v>654</v>
      </c>
      <c r="B544" s="38" t="s">
        <v>655</v>
      </c>
      <c r="C544" s="39">
        <v>43605</v>
      </c>
      <c r="D544" s="39">
        <v>43610</v>
      </c>
      <c r="E544" s="46">
        <f>D544-C544</f>
        <v>5</v>
      </c>
      <c r="F544" s="43" t="s">
        <v>0</v>
      </c>
      <c r="G544" s="45" t="s">
        <v>106</v>
      </c>
      <c r="H544" s="44"/>
    </row>
    <row r="545" spans="1:26" ht="15.75" customHeight="1">
      <c r="A545" s="57" t="s">
        <v>823</v>
      </c>
      <c r="B545" s="51" t="s">
        <v>824</v>
      </c>
      <c r="C545" s="39">
        <v>43725</v>
      </c>
      <c r="D545" s="39">
        <v>43730</v>
      </c>
      <c r="E545" s="46">
        <f>D545-C545</f>
        <v>5</v>
      </c>
      <c r="F545" s="43" t="s">
        <v>825</v>
      </c>
      <c r="G545" s="45" t="s">
        <v>826</v>
      </c>
      <c r="H545" s="46"/>
      <c r="I545" s="37"/>
      <c r="J545" s="37"/>
    </row>
    <row r="546" spans="1:26" ht="15.75" customHeight="1">
      <c r="A546" s="37" t="s">
        <v>865</v>
      </c>
      <c r="B546" s="51" t="s">
        <v>866</v>
      </c>
      <c r="C546" s="39">
        <v>43745</v>
      </c>
      <c r="D546" s="39">
        <v>43750</v>
      </c>
      <c r="E546" s="46">
        <f>D546-C546</f>
        <v>5</v>
      </c>
      <c r="F546" s="43" t="s">
        <v>0</v>
      </c>
      <c r="G546" s="46"/>
      <c r="H546" s="46"/>
      <c r="I546" s="37"/>
      <c r="J546" s="37"/>
    </row>
    <row r="547" spans="1:26" ht="15.75" customHeight="1">
      <c r="A547" s="37" t="s">
        <v>899</v>
      </c>
      <c r="B547" s="38" t="s">
        <v>900</v>
      </c>
      <c r="C547" s="39">
        <v>43780</v>
      </c>
      <c r="D547" s="39">
        <v>43785</v>
      </c>
      <c r="E547" s="46">
        <f>D547-C547</f>
        <v>5</v>
      </c>
      <c r="F547" s="43" t="s">
        <v>689</v>
      </c>
      <c r="G547" s="44"/>
      <c r="H547" s="44"/>
      <c r="I547" s="1"/>
      <c r="J547" s="1"/>
    </row>
    <row r="548" spans="1:26" ht="15.75" customHeight="1">
      <c r="A548" s="42" t="s">
        <v>1052</v>
      </c>
      <c r="B548" s="42" t="s">
        <v>1053</v>
      </c>
      <c r="C548" s="39">
        <v>43886</v>
      </c>
      <c r="D548" s="40">
        <v>43891</v>
      </c>
      <c r="E548" s="48">
        <f>D548-C548</f>
        <v>5</v>
      </c>
      <c r="F548" s="43" t="s">
        <v>0</v>
      </c>
      <c r="G548" s="46"/>
      <c r="H548" s="46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7" t="s">
        <v>382</v>
      </c>
      <c r="B549" s="38" t="s">
        <v>383</v>
      </c>
      <c r="C549" s="39">
        <v>43349</v>
      </c>
      <c r="D549" s="40">
        <v>43353</v>
      </c>
      <c r="E549" s="48">
        <f>D549-C549</f>
        <v>4</v>
      </c>
      <c r="F549" s="44"/>
      <c r="G549" s="44"/>
      <c r="H549" s="44"/>
      <c r="I549" s="1"/>
      <c r="J549" s="1"/>
    </row>
    <row r="550" spans="1:26" ht="15.75" customHeight="1">
      <c r="A550" s="37" t="s">
        <v>390</v>
      </c>
      <c r="B550" s="38" t="s">
        <v>377</v>
      </c>
      <c r="C550" s="39">
        <v>43352</v>
      </c>
      <c r="D550" s="40">
        <v>43356</v>
      </c>
      <c r="E550" s="48">
        <f>D550-C550</f>
        <v>4</v>
      </c>
      <c r="F550" s="44"/>
      <c r="G550" s="44"/>
      <c r="H550" s="44"/>
      <c r="I550" s="1"/>
      <c r="J550" s="1"/>
    </row>
    <row r="551" spans="1:26" ht="15.75" customHeight="1">
      <c r="A551" s="37" t="s">
        <v>405</v>
      </c>
      <c r="B551" s="38" t="s">
        <v>406</v>
      </c>
      <c r="C551" s="39">
        <v>43365</v>
      </c>
      <c r="D551" s="40">
        <v>43369</v>
      </c>
      <c r="E551" s="48">
        <f>D551-C551</f>
        <v>4</v>
      </c>
      <c r="F551" s="44"/>
      <c r="G551" s="44"/>
      <c r="H551" s="44"/>
      <c r="I551" s="1"/>
      <c r="J551" s="1"/>
    </row>
    <row r="552" spans="1:26" ht="15.75" customHeight="1">
      <c r="A552" s="42" t="s">
        <v>407</v>
      </c>
      <c r="B552" s="38" t="s">
        <v>408</v>
      </c>
      <c r="C552" s="39">
        <v>43375</v>
      </c>
      <c r="D552" s="40">
        <v>43379</v>
      </c>
      <c r="E552" s="48">
        <f>D552-C552</f>
        <v>4</v>
      </c>
      <c r="F552" s="44"/>
      <c r="G552" s="44"/>
      <c r="H552" s="44"/>
      <c r="I552" s="1"/>
      <c r="J552" s="1"/>
    </row>
    <row r="553" spans="1:26">
      <c r="A553" s="42" t="s">
        <v>2826</v>
      </c>
      <c r="B553" s="38" t="s">
        <v>415</v>
      </c>
      <c r="C553" s="39">
        <v>43379</v>
      </c>
      <c r="D553" s="40">
        <v>43383</v>
      </c>
      <c r="E553" s="48">
        <f>D553-C553</f>
        <v>4</v>
      </c>
      <c r="F553" s="44"/>
      <c r="G553" s="44"/>
      <c r="H553" s="44"/>
      <c r="I553" s="1"/>
      <c r="J553" s="1"/>
    </row>
    <row r="554" spans="1:26" s="77" customFormat="1" ht="15.75" customHeight="1">
      <c r="A554" s="42" t="s">
        <v>491</v>
      </c>
      <c r="B554" s="38" t="s">
        <v>492</v>
      </c>
      <c r="C554" s="39">
        <v>43493</v>
      </c>
      <c r="D554" s="39">
        <v>43497</v>
      </c>
      <c r="E554" s="46">
        <f>D554-C554</f>
        <v>4</v>
      </c>
      <c r="F554" s="45" t="s">
        <v>2854</v>
      </c>
      <c r="G554" s="46"/>
      <c r="H554" s="46"/>
      <c r="I554" s="37"/>
      <c r="J554" s="37"/>
    </row>
    <row r="555" spans="1:26" s="77" customFormat="1" ht="15.75" customHeight="1">
      <c r="A555" s="37" t="s">
        <v>574</v>
      </c>
      <c r="B555" s="38" t="s">
        <v>575</v>
      </c>
      <c r="C555" s="39">
        <v>43544</v>
      </c>
      <c r="D555" s="40">
        <v>43548</v>
      </c>
      <c r="E555" s="48">
        <f>D555-C555</f>
        <v>4</v>
      </c>
      <c r="F555" s="43" t="s">
        <v>0</v>
      </c>
      <c r="G555" s="46"/>
      <c r="H555" s="46"/>
      <c r="I555" s="37"/>
      <c r="J555" s="37"/>
    </row>
    <row r="556" spans="1:26" s="77" customFormat="1" ht="15.75" customHeight="1">
      <c r="A556" s="42" t="s">
        <v>677</v>
      </c>
      <c r="B556" s="38" t="s">
        <v>678</v>
      </c>
      <c r="C556" s="39">
        <v>43613</v>
      </c>
      <c r="D556" s="39">
        <v>43617</v>
      </c>
      <c r="E556" s="46">
        <f>D556-C556</f>
        <v>4</v>
      </c>
      <c r="F556" s="43" t="s">
        <v>0</v>
      </c>
      <c r="G556" s="46"/>
      <c r="H556" s="46"/>
      <c r="I556" s="37"/>
      <c r="J556" s="37"/>
    </row>
    <row r="557" spans="1:26" s="77" customFormat="1" ht="15.75" customHeight="1">
      <c r="A557" s="37" t="s">
        <v>833</v>
      </c>
      <c r="B557" s="51" t="s">
        <v>834</v>
      </c>
      <c r="C557" s="39">
        <v>43731</v>
      </c>
      <c r="D557" s="39">
        <v>43735</v>
      </c>
      <c r="E557" s="46">
        <f>D557-C557</f>
        <v>4</v>
      </c>
      <c r="F557" s="43" t="s">
        <v>813</v>
      </c>
      <c r="G557" s="46"/>
      <c r="H557" s="46"/>
      <c r="I557" s="37"/>
      <c r="J557" s="37"/>
    </row>
    <row r="558" spans="1:26" s="77" customFormat="1" ht="15.75" customHeight="1">
      <c r="A558" s="42" t="s">
        <v>378</v>
      </c>
      <c r="B558" s="38" t="s">
        <v>377</v>
      </c>
      <c r="C558" s="39">
        <v>43346</v>
      </c>
      <c r="D558" s="40">
        <v>43349</v>
      </c>
      <c r="E558" s="48">
        <f>D558-C558</f>
        <v>3</v>
      </c>
      <c r="F558" s="44"/>
      <c r="G558" s="44"/>
      <c r="H558" s="44"/>
      <c r="I558" s="1"/>
      <c r="J558" s="1"/>
    </row>
    <row r="559" spans="1:26" s="77" customFormat="1" ht="15.75" customHeight="1">
      <c r="A559" s="37" t="s">
        <v>613</v>
      </c>
      <c r="B559" s="38" t="s">
        <v>614</v>
      </c>
      <c r="C559" s="39">
        <v>43572</v>
      </c>
      <c r="D559" s="39">
        <v>43575</v>
      </c>
      <c r="E559" s="46">
        <f>D559-C559</f>
        <v>3</v>
      </c>
      <c r="F559" s="43" t="s">
        <v>0</v>
      </c>
      <c r="G559" s="46"/>
      <c r="H559" s="46"/>
      <c r="I559" s="37"/>
      <c r="J559" s="37"/>
    </row>
    <row r="560" spans="1:26" s="77" customFormat="1" ht="15.75" customHeight="1">
      <c r="A560" s="57" t="s">
        <v>851</v>
      </c>
      <c r="B560" s="51" t="s">
        <v>852</v>
      </c>
      <c r="C560" s="39">
        <v>43739</v>
      </c>
      <c r="D560" s="39">
        <v>43742</v>
      </c>
      <c r="E560" s="46">
        <f>D560-C560</f>
        <v>3</v>
      </c>
      <c r="F560" s="43" t="s">
        <v>853</v>
      </c>
      <c r="G560" s="46"/>
      <c r="H560" s="46"/>
      <c r="I560" s="37"/>
      <c r="J560" s="37"/>
    </row>
    <row r="561" spans="1:26" s="77" customFormat="1" ht="15.75" customHeight="1">
      <c r="A561" s="37" t="s">
        <v>957</v>
      </c>
      <c r="B561" s="42" t="s">
        <v>958</v>
      </c>
      <c r="C561" s="39">
        <v>43818</v>
      </c>
      <c r="D561" s="39">
        <v>43821</v>
      </c>
      <c r="E561" s="46">
        <f>D561-C561</f>
        <v>3</v>
      </c>
      <c r="F561" s="46" t="s">
        <v>959</v>
      </c>
      <c r="G561" s="46"/>
      <c r="H561" s="46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s="77" customFormat="1" ht="15.75" customHeight="1">
      <c r="A562" s="42" t="s">
        <v>2897</v>
      </c>
      <c r="B562" s="42" t="s">
        <v>1438</v>
      </c>
      <c r="C562" s="39">
        <v>44132</v>
      </c>
      <c r="D562" s="39">
        <v>44135</v>
      </c>
      <c r="E562" s="48">
        <f>D562-C562</f>
        <v>3</v>
      </c>
      <c r="F562" s="43" t="s">
        <v>0</v>
      </c>
      <c r="G562" s="46"/>
      <c r="H562" s="46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s="77" customFormat="1" ht="15.75" customHeight="1">
      <c r="A563" s="37" t="s">
        <v>376</v>
      </c>
      <c r="B563" s="38" t="s">
        <v>377</v>
      </c>
      <c r="C563" s="39">
        <v>43345</v>
      </c>
      <c r="D563" s="40">
        <v>43347</v>
      </c>
      <c r="E563" s="48">
        <f>D563-C563</f>
        <v>2</v>
      </c>
      <c r="F563" s="44"/>
      <c r="G563" s="44"/>
      <c r="H563" s="44"/>
      <c r="I563" s="1"/>
      <c r="J563" s="1"/>
    </row>
    <row r="564" spans="1:26" s="77" customFormat="1" ht="15.75" customHeight="1">
      <c r="A564" s="37" t="s">
        <v>411</v>
      </c>
      <c r="B564" s="38" t="s">
        <v>377</v>
      </c>
      <c r="C564" s="39">
        <v>43379</v>
      </c>
      <c r="D564" s="40">
        <v>43381</v>
      </c>
      <c r="E564" s="48">
        <f>D564-C564</f>
        <v>2</v>
      </c>
      <c r="F564" s="44"/>
      <c r="G564" s="44"/>
      <c r="H564" s="44"/>
      <c r="I564" s="1"/>
      <c r="J564" s="1"/>
    </row>
    <row r="565" spans="1:26" s="77" customFormat="1" ht="15.75" customHeight="1">
      <c r="A565" s="42" t="s">
        <v>1108</v>
      </c>
      <c r="B565" s="42" t="s">
        <v>1109</v>
      </c>
      <c r="C565" s="39">
        <v>43923</v>
      </c>
      <c r="D565" s="39">
        <v>43925</v>
      </c>
      <c r="E565" s="46">
        <f>D565-C565</f>
        <v>2</v>
      </c>
      <c r="F565" s="43" t="s">
        <v>0</v>
      </c>
      <c r="G565" s="46"/>
      <c r="H565" s="46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s="77" customFormat="1" ht="15.75" customHeight="1">
      <c r="A566" s="42" t="s">
        <v>1165</v>
      </c>
      <c r="B566" s="42" t="s">
        <v>1166</v>
      </c>
      <c r="C566" s="39">
        <v>43938</v>
      </c>
      <c r="D566" s="40">
        <v>43940</v>
      </c>
      <c r="E566" s="48">
        <f>D566-C566</f>
        <v>2</v>
      </c>
      <c r="F566" s="48" t="s">
        <v>1027</v>
      </c>
      <c r="G566" s="46"/>
      <c r="H566" s="46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s="77" customFormat="1" ht="15.75" customHeight="1">
      <c r="A567" s="42" t="s">
        <v>381</v>
      </c>
      <c r="B567" s="38" t="s">
        <v>377</v>
      </c>
      <c r="C567" s="39">
        <v>43352</v>
      </c>
      <c r="D567" s="40">
        <v>43353</v>
      </c>
      <c r="E567" s="48">
        <f>D567-C567</f>
        <v>1</v>
      </c>
      <c r="F567" s="44"/>
      <c r="G567" s="44"/>
      <c r="H567" s="44"/>
      <c r="I567" s="1"/>
      <c r="J567" s="1"/>
    </row>
    <row r="568" spans="1:26" s="77" customFormat="1">
      <c r="A568" s="37" t="s">
        <v>494</v>
      </c>
      <c r="B568" s="38" t="s">
        <v>495</v>
      </c>
      <c r="C568" s="39">
        <v>43497</v>
      </c>
      <c r="D568" s="39">
        <v>43498</v>
      </c>
      <c r="E568" s="46">
        <f>D568-C568</f>
        <v>1</v>
      </c>
      <c r="F568" s="45" t="s">
        <v>2854</v>
      </c>
      <c r="G568" s="46"/>
      <c r="H568" s="46"/>
      <c r="I568" s="37"/>
      <c r="J568" s="37"/>
    </row>
    <row r="569" spans="1:26" s="77" customFormat="1" ht="15.75" customHeight="1">
      <c r="A569" s="57" t="s">
        <v>732</v>
      </c>
      <c r="B569" s="38" t="s">
        <v>733</v>
      </c>
      <c r="C569" s="39">
        <v>43665</v>
      </c>
      <c r="D569" s="39">
        <v>43666</v>
      </c>
      <c r="E569" s="46">
        <f>D569-C569</f>
        <v>1</v>
      </c>
      <c r="F569" s="43" t="s">
        <v>734</v>
      </c>
      <c r="G569" s="44"/>
      <c r="H569" s="44"/>
      <c r="I569" s="1"/>
      <c r="J569" s="1"/>
    </row>
    <row r="570" spans="1:26" s="77" customFormat="1" ht="15.75" customHeight="1">
      <c r="A570" s="37" t="s">
        <v>1007</v>
      </c>
      <c r="B570" s="42" t="s">
        <v>1008</v>
      </c>
      <c r="C570" s="39">
        <v>43862</v>
      </c>
      <c r="D570" s="39">
        <v>43863</v>
      </c>
      <c r="E570" s="48">
        <v>1</v>
      </c>
      <c r="F570" s="43" t="s">
        <v>0</v>
      </c>
      <c r="G570" s="46"/>
      <c r="H570" s="46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s="77" customFormat="1" ht="15.75" customHeight="1">
      <c r="A571" s="37" t="s">
        <v>697</v>
      </c>
      <c r="B571" s="38" t="s">
        <v>698</v>
      </c>
      <c r="C571" s="39">
        <v>43631</v>
      </c>
      <c r="D571" s="39">
        <v>43631</v>
      </c>
      <c r="E571" s="46">
        <f>D571-C571</f>
        <v>0</v>
      </c>
      <c r="F571" s="43" t="s">
        <v>699</v>
      </c>
      <c r="G571" s="46"/>
      <c r="H571" s="46"/>
      <c r="I571" s="37"/>
      <c r="J571" s="37"/>
    </row>
    <row r="572" spans="1:26" ht="15.75" customHeight="1">
      <c r="B572" s="15"/>
    </row>
    <row r="573" spans="1:26" ht="15.75" customHeight="1">
      <c r="B573" s="15"/>
    </row>
    <row r="574" spans="1:26" ht="15.75" customHeight="1">
      <c r="B574" s="15"/>
    </row>
    <row r="575" spans="1:26" ht="15.75" customHeight="1">
      <c r="B575" s="15"/>
    </row>
    <row r="576" spans="1:26" ht="15.75" customHeight="1">
      <c r="B576" s="15"/>
    </row>
    <row r="577" spans="2:2" ht="15.75" customHeight="1">
      <c r="B577" s="15"/>
    </row>
    <row r="578" spans="2:2" ht="15.75" customHeight="1">
      <c r="B578" s="15"/>
    </row>
    <row r="579" spans="2:2" ht="15.75" customHeight="1">
      <c r="B579" s="15"/>
    </row>
    <row r="580" spans="2:2" ht="15.75" customHeight="1">
      <c r="B580" s="15"/>
    </row>
    <row r="581" spans="2:2" ht="15.75" customHeight="1">
      <c r="B581" s="15"/>
    </row>
    <row r="582" spans="2:2" ht="15.75" customHeight="1">
      <c r="B582" s="15"/>
    </row>
    <row r="583" spans="2:2" ht="15.75" customHeight="1">
      <c r="B583" s="15"/>
    </row>
    <row r="584" spans="2:2" ht="15.75" customHeight="1">
      <c r="B584" s="15"/>
    </row>
    <row r="585" spans="2:2" ht="15.75" customHeight="1">
      <c r="B585" s="15"/>
    </row>
    <row r="586" spans="2:2" ht="15.75" customHeight="1">
      <c r="B586" s="15"/>
    </row>
    <row r="587" spans="2:2" ht="15.75" customHeight="1">
      <c r="B587" s="15"/>
    </row>
    <row r="588" spans="2:2" ht="15.75" customHeight="1">
      <c r="B588" s="15"/>
    </row>
    <row r="589" spans="2:2" ht="15.75" customHeight="1">
      <c r="B589" s="15"/>
    </row>
    <row r="590" spans="2:2" ht="15.75" customHeight="1">
      <c r="B590" s="15"/>
    </row>
    <row r="591" spans="2:2" ht="15.75" customHeight="1">
      <c r="B591" s="15"/>
    </row>
    <row r="592" spans="2:2" ht="15.75" customHeight="1">
      <c r="B592" s="15"/>
    </row>
    <row r="593" spans="2:2" ht="15.75" customHeight="1">
      <c r="B593" s="15"/>
    </row>
    <row r="594" spans="2:2" ht="15.75" customHeight="1">
      <c r="B594" s="15"/>
    </row>
    <row r="595" spans="2:2" ht="15.75" customHeight="1">
      <c r="B595" s="15"/>
    </row>
    <row r="596" spans="2:2" ht="15.75" customHeight="1">
      <c r="B596" s="15"/>
    </row>
    <row r="597" spans="2:2" ht="15.75" customHeight="1">
      <c r="B597" s="15"/>
    </row>
    <row r="598" spans="2:2" ht="15.75" customHeight="1">
      <c r="B598" s="15"/>
    </row>
    <row r="599" spans="2:2" ht="15.75" customHeight="1">
      <c r="B599" s="15"/>
    </row>
    <row r="600" spans="2:2" ht="15.75" customHeight="1">
      <c r="B600" s="15"/>
    </row>
    <row r="601" spans="2:2" ht="15.75" customHeight="1">
      <c r="B601" s="15"/>
    </row>
    <row r="602" spans="2:2" ht="15.75" customHeight="1">
      <c r="B602" s="15"/>
    </row>
    <row r="603" spans="2:2" ht="15.75" customHeight="1">
      <c r="B603" s="15"/>
    </row>
    <row r="604" spans="2:2" ht="15.75" customHeight="1">
      <c r="B604" s="15"/>
    </row>
    <row r="605" spans="2:2" ht="15.75" customHeight="1">
      <c r="B605" s="15"/>
    </row>
    <row r="606" spans="2:2" ht="15.75" customHeight="1">
      <c r="B606" s="15"/>
    </row>
    <row r="607" spans="2:2" ht="15.75" customHeight="1">
      <c r="B607" s="15"/>
    </row>
    <row r="608" spans="2:2" ht="15.75" customHeight="1">
      <c r="B608" s="15"/>
    </row>
    <row r="609" spans="2:2" ht="15.75" customHeight="1">
      <c r="B609" s="15"/>
    </row>
    <row r="610" spans="2:2" ht="15.75" customHeight="1">
      <c r="B610" s="15"/>
    </row>
    <row r="611" spans="2:2" ht="15.75" customHeight="1">
      <c r="B611" s="15"/>
    </row>
    <row r="612" spans="2:2" ht="15.75" customHeight="1">
      <c r="B612" s="15"/>
    </row>
    <row r="613" spans="2:2" ht="15.75" customHeight="1">
      <c r="B613" s="15"/>
    </row>
    <row r="614" spans="2:2" ht="15.75" customHeight="1">
      <c r="B614" s="15"/>
    </row>
    <row r="615" spans="2:2" ht="15.75" customHeight="1">
      <c r="B615" s="15"/>
    </row>
    <row r="616" spans="2:2" ht="15.75" customHeight="1">
      <c r="B616" s="15"/>
    </row>
    <row r="617" spans="2:2" ht="15.75" customHeight="1">
      <c r="B617" s="15"/>
    </row>
    <row r="618" spans="2:2" ht="15.75" customHeight="1">
      <c r="B618" s="15"/>
    </row>
    <row r="619" spans="2:2" ht="15.75" customHeight="1">
      <c r="B619" s="15"/>
    </row>
    <row r="620" spans="2:2" ht="15.75" customHeight="1">
      <c r="B620" s="15"/>
    </row>
    <row r="621" spans="2:2" ht="15.75" customHeight="1">
      <c r="B621" s="15"/>
    </row>
    <row r="622" spans="2:2" ht="15.75" customHeight="1">
      <c r="B622" s="15"/>
    </row>
    <row r="623" spans="2:2" ht="15.75" customHeight="1">
      <c r="B623" s="15"/>
    </row>
    <row r="624" spans="2:2" ht="15.75" customHeight="1">
      <c r="B624" s="15"/>
    </row>
    <row r="625" spans="2:2" ht="15.75" customHeight="1">
      <c r="B625" s="15"/>
    </row>
    <row r="626" spans="2:2" ht="15.75" customHeight="1">
      <c r="B626" s="15"/>
    </row>
    <row r="627" spans="2:2" ht="15.75" customHeight="1">
      <c r="B627" s="15"/>
    </row>
    <row r="628" spans="2:2" ht="15.75" customHeight="1">
      <c r="B628" s="15"/>
    </row>
    <row r="629" spans="2:2" ht="15.75" customHeight="1">
      <c r="B629" s="15"/>
    </row>
    <row r="630" spans="2:2" ht="15.75" customHeight="1">
      <c r="B630" s="15"/>
    </row>
    <row r="631" spans="2:2" ht="15.75" customHeight="1">
      <c r="B631" s="15"/>
    </row>
    <row r="632" spans="2:2" ht="15.75" customHeight="1">
      <c r="B632" s="15"/>
    </row>
    <row r="633" spans="2:2" ht="15.75" customHeight="1">
      <c r="B633" s="15"/>
    </row>
    <row r="634" spans="2:2" ht="15.75" customHeight="1">
      <c r="B634" s="15"/>
    </row>
    <row r="635" spans="2:2" ht="15.75" customHeight="1">
      <c r="B635" s="15"/>
    </row>
    <row r="636" spans="2:2" ht="15.75" customHeight="1">
      <c r="B636" s="15"/>
    </row>
    <row r="637" spans="2:2" ht="15.75" customHeight="1">
      <c r="B637" s="15"/>
    </row>
    <row r="638" spans="2:2" ht="15.75" customHeight="1">
      <c r="B638" s="15"/>
    </row>
    <row r="639" spans="2:2" ht="15.75" customHeight="1">
      <c r="B639" s="15"/>
    </row>
    <row r="640" spans="2:2" ht="15.75" customHeight="1">
      <c r="B640" s="15"/>
    </row>
    <row r="641" spans="2:2" ht="15.75" customHeight="1">
      <c r="B641" s="15"/>
    </row>
    <row r="642" spans="2:2" ht="15.75" customHeight="1">
      <c r="B642" s="15"/>
    </row>
    <row r="643" spans="2:2" ht="15.75" customHeight="1">
      <c r="B643" s="15"/>
    </row>
    <row r="644" spans="2:2" ht="15.75" customHeight="1">
      <c r="B644" s="15"/>
    </row>
    <row r="645" spans="2:2" ht="15.75" customHeight="1">
      <c r="B645" s="15"/>
    </row>
    <row r="646" spans="2:2" ht="15.75" customHeight="1">
      <c r="B646" s="15"/>
    </row>
    <row r="647" spans="2:2" ht="15.75" customHeight="1">
      <c r="B647" s="15"/>
    </row>
    <row r="648" spans="2:2" ht="15.75" customHeight="1">
      <c r="B648" s="15"/>
    </row>
    <row r="649" spans="2:2" ht="15.75" customHeight="1">
      <c r="B649" s="15"/>
    </row>
    <row r="650" spans="2:2" ht="15.75" customHeight="1">
      <c r="B650" s="15"/>
    </row>
    <row r="651" spans="2:2" ht="15.75" customHeight="1">
      <c r="B651" s="15"/>
    </row>
    <row r="652" spans="2:2" ht="15.75" customHeight="1">
      <c r="B652" s="15"/>
    </row>
    <row r="653" spans="2:2" ht="15.75" customHeight="1">
      <c r="B653" s="15"/>
    </row>
    <row r="654" spans="2:2" ht="15.75" customHeight="1">
      <c r="B654" s="15"/>
    </row>
    <row r="655" spans="2:2" ht="15.75" customHeight="1">
      <c r="B655" s="15"/>
    </row>
    <row r="656" spans="2:2" ht="15.75" customHeight="1">
      <c r="B656" s="15"/>
    </row>
    <row r="657" spans="2:2" ht="15.75" customHeight="1">
      <c r="B657" s="15"/>
    </row>
    <row r="658" spans="2:2" ht="15.75" customHeight="1">
      <c r="B658" s="15"/>
    </row>
    <row r="659" spans="2:2" ht="15.75" customHeight="1">
      <c r="B659" s="15"/>
    </row>
    <row r="660" spans="2:2" ht="15.75" customHeight="1">
      <c r="B660" s="15"/>
    </row>
    <row r="661" spans="2:2" ht="15.75" customHeight="1">
      <c r="B661" s="15"/>
    </row>
    <row r="662" spans="2:2" ht="15.75" customHeight="1">
      <c r="B662" s="15"/>
    </row>
    <row r="663" spans="2:2" ht="15.75" customHeight="1">
      <c r="B663" s="15"/>
    </row>
    <row r="664" spans="2:2" ht="15.75" customHeight="1">
      <c r="B664" s="15"/>
    </row>
    <row r="665" spans="2:2" ht="15.75" customHeight="1">
      <c r="B665" s="15"/>
    </row>
    <row r="666" spans="2:2" ht="15.75" customHeight="1">
      <c r="B666" s="15"/>
    </row>
    <row r="667" spans="2:2" ht="15.75" customHeight="1">
      <c r="B667" s="15"/>
    </row>
    <row r="668" spans="2:2" ht="15.75" customHeight="1">
      <c r="B668" s="15"/>
    </row>
    <row r="669" spans="2:2" ht="15.75" customHeight="1">
      <c r="B669" s="15"/>
    </row>
    <row r="670" spans="2:2" ht="15.75" customHeight="1">
      <c r="B670" s="15"/>
    </row>
    <row r="671" spans="2:2" ht="15.75" customHeight="1">
      <c r="B671" s="15"/>
    </row>
    <row r="672" spans="2:2" ht="15.75" customHeight="1">
      <c r="B672" s="15"/>
    </row>
    <row r="673" spans="2:2" ht="15.75" customHeight="1">
      <c r="B673" s="15"/>
    </row>
    <row r="674" spans="2:2" ht="15.75" customHeight="1">
      <c r="B674" s="15"/>
    </row>
    <row r="675" spans="2:2" ht="15.75" customHeight="1">
      <c r="B675" s="15"/>
    </row>
    <row r="676" spans="2:2" ht="15.75" customHeight="1">
      <c r="B676" s="15"/>
    </row>
    <row r="677" spans="2:2" ht="15.75" customHeight="1">
      <c r="B677" s="15"/>
    </row>
    <row r="678" spans="2:2" ht="15.75" customHeight="1">
      <c r="B678" s="15"/>
    </row>
    <row r="679" spans="2:2" ht="15.75" customHeight="1">
      <c r="B679" s="15"/>
    </row>
    <row r="680" spans="2:2" ht="15.75" customHeight="1">
      <c r="B680" s="15"/>
    </row>
    <row r="681" spans="2:2" ht="15.75" customHeight="1">
      <c r="B681" s="15"/>
    </row>
    <row r="682" spans="2:2" ht="15.75" customHeight="1">
      <c r="B682" s="15"/>
    </row>
    <row r="683" spans="2:2" ht="15.75" customHeight="1">
      <c r="B683" s="15"/>
    </row>
    <row r="684" spans="2:2" ht="15.75" customHeight="1">
      <c r="B684" s="15"/>
    </row>
    <row r="685" spans="2:2" ht="15.75" customHeight="1">
      <c r="B685" s="15"/>
    </row>
    <row r="686" spans="2:2" ht="15.75" customHeight="1">
      <c r="B686" s="15"/>
    </row>
    <row r="687" spans="2:2" ht="15.75" customHeight="1">
      <c r="B687" s="15"/>
    </row>
    <row r="688" spans="2:2" ht="15.75" customHeight="1">
      <c r="B688" s="15"/>
    </row>
    <row r="689" spans="2:2" ht="15.75" customHeight="1">
      <c r="B689" s="15"/>
    </row>
    <row r="690" spans="2:2" ht="15.75" customHeight="1">
      <c r="B690" s="15"/>
    </row>
    <row r="691" spans="2:2" ht="15.75" customHeight="1">
      <c r="B691" s="15"/>
    </row>
    <row r="692" spans="2:2" ht="15.75" customHeight="1">
      <c r="B692" s="15"/>
    </row>
    <row r="693" spans="2:2" ht="15.75" customHeight="1">
      <c r="B693" s="15"/>
    </row>
    <row r="694" spans="2:2" ht="15.75" customHeight="1">
      <c r="B694" s="15"/>
    </row>
    <row r="695" spans="2:2" ht="15.75" customHeight="1">
      <c r="B695" s="15"/>
    </row>
    <row r="696" spans="2:2" ht="15.75" customHeight="1">
      <c r="B696" s="15"/>
    </row>
    <row r="697" spans="2:2" ht="15.75" customHeight="1">
      <c r="B697" s="15"/>
    </row>
    <row r="698" spans="2:2" ht="15.75" customHeight="1">
      <c r="B698" s="15"/>
    </row>
    <row r="699" spans="2:2" ht="15.75" customHeight="1">
      <c r="B699" s="15"/>
    </row>
    <row r="700" spans="2:2" ht="15.75" customHeight="1">
      <c r="B700" s="15"/>
    </row>
    <row r="701" spans="2:2" ht="15.75" customHeight="1">
      <c r="B701" s="15"/>
    </row>
    <row r="702" spans="2:2" ht="15.75" customHeight="1">
      <c r="B702" s="15"/>
    </row>
    <row r="703" spans="2:2" ht="15.75" customHeight="1">
      <c r="B703" s="15"/>
    </row>
    <row r="704" spans="2:2" ht="15.75" customHeight="1">
      <c r="B704" s="15"/>
    </row>
    <row r="705" spans="2:2" ht="15.75" customHeight="1">
      <c r="B705" s="15"/>
    </row>
    <row r="706" spans="2:2" ht="15.75" customHeight="1">
      <c r="B706" s="15"/>
    </row>
    <row r="707" spans="2:2" ht="15.75" customHeight="1">
      <c r="B707" s="15"/>
    </row>
    <row r="708" spans="2:2" ht="15.75" customHeight="1">
      <c r="B708" s="15"/>
    </row>
    <row r="709" spans="2:2" ht="15.75" customHeight="1">
      <c r="B709" s="15"/>
    </row>
    <row r="710" spans="2:2" ht="15.75" customHeight="1">
      <c r="B710" s="15"/>
    </row>
    <row r="711" spans="2:2" ht="15.75" customHeight="1">
      <c r="B711" s="15"/>
    </row>
    <row r="712" spans="2:2" ht="15.75" customHeight="1">
      <c r="B712" s="15"/>
    </row>
    <row r="713" spans="2:2" ht="15.75" customHeight="1">
      <c r="B713" s="15"/>
    </row>
    <row r="714" spans="2:2" ht="15.75" customHeight="1">
      <c r="B714" s="15"/>
    </row>
    <row r="715" spans="2:2" ht="15.75" customHeight="1">
      <c r="B715" s="15"/>
    </row>
    <row r="716" spans="2:2" ht="15.75" customHeight="1">
      <c r="B716" s="15"/>
    </row>
    <row r="717" spans="2:2" ht="15.75" customHeight="1">
      <c r="B717" s="15"/>
    </row>
    <row r="718" spans="2:2" ht="15.75" customHeight="1">
      <c r="B718" s="15"/>
    </row>
    <row r="719" spans="2:2" ht="15.75" customHeight="1">
      <c r="B719" s="15"/>
    </row>
    <row r="720" spans="2:2" ht="15.75" customHeight="1">
      <c r="B720" s="15"/>
    </row>
    <row r="721" spans="2:2" ht="15.75" customHeight="1">
      <c r="B721" s="15"/>
    </row>
    <row r="722" spans="2:2" ht="15.75" customHeight="1">
      <c r="B722" s="15"/>
    </row>
    <row r="723" spans="2:2" ht="15.75" customHeight="1">
      <c r="B723" s="15"/>
    </row>
    <row r="724" spans="2:2" ht="15.75" customHeight="1">
      <c r="B724" s="15"/>
    </row>
    <row r="725" spans="2:2" ht="15.75" customHeight="1">
      <c r="B725" s="15"/>
    </row>
    <row r="726" spans="2:2" ht="15.75" customHeight="1">
      <c r="B726" s="15"/>
    </row>
    <row r="727" spans="2:2" ht="15.75" customHeight="1">
      <c r="B727" s="15"/>
    </row>
    <row r="728" spans="2:2" ht="15.75" customHeight="1">
      <c r="B728" s="15"/>
    </row>
    <row r="729" spans="2:2" ht="15.75" customHeight="1">
      <c r="B729" s="15"/>
    </row>
    <row r="730" spans="2:2" ht="15.75" customHeight="1">
      <c r="B730" s="15"/>
    </row>
    <row r="731" spans="2:2" ht="15.75" customHeight="1">
      <c r="B731" s="15"/>
    </row>
    <row r="732" spans="2:2" ht="15.75" customHeight="1">
      <c r="B732" s="15"/>
    </row>
    <row r="733" spans="2:2" ht="15.75" customHeight="1">
      <c r="B733" s="15"/>
    </row>
    <row r="734" spans="2:2" ht="15.75" customHeight="1">
      <c r="B734" s="15"/>
    </row>
    <row r="735" spans="2:2" ht="15.75" customHeight="1">
      <c r="B735" s="15"/>
    </row>
    <row r="736" spans="2:2" ht="15.75" customHeight="1">
      <c r="B736" s="15"/>
    </row>
    <row r="737" spans="2:2" ht="15.75" customHeight="1">
      <c r="B737" s="15"/>
    </row>
    <row r="738" spans="2:2" ht="15.75" customHeight="1">
      <c r="B738" s="15"/>
    </row>
    <row r="739" spans="2:2" ht="15.75" customHeight="1">
      <c r="B739" s="15"/>
    </row>
    <row r="740" spans="2:2" ht="15.75" customHeight="1">
      <c r="B740" s="15"/>
    </row>
    <row r="741" spans="2:2" ht="15.75" customHeight="1">
      <c r="B741" s="15"/>
    </row>
    <row r="742" spans="2:2" ht="15.75" customHeight="1">
      <c r="B742" s="15"/>
    </row>
    <row r="743" spans="2:2" ht="15.75" customHeight="1">
      <c r="B743" s="15"/>
    </row>
    <row r="744" spans="2:2" ht="15.75" customHeight="1">
      <c r="B744" s="15"/>
    </row>
    <row r="745" spans="2:2" ht="15.75" customHeight="1">
      <c r="B745" s="15"/>
    </row>
    <row r="746" spans="2:2" ht="15.75" customHeight="1">
      <c r="B746" s="15"/>
    </row>
    <row r="747" spans="2:2" ht="15.75" customHeight="1">
      <c r="B747" s="15"/>
    </row>
    <row r="748" spans="2:2" ht="15.75" customHeight="1">
      <c r="B748" s="15"/>
    </row>
    <row r="749" spans="2:2" ht="15.75" customHeight="1">
      <c r="B749" s="15"/>
    </row>
    <row r="750" spans="2:2" ht="15.75" customHeight="1">
      <c r="B750" s="15"/>
    </row>
    <row r="751" spans="2:2" ht="15.75" customHeight="1">
      <c r="B751" s="15"/>
    </row>
    <row r="752" spans="2:2" ht="15.75" customHeight="1">
      <c r="B752" s="15"/>
    </row>
    <row r="753" spans="2:2" ht="15.75" customHeight="1">
      <c r="B753" s="15"/>
    </row>
    <row r="754" spans="2:2" ht="15.75" customHeight="1">
      <c r="B754" s="15"/>
    </row>
    <row r="755" spans="2:2" ht="15.75" customHeight="1">
      <c r="B755" s="15"/>
    </row>
    <row r="756" spans="2:2" ht="15.75" customHeight="1">
      <c r="B756" s="15"/>
    </row>
    <row r="757" spans="2:2" ht="15.75" customHeight="1">
      <c r="B757" s="15"/>
    </row>
    <row r="758" spans="2:2" ht="15.75" customHeight="1">
      <c r="B758" s="15"/>
    </row>
    <row r="759" spans="2:2" ht="15.75" customHeight="1">
      <c r="B759" s="15"/>
    </row>
    <row r="760" spans="2:2" ht="15.75" customHeight="1">
      <c r="B760" s="15"/>
    </row>
    <row r="761" spans="2:2" ht="15.75" customHeight="1">
      <c r="B761" s="15"/>
    </row>
    <row r="762" spans="2:2" ht="15.75" customHeight="1">
      <c r="B762" s="15"/>
    </row>
    <row r="763" spans="2:2" ht="15.75" customHeight="1">
      <c r="B763" s="15"/>
    </row>
    <row r="764" spans="2:2" ht="15.75" customHeight="1">
      <c r="B764" s="15"/>
    </row>
    <row r="765" spans="2:2" ht="15.75" customHeight="1">
      <c r="B765" s="15"/>
    </row>
    <row r="766" spans="2:2" ht="15.75" customHeight="1">
      <c r="B766" s="15"/>
    </row>
    <row r="767" spans="2:2" ht="15.75" customHeight="1">
      <c r="B767" s="15"/>
    </row>
    <row r="768" spans="2:2" ht="15.75" customHeight="1">
      <c r="B768" s="15"/>
    </row>
    <row r="769" spans="2:2" ht="15.75" customHeight="1">
      <c r="B769" s="15"/>
    </row>
    <row r="770" spans="2:2" ht="15.75" customHeight="1">
      <c r="B770" s="15"/>
    </row>
    <row r="771" spans="2:2" ht="15.75" customHeight="1">
      <c r="B771" s="15"/>
    </row>
    <row r="772" spans="2:2" ht="15.75" customHeight="1">
      <c r="B772" s="15"/>
    </row>
    <row r="773" spans="2:2" ht="15.75" customHeight="1">
      <c r="B773" s="15"/>
    </row>
    <row r="774" spans="2:2" ht="15.75" customHeight="1">
      <c r="B774" s="15"/>
    </row>
    <row r="775" spans="2:2" ht="15.75" customHeight="1">
      <c r="B775" s="15"/>
    </row>
    <row r="776" spans="2:2" ht="15.75" customHeight="1">
      <c r="B776" s="15"/>
    </row>
    <row r="777" spans="2:2" ht="15.75" customHeight="1">
      <c r="B777" s="15"/>
    </row>
    <row r="778" spans="2:2" ht="15.75" customHeight="1">
      <c r="B778" s="15"/>
    </row>
    <row r="779" spans="2:2" ht="15.75" customHeight="1">
      <c r="B779" s="15"/>
    </row>
    <row r="780" spans="2:2" ht="15.75" customHeight="1">
      <c r="B780" s="15"/>
    </row>
    <row r="781" spans="2:2" ht="15.75" customHeight="1">
      <c r="B781" s="15"/>
    </row>
    <row r="782" spans="2:2" ht="15.75" customHeight="1">
      <c r="B782" s="15"/>
    </row>
    <row r="783" spans="2:2" ht="15.75" customHeight="1">
      <c r="B783" s="15"/>
    </row>
    <row r="784" spans="2:2" ht="15.75" customHeight="1">
      <c r="B784" s="15"/>
    </row>
    <row r="785" spans="2:2" ht="15.75" customHeight="1">
      <c r="B785" s="15"/>
    </row>
    <row r="786" spans="2:2" ht="15.75" customHeight="1">
      <c r="B786" s="15"/>
    </row>
    <row r="787" spans="2:2" ht="15.75" customHeight="1">
      <c r="B787" s="15"/>
    </row>
    <row r="788" spans="2:2" ht="15.75" customHeight="1">
      <c r="B788" s="15"/>
    </row>
    <row r="789" spans="2:2" ht="15.75" customHeight="1">
      <c r="B789" s="15"/>
    </row>
    <row r="790" spans="2:2" ht="15.75" customHeight="1">
      <c r="B790" s="15"/>
    </row>
    <row r="791" spans="2:2" ht="15.75" customHeight="1">
      <c r="B791" s="15"/>
    </row>
    <row r="792" spans="2:2" ht="15.75" customHeight="1">
      <c r="B792" s="15"/>
    </row>
    <row r="793" spans="2:2" ht="15.75" customHeight="1">
      <c r="B793" s="15"/>
    </row>
    <row r="794" spans="2:2" ht="15.75" customHeight="1">
      <c r="B794" s="15"/>
    </row>
    <row r="795" spans="2:2" ht="15.75" customHeight="1">
      <c r="B795" s="15"/>
    </row>
    <row r="796" spans="2:2" ht="15.75" customHeight="1">
      <c r="B796" s="15"/>
    </row>
    <row r="797" spans="2:2" ht="15.75" customHeight="1">
      <c r="B797" s="15"/>
    </row>
    <row r="798" spans="2:2" ht="15.75" customHeight="1">
      <c r="B798" s="15"/>
    </row>
    <row r="799" spans="2:2" ht="15.75" customHeight="1">
      <c r="B799" s="15"/>
    </row>
    <row r="800" spans="2:2" ht="15.75" customHeight="1">
      <c r="B800" s="15"/>
    </row>
    <row r="801" spans="2:2" ht="15.75" customHeight="1">
      <c r="B801" s="15"/>
    </row>
    <row r="802" spans="2:2" ht="15.75" customHeight="1">
      <c r="B802" s="15"/>
    </row>
    <row r="803" spans="2:2" ht="15.75" customHeight="1">
      <c r="B803" s="15"/>
    </row>
    <row r="804" spans="2:2" ht="15.75" customHeight="1">
      <c r="B804" s="15"/>
    </row>
    <row r="805" spans="2:2" ht="15.75" customHeight="1">
      <c r="B805" s="15"/>
    </row>
    <row r="806" spans="2:2" ht="15.75" customHeight="1">
      <c r="B806" s="15"/>
    </row>
    <row r="807" spans="2:2" ht="15.75" customHeight="1">
      <c r="B807" s="15"/>
    </row>
    <row r="808" spans="2:2" ht="15.75" customHeight="1">
      <c r="B808" s="15"/>
    </row>
    <row r="809" spans="2:2" ht="15.75" customHeight="1">
      <c r="B809" s="15"/>
    </row>
    <row r="810" spans="2:2" ht="15.75" customHeight="1">
      <c r="B810" s="15"/>
    </row>
    <row r="811" spans="2:2" ht="15.75" customHeight="1">
      <c r="B811" s="15"/>
    </row>
    <row r="812" spans="2:2" ht="15.75" customHeight="1">
      <c r="B812" s="15"/>
    </row>
    <row r="813" spans="2:2" ht="15.75" customHeight="1">
      <c r="B813" s="15"/>
    </row>
    <row r="814" spans="2:2" ht="15.75" customHeight="1">
      <c r="B814" s="15"/>
    </row>
    <row r="815" spans="2:2" ht="15.75" customHeight="1">
      <c r="B815" s="15"/>
    </row>
    <row r="816" spans="2:2" ht="15.75" customHeight="1">
      <c r="B816" s="15"/>
    </row>
    <row r="817" spans="2:2" ht="15.75" customHeight="1">
      <c r="B817" s="15"/>
    </row>
    <row r="818" spans="2:2" ht="15.75" customHeight="1">
      <c r="B818" s="15"/>
    </row>
    <row r="819" spans="2:2" ht="15.75" customHeight="1">
      <c r="B819" s="15"/>
    </row>
    <row r="820" spans="2:2" ht="15.75" customHeight="1">
      <c r="B820" s="15"/>
    </row>
    <row r="821" spans="2:2" ht="15.75" customHeight="1">
      <c r="B821" s="15"/>
    </row>
    <row r="822" spans="2:2" ht="15.75" customHeight="1">
      <c r="B822" s="15"/>
    </row>
    <row r="823" spans="2:2" ht="15.75" customHeight="1">
      <c r="B823" s="15"/>
    </row>
    <row r="824" spans="2:2" ht="15.75" customHeight="1">
      <c r="B824" s="15"/>
    </row>
    <row r="825" spans="2:2" ht="15.75" customHeight="1">
      <c r="B825" s="15"/>
    </row>
    <row r="826" spans="2:2" ht="15.75" customHeight="1">
      <c r="B826" s="15"/>
    </row>
    <row r="827" spans="2:2" ht="15.75" customHeight="1">
      <c r="B827" s="15"/>
    </row>
    <row r="828" spans="2:2" ht="15.75" customHeight="1">
      <c r="B828" s="15"/>
    </row>
    <row r="829" spans="2:2" ht="15.75" customHeight="1">
      <c r="B829" s="15"/>
    </row>
    <row r="830" spans="2:2" ht="15.75" customHeight="1">
      <c r="B830" s="15"/>
    </row>
    <row r="831" spans="2:2" ht="15.75" customHeight="1">
      <c r="B831" s="15"/>
    </row>
    <row r="832" spans="2:2" ht="15.75" customHeight="1">
      <c r="B832" s="15"/>
    </row>
    <row r="833" spans="2:2" ht="15.75" customHeight="1">
      <c r="B833" s="15"/>
    </row>
    <row r="834" spans="2:2" ht="15.75" customHeight="1">
      <c r="B834" s="15"/>
    </row>
    <row r="835" spans="2:2" ht="15.75" customHeight="1">
      <c r="B835" s="15"/>
    </row>
    <row r="836" spans="2:2" ht="15.75" customHeight="1">
      <c r="B836" s="15"/>
    </row>
    <row r="837" spans="2:2" ht="15.75" customHeight="1">
      <c r="B837" s="15"/>
    </row>
    <row r="838" spans="2:2" ht="15.75" customHeight="1">
      <c r="B838" s="15"/>
    </row>
    <row r="839" spans="2:2" ht="15.75" customHeight="1">
      <c r="B839" s="15"/>
    </row>
    <row r="840" spans="2:2" ht="15.75" customHeight="1">
      <c r="B840" s="15"/>
    </row>
    <row r="841" spans="2:2" ht="15.75" customHeight="1">
      <c r="B841" s="15"/>
    </row>
    <row r="842" spans="2:2" ht="15.75" customHeight="1">
      <c r="B842" s="15"/>
    </row>
    <row r="843" spans="2:2" ht="15.75" customHeight="1">
      <c r="B843" s="15"/>
    </row>
    <row r="844" spans="2:2" ht="15.75" customHeight="1">
      <c r="B844" s="15"/>
    </row>
    <row r="845" spans="2:2" ht="15.75" customHeight="1">
      <c r="B845" s="15"/>
    </row>
    <row r="846" spans="2:2" ht="15.75" customHeight="1">
      <c r="B846" s="15"/>
    </row>
    <row r="847" spans="2:2" ht="15.75" customHeight="1">
      <c r="B847" s="15"/>
    </row>
    <row r="848" spans="2:2" ht="15.75" customHeight="1">
      <c r="B848" s="15"/>
    </row>
    <row r="849" spans="2:2" ht="15.75" customHeight="1">
      <c r="B849" s="15"/>
    </row>
    <row r="850" spans="2:2" ht="15.75" customHeight="1">
      <c r="B850" s="15"/>
    </row>
    <row r="851" spans="2:2" ht="15.75" customHeight="1">
      <c r="B851" s="15"/>
    </row>
    <row r="852" spans="2:2" ht="15.75" customHeight="1">
      <c r="B852" s="15"/>
    </row>
    <row r="853" spans="2:2" ht="15.75" customHeight="1">
      <c r="B853" s="15"/>
    </row>
    <row r="854" spans="2:2" ht="15.75" customHeight="1">
      <c r="B854" s="15"/>
    </row>
    <row r="855" spans="2:2" ht="15.75" customHeight="1">
      <c r="B855" s="15"/>
    </row>
    <row r="856" spans="2:2" ht="15.75" customHeight="1">
      <c r="B856" s="15"/>
    </row>
    <row r="857" spans="2:2" ht="15.75" customHeight="1">
      <c r="B857" s="15"/>
    </row>
    <row r="858" spans="2:2" ht="15.75" customHeight="1">
      <c r="B858" s="15"/>
    </row>
    <row r="859" spans="2:2" ht="15.75" customHeight="1">
      <c r="B859" s="15"/>
    </row>
    <row r="860" spans="2:2" ht="15.75" customHeight="1">
      <c r="B860" s="15"/>
    </row>
    <row r="861" spans="2:2" ht="15.75" customHeight="1">
      <c r="B861" s="15"/>
    </row>
    <row r="862" spans="2:2" ht="15.75" customHeight="1">
      <c r="B862" s="15"/>
    </row>
    <row r="863" spans="2:2" ht="15.75" customHeight="1">
      <c r="B863" s="15"/>
    </row>
    <row r="864" spans="2:2" ht="15.75" customHeight="1">
      <c r="B864" s="15"/>
    </row>
    <row r="865" spans="2:2" ht="15.75" customHeight="1">
      <c r="B865" s="15"/>
    </row>
    <row r="866" spans="2:2" ht="15.75" customHeight="1">
      <c r="B866" s="15"/>
    </row>
    <row r="867" spans="2:2" ht="15.75" customHeight="1">
      <c r="B867" s="15"/>
    </row>
    <row r="868" spans="2:2" ht="15.75" customHeight="1">
      <c r="B868" s="15"/>
    </row>
    <row r="869" spans="2:2" ht="15.75" customHeight="1">
      <c r="B869" s="15"/>
    </row>
    <row r="870" spans="2:2" ht="15.75" customHeight="1">
      <c r="B870" s="15"/>
    </row>
    <row r="871" spans="2:2" ht="15.75" customHeight="1">
      <c r="B871" s="15"/>
    </row>
    <row r="872" spans="2:2" ht="15.75" customHeight="1">
      <c r="B872" s="15"/>
    </row>
    <row r="873" spans="2:2" ht="15.75" customHeight="1">
      <c r="B873" s="15"/>
    </row>
    <row r="874" spans="2:2" ht="15.75" customHeight="1">
      <c r="B874" s="15"/>
    </row>
    <row r="875" spans="2:2" ht="15.75" customHeight="1">
      <c r="B875" s="15"/>
    </row>
    <row r="876" spans="2:2" ht="15.75" customHeight="1">
      <c r="B876" s="15"/>
    </row>
    <row r="877" spans="2:2" ht="15.75" customHeight="1">
      <c r="B877" s="15"/>
    </row>
    <row r="878" spans="2:2" ht="15.75" customHeight="1">
      <c r="B878" s="15"/>
    </row>
    <row r="879" spans="2:2" ht="15.75" customHeight="1">
      <c r="B879" s="15"/>
    </row>
    <row r="880" spans="2:2" ht="15.75" customHeight="1">
      <c r="B880" s="15"/>
    </row>
    <row r="881" spans="2:2" ht="15.75" customHeight="1">
      <c r="B881" s="15"/>
    </row>
    <row r="882" spans="2:2" ht="15.75" customHeight="1">
      <c r="B882" s="15"/>
    </row>
    <row r="883" spans="2:2" ht="15.75" customHeight="1">
      <c r="B883" s="15"/>
    </row>
    <row r="884" spans="2:2" ht="15.75" customHeight="1">
      <c r="B884" s="15"/>
    </row>
    <row r="885" spans="2:2" ht="15.75" customHeight="1">
      <c r="B885" s="15"/>
    </row>
    <row r="886" spans="2:2" ht="15.75" customHeight="1">
      <c r="B886" s="15"/>
    </row>
    <row r="887" spans="2:2" ht="15.75" customHeight="1">
      <c r="B887" s="15"/>
    </row>
    <row r="888" spans="2:2" ht="15.75" customHeight="1">
      <c r="B888" s="15"/>
    </row>
    <row r="889" spans="2:2" ht="15.75" customHeight="1">
      <c r="B889" s="15"/>
    </row>
    <row r="890" spans="2:2" ht="15.75" customHeight="1">
      <c r="B890" s="15"/>
    </row>
    <row r="891" spans="2:2" ht="15.75" customHeight="1">
      <c r="B891" s="15"/>
    </row>
    <row r="892" spans="2:2" ht="15.75" customHeight="1">
      <c r="B892" s="15"/>
    </row>
    <row r="893" spans="2:2" ht="15.75" customHeight="1">
      <c r="B893" s="15"/>
    </row>
    <row r="894" spans="2:2" ht="15.75" customHeight="1">
      <c r="B894" s="15"/>
    </row>
    <row r="895" spans="2:2" ht="15.75" customHeight="1">
      <c r="B895" s="15"/>
    </row>
    <row r="896" spans="2:2" ht="15.75" customHeight="1">
      <c r="B896" s="15"/>
    </row>
    <row r="897" spans="2:2" ht="15.75" customHeight="1">
      <c r="B897" s="15"/>
    </row>
    <row r="898" spans="2:2" ht="15.75" customHeight="1">
      <c r="B898" s="15"/>
    </row>
    <row r="899" spans="2:2" ht="15.75" customHeight="1">
      <c r="B899" s="15"/>
    </row>
    <row r="900" spans="2:2" ht="15.75" customHeight="1">
      <c r="B900" s="15"/>
    </row>
    <row r="901" spans="2:2" ht="15.75" customHeight="1">
      <c r="B901" s="15"/>
    </row>
    <row r="902" spans="2:2" ht="15.75" customHeight="1">
      <c r="B902" s="15"/>
    </row>
    <row r="903" spans="2:2" ht="15.75" customHeight="1">
      <c r="B903" s="15"/>
    </row>
    <row r="904" spans="2:2" ht="15.75" customHeight="1">
      <c r="B904" s="15"/>
    </row>
    <row r="905" spans="2:2" ht="15.75" customHeight="1">
      <c r="B905" s="15"/>
    </row>
    <row r="906" spans="2:2" ht="15.75" customHeight="1">
      <c r="B906" s="15"/>
    </row>
    <row r="907" spans="2:2" ht="15.75" customHeight="1">
      <c r="B907" s="15"/>
    </row>
    <row r="908" spans="2:2" ht="15.75" customHeight="1">
      <c r="B908" s="15"/>
    </row>
    <row r="909" spans="2:2" ht="15.75" customHeight="1">
      <c r="B909" s="15"/>
    </row>
    <row r="910" spans="2:2" ht="15.75" customHeight="1">
      <c r="B910" s="15"/>
    </row>
    <row r="911" spans="2:2" ht="15.75" customHeight="1">
      <c r="B911" s="15"/>
    </row>
    <row r="912" spans="2:2" ht="15.75" customHeight="1">
      <c r="B912" s="15"/>
    </row>
    <row r="913" spans="2:2" ht="15.75" customHeight="1">
      <c r="B913" s="15"/>
    </row>
    <row r="914" spans="2:2" ht="15.75" customHeight="1">
      <c r="B914" s="15"/>
    </row>
    <row r="915" spans="2:2" ht="15.75" customHeight="1">
      <c r="B915" s="15"/>
    </row>
    <row r="916" spans="2:2" ht="15.75" customHeight="1">
      <c r="B916" s="15"/>
    </row>
    <row r="917" spans="2:2" ht="15.75" customHeight="1">
      <c r="B917" s="15"/>
    </row>
    <row r="918" spans="2:2" ht="15.75" customHeight="1">
      <c r="B918" s="15"/>
    </row>
    <row r="919" spans="2:2" ht="15.75" customHeight="1">
      <c r="B919" s="15"/>
    </row>
    <row r="920" spans="2:2" ht="15.75" customHeight="1">
      <c r="B920" s="15"/>
    </row>
    <row r="921" spans="2:2" ht="15.75" customHeight="1">
      <c r="B921" s="15"/>
    </row>
    <row r="922" spans="2:2" ht="15.75" customHeight="1">
      <c r="B922" s="15"/>
    </row>
    <row r="923" spans="2:2" ht="15.75" customHeight="1">
      <c r="B923" s="15"/>
    </row>
    <row r="924" spans="2:2" ht="15.75" customHeight="1">
      <c r="B924" s="15"/>
    </row>
    <row r="925" spans="2:2" ht="15.75" customHeight="1">
      <c r="B925" s="15"/>
    </row>
    <row r="926" spans="2:2" ht="15.75" customHeight="1">
      <c r="B926" s="15"/>
    </row>
    <row r="927" spans="2:2" ht="15.75" customHeight="1">
      <c r="B927" s="15"/>
    </row>
    <row r="928" spans="2:2" ht="15.75" customHeight="1">
      <c r="B928" s="15"/>
    </row>
    <row r="929" spans="2:2" ht="15.75" customHeight="1">
      <c r="B929" s="15"/>
    </row>
    <row r="930" spans="2:2" ht="15.75" customHeight="1">
      <c r="B930" s="15"/>
    </row>
    <row r="931" spans="2:2" ht="15.75" customHeight="1">
      <c r="B931" s="15"/>
    </row>
    <row r="932" spans="2:2" ht="15.75" customHeight="1">
      <c r="B932" s="15"/>
    </row>
    <row r="933" spans="2:2" ht="15.75" customHeight="1">
      <c r="B933" s="15"/>
    </row>
    <row r="934" spans="2:2" ht="15.75" customHeight="1">
      <c r="B934" s="15"/>
    </row>
    <row r="935" spans="2:2" ht="15.75" customHeight="1">
      <c r="B935" s="15"/>
    </row>
    <row r="936" spans="2:2" ht="15.75" customHeight="1">
      <c r="B936" s="15"/>
    </row>
    <row r="937" spans="2:2" ht="15.75" customHeight="1">
      <c r="B937" s="15"/>
    </row>
    <row r="938" spans="2:2" ht="15.75" customHeight="1">
      <c r="B938" s="15"/>
    </row>
    <row r="939" spans="2:2" ht="15.75" customHeight="1">
      <c r="B939" s="15"/>
    </row>
    <row r="940" spans="2:2" ht="15.75" customHeight="1">
      <c r="B940" s="15"/>
    </row>
    <row r="941" spans="2:2" ht="15.75" customHeight="1">
      <c r="B941" s="15"/>
    </row>
    <row r="942" spans="2:2" ht="15.75" customHeight="1">
      <c r="B942" s="15"/>
    </row>
    <row r="943" spans="2:2" ht="15.75" customHeight="1">
      <c r="B943" s="15"/>
    </row>
    <row r="944" spans="2:2" ht="15.75" customHeight="1">
      <c r="B944" s="15"/>
    </row>
    <row r="945" spans="2:2" ht="15.75" customHeight="1">
      <c r="B945" s="15"/>
    </row>
    <row r="946" spans="2:2" ht="15.75" customHeight="1">
      <c r="B946" s="15"/>
    </row>
    <row r="947" spans="2:2" ht="15.75" customHeight="1">
      <c r="B947" s="15"/>
    </row>
    <row r="948" spans="2:2" ht="15.75" customHeight="1">
      <c r="B948" s="15"/>
    </row>
    <row r="949" spans="2:2" ht="15.75" customHeight="1">
      <c r="B949" s="15"/>
    </row>
    <row r="950" spans="2:2" ht="15.75" customHeight="1">
      <c r="B950" s="15"/>
    </row>
    <row r="951" spans="2:2" ht="15.75" customHeight="1">
      <c r="B951" s="15"/>
    </row>
    <row r="952" spans="2:2" ht="15.75" customHeight="1">
      <c r="B952" s="15"/>
    </row>
    <row r="953" spans="2:2" ht="15.75" customHeight="1">
      <c r="B953" s="15"/>
    </row>
    <row r="954" spans="2:2" ht="15.75" customHeight="1">
      <c r="B954" s="15"/>
    </row>
    <row r="955" spans="2:2" ht="15.75" customHeight="1">
      <c r="B955" s="15"/>
    </row>
    <row r="956" spans="2:2" ht="15.75" customHeight="1">
      <c r="B956" s="15"/>
    </row>
    <row r="957" spans="2:2" ht="15.75" customHeight="1">
      <c r="B957" s="15"/>
    </row>
    <row r="958" spans="2:2" ht="15.75" customHeight="1">
      <c r="B958" s="15"/>
    </row>
    <row r="959" spans="2:2" ht="15.75" customHeight="1">
      <c r="B959" s="15"/>
    </row>
    <row r="960" spans="2:2" ht="15.75" customHeight="1">
      <c r="B960" s="15"/>
    </row>
    <row r="961" spans="2:2" ht="15.75" customHeight="1">
      <c r="B961" s="15"/>
    </row>
    <row r="962" spans="2:2" ht="15.75" customHeight="1">
      <c r="B962" s="15"/>
    </row>
    <row r="963" spans="2:2" ht="15.75" customHeight="1">
      <c r="B963" s="15"/>
    </row>
    <row r="964" spans="2:2" ht="15.75" customHeight="1">
      <c r="B964" s="15"/>
    </row>
    <row r="965" spans="2:2" ht="15.75" customHeight="1">
      <c r="B965" s="15"/>
    </row>
    <row r="966" spans="2:2" ht="15.75" customHeight="1">
      <c r="B966" s="15"/>
    </row>
    <row r="967" spans="2:2" ht="15.75" customHeight="1">
      <c r="B967" s="15"/>
    </row>
    <row r="968" spans="2:2" ht="15.75" customHeight="1">
      <c r="B968" s="15"/>
    </row>
    <row r="969" spans="2:2" ht="15.75" customHeight="1">
      <c r="B969" s="15"/>
    </row>
    <row r="970" spans="2:2" ht="15.75" customHeight="1">
      <c r="B970" s="15"/>
    </row>
    <row r="971" spans="2:2" ht="15.75" customHeight="1">
      <c r="B971" s="15"/>
    </row>
    <row r="972" spans="2:2" ht="15.75" customHeight="1">
      <c r="B972" s="15"/>
    </row>
    <row r="973" spans="2:2" ht="15.75" customHeight="1">
      <c r="B973" s="15"/>
    </row>
    <row r="974" spans="2:2" ht="15.75" customHeight="1">
      <c r="B974" s="15"/>
    </row>
    <row r="975" spans="2:2" ht="15.75" customHeight="1">
      <c r="B975" s="15"/>
    </row>
    <row r="976" spans="2:2" ht="15.75" customHeight="1">
      <c r="B976" s="15"/>
    </row>
    <row r="977" spans="2:2" ht="15.75" customHeight="1">
      <c r="B977" s="15"/>
    </row>
    <row r="978" spans="2:2" ht="15.75" customHeight="1">
      <c r="B978" s="15"/>
    </row>
    <row r="979" spans="2:2" ht="15.75" customHeight="1">
      <c r="B979" s="15"/>
    </row>
    <row r="980" spans="2:2" ht="15.75" customHeight="1">
      <c r="B980" s="15"/>
    </row>
    <row r="981" spans="2:2" ht="15.75" customHeight="1">
      <c r="B981" s="15"/>
    </row>
    <row r="982" spans="2:2" ht="15.75" customHeight="1">
      <c r="B982" s="15"/>
    </row>
    <row r="983" spans="2:2" ht="15.75" customHeight="1">
      <c r="B983" s="15"/>
    </row>
    <row r="984" spans="2:2" ht="15.75" customHeight="1">
      <c r="B984" s="15"/>
    </row>
    <row r="985" spans="2:2" ht="15.75" customHeight="1">
      <c r="B985" s="15"/>
    </row>
    <row r="986" spans="2:2" ht="15.75" customHeight="1">
      <c r="B986" s="15"/>
    </row>
    <row r="987" spans="2:2" ht="15.75" customHeight="1">
      <c r="B987" s="15"/>
    </row>
    <row r="988" spans="2:2" ht="15.75" customHeight="1">
      <c r="B988" s="15"/>
    </row>
    <row r="989" spans="2:2" ht="15.75" customHeight="1">
      <c r="B989" s="15"/>
    </row>
    <row r="990" spans="2:2" ht="15.75" customHeight="1">
      <c r="B990" s="15"/>
    </row>
    <row r="991" spans="2:2" ht="15.75" customHeight="1">
      <c r="B991" s="15"/>
    </row>
    <row r="992" spans="2:2" ht="15.75" customHeight="1">
      <c r="B992" s="15"/>
    </row>
    <row r="993" spans="2:2" ht="15.75" customHeight="1">
      <c r="B993" s="15"/>
    </row>
    <row r="994" spans="2:2" ht="15.75" customHeight="1">
      <c r="B994" s="15"/>
    </row>
    <row r="995" spans="2:2" ht="15.75" customHeight="1">
      <c r="B995" s="15"/>
    </row>
    <row r="996" spans="2:2" ht="15.75" customHeight="1">
      <c r="B996" s="15"/>
    </row>
    <row r="997" spans="2:2" ht="15.75" customHeight="1">
      <c r="B997" s="15"/>
    </row>
    <row r="998" spans="2:2" ht="15.75" customHeight="1">
      <c r="B998" s="15"/>
    </row>
    <row r="999" spans="2:2" ht="15.75" customHeight="1">
      <c r="B999" s="15"/>
    </row>
    <row r="1000" spans="2:2" ht="15.75" customHeight="1">
      <c r="B1000" s="15"/>
    </row>
  </sheetData>
  <hyperlinks>
    <hyperlink ref="J1" r:id="rId1" xr:uid="{00000000-0004-0000-0500-000000000000}"/>
    <hyperlink ref="J4" r:id="rId2" xr:uid="{00000000-0004-0000-0500-000001000000}"/>
    <hyperlink ref="J5" r:id="rId3" xr:uid="{00000000-0004-0000-0500-000002000000}"/>
    <hyperlink ref="J6" r:id="rId4" xr:uid="{00000000-0004-0000-0500-000003000000}"/>
    <hyperlink ref="J9" r:id="rId5" xr:uid="{00000000-0004-0000-0500-000004000000}"/>
    <hyperlink ref="J12" r:id="rId6" xr:uid="{00000000-0004-0000-0500-000005000000}"/>
    <hyperlink ref="J13" r:id="rId7" xr:uid="{00000000-0004-0000-0500-000006000000}"/>
    <hyperlink ref="J14" r:id="rId8" xr:uid="{00000000-0004-0000-0500-000007000000}"/>
    <hyperlink ref="J15" r:id="rId9" xr:uid="{00000000-0004-0000-0500-000008000000}"/>
    <hyperlink ref="J20" r:id="rId10" xr:uid="{00000000-0004-0000-0500-000009000000}"/>
    <hyperlink ref="J21" r:id="rId11" xr:uid="{00000000-0004-0000-0500-00000A000000}"/>
    <hyperlink ref="J23" r:id="rId12" xr:uid="{00000000-0004-0000-0500-00000B000000}"/>
    <hyperlink ref="J24" r:id="rId13" xr:uid="{00000000-0004-0000-0500-00000C000000}"/>
    <hyperlink ref="J26" r:id="rId14" xr:uid="{00000000-0004-0000-0500-00000D000000}"/>
    <hyperlink ref="J28" r:id="rId15" xr:uid="{00000000-0004-0000-0500-00000E000000}"/>
    <hyperlink ref="J30" r:id="rId16" xr:uid="{00000000-0004-0000-0500-00000F000000}"/>
    <hyperlink ref="J31" r:id="rId17" xr:uid="{00000000-0004-0000-0500-000010000000}"/>
    <hyperlink ref="J32" r:id="rId18" xr:uid="{00000000-0004-0000-0500-000011000000}"/>
    <hyperlink ref="J34" r:id="rId19" xr:uid="{00000000-0004-0000-0500-000012000000}"/>
    <hyperlink ref="J35" r:id="rId20" xr:uid="{00000000-0004-0000-0500-000013000000}"/>
    <hyperlink ref="J36" r:id="rId21" xr:uid="{00000000-0004-0000-0500-000014000000}"/>
    <hyperlink ref="J38" r:id="rId22" xr:uid="{00000000-0004-0000-0500-000015000000}"/>
    <hyperlink ref="J39" r:id="rId23" xr:uid="{00000000-0004-0000-0500-000016000000}"/>
    <hyperlink ref="J41" r:id="rId24" xr:uid="{00000000-0004-0000-0500-000017000000}"/>
    <hyperlink ref="J43" r:id="rId25" xr:uid="{00000000-0004-0000-0500-000018000000}"/>
    <hyperlink ref="J44" r:id="rId26" xr:uid="{00000000-0004-0000-0500-000019000000}"/>
    <hyperlink ref="J45" r:id="rId27" xr:uid="{00000000-0004-0000-0500-00001A000000}"/>
    <hyperlink ref="J47" r:id="rId28" xr:uid="{00000000-0004-0000-0500-00001B000000}"/>
    <hyperlink ref="J48" r:id="rId29" xr:uid="{00000000-0004-0000-0500-00001C000000}"/>
    <hyperlink ref="J51" r:id="rId30" xr:uid="{00000000-0004-0000-0500-00001D000000}"/>
    <hyperlink ref="J52" r:id="rId31" xr:uid="{00000000-0004-0000-0500-00001E000000}"/>
    <hyperlink ref="J53" r:id="rId32" xr:uid="{00000000-0004-0000-0500-00001F000000}"/>
    <hyperlink ref="J54" r:id="rId33" xr:uid="{00000000-0004-0000-0500-000020000000}"/>
    <hyperlink ref="J55" r:id="rId34" xr:uid="{00000000-0004-0000-0500-000021000000}"/>
    <hyperlink ref="J61" r:id="rId35" xr:uid="{00000000-0004-0000-0500-000022000000}"/>
    <hyperlink ref="J62" r:id="rId36" xr:uid="{00000000-0004-0000-0500-000023000000}"/>
    <hyperlink ref="J65" r:id="rId37" xr:uid="{00000000-0004-0000-0500-000024000000}"/>
    <hyperlink ref="J66" r:id="rId38" xr:uid="{00000000-0004-0000-0500-000025000000}"/>
    <hyperlink ref="J69" r:id="rId39" xr:uid="{00000000-0004-0000-0500-000026000000}"/>
    <hyperlink ref="J75" r:id="rId40" xr:uid="{00000000-0004-0000-0500-000027000000}"/>
    <hyperlink ref="J76" r:id="rId41" xr:uid="{00000000-0004-0000-0500-000028000000}"/>
    <hyperlink ref="J78" r:id="rId42" xr:uid="{00000000-0004-0000-0500-000029000000}"/>
    <hyperlink ref="J83" r:id="rId43" xr:uid="{00000000-0004-0000-0500-00002A000000}"/>
    <hyperlink ref="J86" r:id="rId44" xr:uid="{00000000-0004-0000-0500-00002B000000}"/>
    <hyperlink ref="J87" r:id="rId45" xr:uid="{00000000-0004-0000-0500-00002C000000}"/>
    <hyperlink ref="J88" r:id="rId46" xr:uid="{00000000-0004-0000-0500-00002D000000}"/>
    <hyperlink ref="J93" r:id="rId47" xr:uid="{00000000-0004-0000-0500-00002E000000}"/>
    <hyperlink ref="J96" r:id="rId48" xr:uid="{00000000-0004-0000-0500-00002F000000}"/>
    <hyperlink ref="J103" r:id="rId49" xr:uid="{00000000-0004-0000-0500-000030000000}"/>
    <hyperlink ref="J104" r:id="rId50" xr:uid="{00000000-0004-0000-0500-000031000000}"/>
    <hyperlink ref="J108" r:id="rId51" xr:uid="{00000000-0004-0000-0500-000032000000}"/>
    <hyperlink ref="J111" r:id="rId52" xr:uid="{00000000-0004-0000-0500-000033000000}"/>
    <hyperlink ref="J114" r:id="rId53" xr:uid="{00000000-0004-0000-0500-000034000000}"/>
    <hyperlink ref="J122" r:id="rId54" xr:uid="{00000000-0004-0000-0500-000035000000}"/>
    <hyperlink ref="J123" r:id="rId55" xr:uid="{00000000-0004-0000-0500-000036000000}"/>
    <hyperlink ref="J133" r:id="rId56" xr:uid="{00000000-0004-0000-0500-000037000000}"/>
    <hyperlink ref="J135" r:id="rId57" xr:uid="{00000000-0004-0000-0500-000038000000}"/>
    <hyperlink ref="J139" r:id="rId58" xr:uid="{00000000-0004-0000-0500-000039000000}"/>
    <hyperlink ref="J141" r:id="rId59" xr:uid="{00000000-0004-0000-0500-00003A000000}"/>
    <hyperlink ref="J150" r:id="rId60" xr:uid="{00000000-0004-0000-0500-00003B000000}"/>
    <hyperlink ref="J152" r:id="rId61" xr:uid="{00000000-0004-0000-0500-00003C000000}"/>
    <hyperlink ref="J154" r:id="rId62" xr:uid="{00000000-0004-0000-0500-00003D000000}"/>
    <hyperlink ref="J158" r:id="rId63" xr:uid="{00000000-0004-0000-0500-00003E000000}"/>
    <hyperlink ref="J159" r:id="rId64" xr:uid="{00000000-0004-0000-0500-00003F000000}"/>
    <hyperlink ref="J164" r:id="rId65" xr:uid="{00000000-0004-0000-0500-000040000000}"/>
    <hyperlink ref="J167" r:id="rId66" xr:uid="{00000000-0004-0000-0500-000041000000}"/>
    <hyperlink ref="J169" r:id="rId67" xr:uid="{00000000-0004-0000-0500-000042000000}"/>
    <hyperlink ref="J177" r:id="rId68" xr:uid="{00000000-0004-0000-0500-000043000000}"/>
    <hyperlink ref="J180" r:id="rId69" xr:uid="{00000000-0004-0000-0500-000044000000}"/>
    <hyperlink ref="J184" r:id="rId70" xr:uid="{00000000-0004-0000-0500-000045000000}"/>
    <hyperlink ref="J185" r:id="rId71" xr:uid="{00000000-0004-0000-0500-000046000000}"/>
    <hyperlink ref="J195" r:id="rId72" xr:uid="{00000000-0004-0000-0500-000047000000}"/>
    <hyperlink ref="J203" r:id="rId73" xr:uid="{00000000-0004-0000-0500-000048000000}"/>
    <hyperlink ref="J204" r:id="rId74" xr:uid="{00000000-0004-0000-0500-000049000000}"/>
    <hyperlink ref="J208" r:id="rId75" xr:uid="{00000000-0004-0000-0500-00004A000000}"/>
    <hyperlink ref="J217" r:id="rId76" xr:uid="{00000000-0004-0000-0500-00004B000000}"/>
    <hyperlink ref="J220" r:id="rId77" xr:uid="{00000000-0004-0000-0500-00004C000000}"/>
    <hyperlink ref="J221" r:id="rId78" xr:uid="{00000000-0004-0000-0500-00004D000000}"/>
    <hyperlink ref="J222" r:id="rId79" xr:uid="{00000000-0004-0000-0500-00004E000000}"/>
    <hyperlink ref="J223" r:id="rId80" xr:uid="{00000000-0004-0000-0500-00004F000000}"/>
    <hyperlink ref="J224" r:id="rId81" xr:uid="{00000000-0004-0000-0500-000050000000}"/>
    <hyperlink ref="J229" r:id="rId82" xr:uid="{00000000-0004-0000-0500-000051000000}"/>
    <hyperlink ref="J232" r:id="rId83" xr:uid="{00000000-0004-0000-0500-000052000000}"/>
    <hyperlink ref="J241" r:id="rId84" xr:uid="{00000000-0004-0000-0500-000053000000}"/>
    <hyperlink ref="J243" r:id="rId85" xr:uid="{00000000-0004-0000-0500-000054000000}"/>
    <hyperlink ref="J247" r:id="rId86" xr:uid="{00000000-0004-0000-0500-000055000000}"/>
    <hyperlink ref="J248" r:id="rId87" xr:uid="{00000000-0004-0000-0500-000056000000}"/>
    <hyperlink ref="J249" r:id="rId88" xr:uid="{00000000-0004-0000-0500-000057000000}"/>
    <hyperlink ref="J252" r:id="rId89" xr:uid="{00000000-0004-0000-0500-000058000000}"/>
    <hyperlink ref="J253" r:id="rId90" xr:uid="{00000000-0004-0000-0500-000059000000}"/>
    <hyperlink ref="J254" r:id="rId91" xr:uid="{00000000-0004-0000-0500-00005A000000}"/>
    <hyperlink ref="J256" r:id="rId92" xr:uid="{00000000-0004-0000-0500-00005B000000}"/>
    <hyperlink ref="J259" r:id="rId93" xr:uid="{00000000-0004-0000-0500-00005C000000}"/>
    <hyperlink ref="J260" r:id="rId94" xr:uid="{00000000-0004-0000-0500-00005D000000}"/>
    <hyperlink ref="J262" r:id="rId95" xr:uid="{00000000-0004-0000-0500-00005E000000}"/>
    <hyperlink ref="J268" r:id="rId96" xr:uid="{00000000-0004-0000-0500-00005F000000}"/>
    <hyperlink ref="J277" r:id="rId97" xr:uid="{00000000-0004-0000-0500-000060000000}"/>
    <hyperlink ref="J282" r:id="rId98" xr:uid="{00000000-0004-0000-0500-000061000000}"/>
    <hyperlink ref="J289" r:id="rId99" xr:uid="{00000000-0004-0000-0500-000062000000}"/>
    <hyperlink ref="J302" r:id="rId100" xr:uid="{00000000-0004-0000-0500-000063000000}"/>
    <hyperlink ref="J304" r:id="rId101" xr:uid="{00000000-0004-0000-0500-000064000000}"/>
    <hyperlink ref="J307" r:id="rId102" xr:uid="{00000000-0004-0000-0500-000065000000}"/>
    <hyperlink ref="J310" r:id="rId103" xr:uid="{00000000-0004-0000-0500-000066000000}"/>
    <hyperlink ref="J311" r:id="rId104" xr:uid="{00000000-0004-0000-0500-000067000000}"/>
    <hyperlink ref="J312" r:id="rId105" xr:uid="{00000000-0004-0000-0500-000068000000}"/>
    <hyperlink ref="J314" r:id="rId106" xr:uid="{00000000-0004-0000-0500-000069000000}"/>
    <hyperlink ref="J316" r:id="rId107" xr:uid="{00000000-0004-0000-0500-00006A000000}"/>
    <hyperlink ref="J317" r:id="rId108" xr:uid="{00000000-0004-0000-0500-00006B000000}"/>
    <hyperlink ref="J324" r:id="rId109" xr:uid="{00000000-0004-0000-0500-00006C000000}"/>
    <hyperlink ref="J331" r:id="rId110" xr:uid="{00000000-0004-0000-0500-00006D000000}"/>
    <hyperlink ref="J337" r:id="rId111" xr:uid="{00000000-0004-0000-0500-00006E000000}"/>
    <hyperlink ref="J346" r:id="rId112" xr:uid="{00000000-0004-0000-0500-00006F000000}"/>
    <hyperlink ref="J349" r:id="rId113" xr:uid="{00000000-0004-0000-0500-000070000000}"/>
    <hyperlink ref="J353" r:id="rId114" xr:uid="{00000000-0004-0000-0500-000071000000}"/>
    <hyperlink ref="J365" r:id="rId115" xr:uid="{00000000-0004-0000-0500-000072000000}"/>
    <hyperlink ref="J369" r:id="rId116" xr:uid="{00000000-0004-0000-0500-000073000000}"/>
    <hyperlink ref="J371" r:id="rId117" xr:uid="{00000000-0004-0000-0500-000074000000}"/>
    <hyperlink ref="J382" r:id="rId118" xr:uid="{00000000-0004-0000-0500-000075000000}"/>
    <hyperlink ref="J430" r:id="rId119" xr:uid="{00000000-0004-0000-0500-000076000000}"/>
    <hyperlink ref="J440" r:id="rId120" xr:uid="{00000000-0004-0000-0500-000077000000}"/>
    <hyperlink ref="J446" r:id="rId121" xr:uid="{00000000-0004-0000-0500-000078000000}"/>
    <hyperlink ref="J447" r:id="rId122" xr:uid="{00000000-0004-0000-0500-000079000000}"/>
    <hyperlink ref="J456" r:id="rId123" xr:uid="{00000000-0004-0000-0500-00007A000000}"/>
    <hyperlink ref="J462" r:id="rId124" xr:uid="{00000000-0004-0000-0500-00007B000000}"/>
    <hyperlink ref="J523" r:id="rId125" xr:uid="{00000000-0004-0000-0500-00007C000000}"/>
  </hyperlinks>
  <pageMargins left="0.7" right="0.7" top="0.75" bottom="0.75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BA6A-0B81-4D03-9E65-3CB0D5827FE1}">
  <dimension ref="A1:E26"/>
  <sheetViews>
    <sheetView topLeftCell="A3" workbookViewId="0">
      <selection activeCell="E27" sqref="E27"/>
    </sheetView>
  </sheetViews>
  <sheetFormatPr defaultRowHeight="15"/>
  <cols>
    <col min="1" max="1" width="19.7109375" customWidth="1"/>
    <col min="2" max="3" width="16.85546875" customWidth="1"/>
    <col min="4" max="4" width="19.5703125" customWidth="1"/>
    <col min="5" max="5" width="33.7109375" customWidth="1"/>
  </cols>
  <sheetData>
    <row r="1" spans="1:5">
      <c r="C1" t="s">
        <v>2898</v>
      </c>
      <c r="D1" t="s">
        <v>2899</v>
      </c>
      <c r="E1" t="s">
        <v>2900</v>
      </c>
    </row>
    <row r="2" spans="1:5">
      <c r="A2" s="221" t="s">
        <v>2547</v>
      </c>
      <c r="B2" s="221">
        <v>286</v>
      </c>
      <c r="C2" s="221" t="s">
        <v>2901</v>
      </c>
      <c r="D2" t="s">
        <v>2902</v>
      </c>
      <c r="E2" t="s">
        <v>2903</v>
      </c>
    </row>
    <row r="3" spans="1:5">
      <c r="A3" s="221" t="s">
        <v>2384</v>
      </c>
      <c r="B3" s="221">
        <v>247</v>
      </c>
      <c r="C3" s="221" t="s">
        <v>2904</v>
      </c>
      <c r="D3" t="s">
        <v>2903</v>
      </c>
      <c r="E3" t="s">
        <v>2902</v>
      </c>
    </row>
    <row r="4" spans="1:5">
      <c r="A4" s="221" t="s">
        <v>2635</v>
      </c>
      <c r="B4" s="221">
        <v>201</v>
      </c>
      <c r="C4" s="221" t="s">
        <v>2905</v>
      </c>
      <c r="D4" t="s">
        <v>2902</v>
      </c>
      <c r="E4" t="s">
        <v>2902</v>
      </c>
    </row>
    <row r="5" spans="1:5">
      <c r="A5" s="221" t="s">
        <v>2637</v>
      </c>
      <c r="B5" s="221">
        <v>38</v>
      </c>
      <c r="C5" s="221" t="s">
        <v>2906</v>
      </c>
      <c r="D5" t="s">
        <v>2907</v>
      </c>
      <c r="E5" t="s">
        <v>2902</v>
      </c>
    </row>
    <row r="6" spans="1:5">
      <c r="A6" s="221" t="s">
        <v>2030</v>
      </c>
      <c r="B6" s="221">
        <v>407</v>
      </c>
      <c r="C6" s="221" t="s">
        <v>2908</v>
      </c>
      <c r="D6" t="s">
        <v>2903</v>
      </c>
      <c r="E6" t="s">
        <v>2902</v>
      </c>
    </row>
    <row r="7" spans="1:5">
      <c r="A7" s="221" t="s">
        <v>2640</v>
      </c>
      <c r="B7" s="221">
        <v>2</v>
      </c>
      <c r="C7" s="221" t="s">
        <v>2909</v>
      </c>
      <c r="D7" t="s">
        <v>2907</v>
      </c>
      <c r="E7" t="s">
        <v>2902</v>
      </c>
    </row>
    <row r="8" spans="1:5">
      <c r="A8" s="221" t="s">
        <v>2642</v>
      </c>
      <c r="B8" s="221">
        <v>16</v>
      </c>
      <c r="C8" s="221" t="s">
        <v>2910</v>
      </c>
      <c r="D8" t="s">
        <v>2907</v>
      </c>
      <c r="E8" t="s">
        <v>2902</v>
      </c>
    </row>
    <row r="9" spans="1:5">
      <c r="A9" s="206" t="s">
        <v>669</v>
      </c>
      <c r="B9" s="206">
        <v>149</v>
      </c>
      <c r="C9" s="206" t="s">
        <v>2911</v>
      </c>
      <c r="D9" t="s">
        <v>2903</v>
      </c>
      <c r="E9" t="s">
        <v>2902</v>
      </c>
    </row>
    <row r="10" spans="1:5">
      <c r="A10" s="221" t="s">
        <v>1983</v>
      </c>
      <c r="B10" s="221">
        <v>149</v>
      </c>
      <c r="C10" s="221" t="s">
        <v>2912</v>
      </c>
      <c r="D10" t="s">
        <v>2903</v>
      </c>
      <c r="E10" t="s">
        <v>2902</v>
      </c>
    </row>
    <row r="11" spans="1:5">
      <c r="A11" s="221" t="s">
        <v>2644</v>
      </c>
      <c r="B11" s="221">
        <v>863</v>
      </c>
      <c r="C11" s="221" t="s">
        <v>2913</v>
      </c>
      <c r="D11" t="s">
        <v>2902</v>
      </c>
      <c r="E11" t="s">
        <v>2902</v>
      </c>
    </row>
    <row r="12" spans="1:5">
      <c r="A12" s="221" t="s">
        <v>2254</v>
      </c>
      <c r="B12" s="221">
        <v>37</v>
      </c>
      <c r="C12" s="221" t="s">
        <v>2914</v>
      </c>
      <c r="D12" t="s">
        <v>2907</v>
      </c>
      <c r="E12" t="s">
        <v>2902</v>
      </c>
    </row>
    <row r="13" spans="1:5">
      <c r="A13" s="221" t="s">
        <v>2915</v>
      </c>
      <c r="B13" s="221">
        <v>109</v>
      </c>
      <c r="C13" s="221" t="s">
        <v>2916</v>
      </c>
      <c r="D13" t="s">
        <v>2903</v>
      </c>
    </row>
    <row r="14" spans="1:5">
      <c r="A14" s="206" t="s">
        <v>2230</v>
      </c>
      <c r="B14" s="206">
        <v>112</v>
      </c>
      <c r="C14" s="206" t="s">
        <v>2917</v>
      </c>
      <c r="D14" t="s">
        <v>2903</v>
      </c>
      <c r="E14" t="s">
        <v>2902</v>
      </c>
    </row>
    <row r="15" spans="1:5">
      <c r="A15" s="221" t="s">
        <v>2918</v>
      </c>
      <c r="B15" s="221">
        <v>869</v>
      </c>
      <c r="C15" s="221" t="s">
        <v>2919</v>
      </c>
      <c r="D15" t="s">
        <v>2902</v>
      </c>
    </row>
    <row r="16" spans="1:5">
      <c r="A16" s="221" t="s">
        <v>2649</v>
      </c>
      <c r="B16" s="221">
        <v>25</v>
      </c>
      <c r="C16" s="221" t="s">
        <v>2920</v>
      </c>
      <c r="D16" t="s">
        <v>2907</v>
      </c>
      <c r="E16" t="s">
        <v>2902</v>
      </c>
    </row>
    <row r="17" spans="1:5">
      <c r="A17" s="221" t="s">
        <v>2652</v>
      </c>
      <c r="B17" s="221">
        <v>15</v>
      </c>
      <c r="C17" s="221" t="s">
        <v>2921</v>
      </c>
      <c r="D17" t="s">
        <v>2907</v>
      </c>
      <c r="E17" t="s">
        <v>2902</v>
      </c>
    </row>
    <row r="18" spans="1:5">
      <c r="A18" s="221" t="s">
        <v>2654</v>
      </c>
      <c r="B18" s="221">
        <v>334</v>
      </c>
      <c r="C18" s="221" t="s">
        <v>2922</v>
      </c>
      <c r="D18" t="s">
        <v>2902</v>
      </c>
      <c r="E18" t="s">
        <v>2902</v>
      </c>
    </row>
    <row r="19" spans="1:5">
      <c r="A19" s="221" t="s">
        <v>2334</v>
      </c>
      <c r="B19" s="221">
        <v>506</v>
      </c>
      <c r="C19" s="221" t="s">
        <v>2923</v>
      </c>
      <c r="D19" t="s">
        <v>2902</v>
      </c>
      <c r="E19" t="s">
        <v>2903</v>
      </c>
    </row>
    <row r="20" spans="1:5">
      <c r="A20" s="223" t="s">
        <v>1283</v>
      </c>
      <c r="B20" s="223">
        <v>116</v>
      </c>
      <c r="C20" s="223" t="s">
        <v>2924</v>
      </c>
      <c r="D20" t="s">
        <v>2902</v>
      </c>
      <c r="E20" t="s">
        <v>2902</v>
      </c>
    </row>
    <row r="21" spans="1:5">
      <c r="A21" s="221" t="s">
        <v>2594</v>
      </c>
      <c r="B21" s="221">
        <v>136</v>
      </c>
      <c r="C21" s="221" t="s">
        <v>2925</v>
      </c>
      <c r="D21" t="s">
        <v>2902</v>
      </c>
      <c r="E21" t="s">
        <v>2902</v>
      </c>
    </row>
    <row r="22" spans="1:5">
      <c r="A22" s="221" t="s">
        <v>2060</v>
      </c>
      <c r="B22" s="221">
        <v>95</v>
      </c>
      <c r="C22" s="221" t="s">
        <v>2921</v>
      </c>
      <c r="D22" t="s">
        <v>2903</v>
      </c>
      <c r="E22" t="s">
        <v>2902</v>
      </c>
    </row>
    <row r="23" spans="1:5">
      <c r="A23" s="206" t="s">
        <v>507</v>
      </c>
      <c r="B23" s="206">
        <v>280</v>
      </c>
      <c r="C23" s="206" t="s">
        <v>2926</v>
      </c>
      <c r="D23" t="s">
        <v>2902</v>
      </c>
      <c r="E23" t="s">
        <v>2902</v>
      </c>
    </row>
    <row r="24" spans="1:5">
      <c r="A24" s="221" t="s">
        <v>2659</v>
      </c>
      <c r="B24" s="221">
        <v>709</v>
      </c>
      <c r="C24" s="221" t="s">
        <v>2927</v>
      </c>
      <c r="D24" t="s">
        <v>2902</v>
      </c>
      <c r="E24" t="s">
        <v>2902</v>
      </c>
    </row>
    <row r="26" spans="1:5">
      <c r="C26" t="s">
        <v>2928</v>
      </c>
      <c r="D26" t="s">
        <v>2929</v>
      </c>
      <c r="E26" t="s">
        <v>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Huifeng Guan</cp:lastModifiedBy>
  <cp:revision>3</cp:revision>
  <dcterms:created xsi:type="dcterms:W3CDTF">2006-09-16T00:00:00Z</dcterms:created>
  <dcterms:modified xsi:type="dcterms:W3CDTF">2026-10-18T07:13:50Z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